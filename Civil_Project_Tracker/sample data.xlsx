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"/>
    </mc:Choice>
  </mc:AlternateContent>
  <xr:revisionPtr revIDLastSave="0" documentId="13_ncr:1_{30A06B4E-BEE3-43B5-8C27-E0913A3D0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<sst xmlns="http://schemas.openxmlformats.org/spreadsheetml/2006/main" count="13" uniqueCount="7">
  <si>
    <t>DRG ID</t>
  </si>
  <si>
    <t>1st Submission Plan_wk</t>
  </si>
  <si>
    <t>WLH/KEC/SIEC/WATER SUPPLY/GF FL/00</t>
  </si>
  <si>
    <t>desc</t>
  </si>
  <si>
    <t>Architecture</t>
  </si>
  <si>
    <t>MEP</t>
  </si>
  <si>
    <t>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</si>
</sst>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SAVE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wrapText="1"/>
      <protection locked="0"/>
    </xf>
    <xf numFmtId="15" fontId="0" fillId="0" borderId="1" xfId="0" applyNumberFormat="1" applyBorder="1"/>
    <xf numFmtId="15" fontId="4" fillId="0" borderId="1" xfId="0" applyNumberFormat="1" applyFont="1" applyBorder="1"/>
    <xf numFmtId="0" fontId="5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(ANX-08) Progress report" xfId="1" xr:uid="{18AA9C16-9E6A-4237-8F45-360293AAE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antosh\data_science\data_science\Civil_Project_Tracker\Civil_Project_Tracker_Datasheets.xlsx" TargetMode="External"/><Relationship Id="rId1" Type="http://schemas.openxmlformats.org/officeDocument/2006/relationships/externalLinkPath" Target="Civil_Project_Tracker_Data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Data"/>
      <sheetName val="DRG_Status"/>
      <sheetName val="S_Curve_Data"/>
      <sheetName val="Mappings"/>
    </sheetNames>
    <sheetDataSet>
      <sheetData sheetId="0">
        <row r="2">
          <cell r="D2" t="str">
            <v>WLH/KEC/SIEC/SEWAGE/BASEMENT/00</v>
          </cell>
          <cell r="H2">
            <v>45747</v>
          </cell>
        </row>
        <row r="3">
          <cell r="D3" t="str">
            <v>WLH/KEC/SIEC/DRAINAGE/BASEMENT/00</v>
          </cell>
          <cell r="H3">
            <v>45747</v>
          </cell>
        </row>
        <row r="4">
          <cell r="D4" t="str">
            <v>WLH/KEC/SIEC/WATER SUPPLY/GF FL/00</v>
          </cell>
          <cell r="H4">
            <v>45747</v>
          </cell>
        </row>
        <row r="5">
          <cell r="D5" t="str">
            <v>WLH/KEC/SIEC/DRAINAGE/GF FL/00</v>
          </cell>
          <cell r="H5">
            <v>45747</v>
          </cell>
        </row>
        <row r="6">
          <cell r="D6" t="str">
            <v>WLH/KEC/SIEC/WATER SUPPLY/1ST FL/00</v>
          </cell>
          <cell r="H6">
            <v>45976</v>
          </cell>
        </row>
        <row r="7">
          <cell r="D7" t="str">
            <v>WLH/KEC/SIEC/DRAINAGE/1ST FL/00</v>
          </cell>
          <cell r="H7">
            <v>45976</v>
          </cell>
        </row>
        <row r="8">
          <cell r="D8" t="str">
            <v>WLH/KEC/SIEC/WATER SUPPLY/2ND FL/00</v>
          </cell>
          <cell r="H8">
            <v>45960</v>
          </cell>
        </row>
        <row r="9">
          <cell r="D9" t="str">
            <v>WLH/KEC/SIEC/DRAINAGE/2ND FL/00</v>
          </cell>
          <cell r="H9">
            <v>45960</v>
          </cell>
        </row>
        <row r="10">
          <cell r="D10" t="str">
            <v>WLH/KEC/SIEC/WATER SUPPLY/3RD FL/00</v>
          </cell>
          <cell r="H10">
            <v>45955</v>
          </cell>
        </row>
        <row r="11">
          <cell r="D11" t="str">
            <v>WLH/KEC/SIEC/DRAINAGE/3RD FL/00</v>
          </cell>
          <cell r="H11">
            <v>45955</v>
          </cell>
        </row>
        <row r="12">
          <cell r="D12" t="str">
            <v>WLH/KEC/SIEC/WATER SUPPLY/4TH FL/00</v>
          </cell>
          <cell r="H12">
            <v>45790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7" sqref="G7"/>
    </sheetView>
  </sheetViews>
  <sheetFormatPr defaultRowHeight="14.5"/>
  <cols>
    <col min="1" max="1" width="19.453125" customWidth="1"/>
    <col min="2" max="2" width="32.36328125" customWidth="1"/>
    <col min="3" max="3" width="11.1796875" bestFit="1" customWidth="1"/>
    <col min="5" max="5" width="9.54296875" bestFit="1" customWidth="1"/>
  </cols>
  <sheetData>
    <row r="1" spans="1:9">
      <c r="A1" s="1" t="s">
        <v>0</v>
      </c>
      <c r="B1" s="2" t="s">
        <v>1</v>
      </c>
      <c r="C1" t="s">
        <v>3</v>
      </c>
    </row>
    <row r="2" spans="1:9" ht="29">
      <c r="A2" s="3" t="str">
        <f>[1]Master_Data!D2</f>
        <v>WLH/KEC/SIEC/SEWAGE/BASEMENT/00</v>
      </c>
      <c r="B2" s="5">
        <f>IF([1]Master_Data!H2="","",[1]Master_Data!H2 - WEEKDAY([1]Master_Data!H2,2) + 1)</f>
        <v>45747</v>
      </c>
      <c r="C2" s="6" t="s">
        <v>4</v>
      </c>
      <c r="E2" s="4">
        <v>45747</v>
      </c>
      <c r="F2" cm="1">
        <f t="array" ref="F2">COUNTA(_xlfn.UNIQUE(_xlfn._xlws.FILTER(A2:A100, (B2:B100=E2) *( C2:C100="Structural"))))</f>
        <v>1</v>
      </c>
    </row>
    <row r="3" spans="1:9" ht="29">
      <c r="A3" s="3" t="str">
        <f>[1]Master_Data!D3</f>
        <v>WLH/KEC/SIEC/DRAINAGE/BASEMENT/00</v>
      </c>
      <c r="B3" s="5">
        <f>IF([1]Master_Data!H3="","",[1]Master_Data!H3 - WEEKDAY([1]Master_Data!H3,2) + 1)</f>
        <v>45747</v>
      </c>
      <c r="C3" s="6" t="s">
        <v>5</v>
      </c>
    </row>
    <row r="4" spans="1:9" ht="29">
      <c r="A4" s="3" t="str">
        <f>[1]Master_Data!D4</f>
        <v>WLH/KEC/SIEC/WATER SUPPLY/GF FL/00</v>
      </c>
      <c r="B4" s="5">
        <f>IF([1]Master_Data!H4="","",[1]Master_Data!H4 - WEEKDAY([1]Master_Data!H4,2) + 1)</f>
        <v>45747</v>
      </c>
      <c r="C4" s="6" t="s">
        <v>6</v>
      </c>
      <c r="I4" t="s">
        <v>2</v>
      </c>
    </row>
    <row r="5" spans="1:9" ht="29">
      <c r="A5" s="3" t="str">
        <f>[1]Master_Data!D5</f>
        <v>WLH/KEC/SIEC/DRAINAGE/GF FL/00</v>
      </c>
      <c r="B5" s="5">
        <f>IF([1]Master_Data!H5="","",[1]Master_Data!H5 - WEEKDAY([1]Master_Data!H5,2) + 1)</f>
        <v>45747</v>
      </c>
      <c r="C5" s="6" t="s">
        <v>4</v>
      </c>
    </row>
    <row r="6" spans="1:9" ht="29">
      <c r="A6" s="3" t="str">
        <f>[1]Master_Data!D6</f>
        <v>WLH/KEC/SIEC/WATER SUPPLY/1ST FL/00</v>
      </c>
      <c r="B6" s="4">
        <f>IF([1]Master_Data!H6="","",[1]Master_Data!H6 - WEEKDAY([1]Master_Data!H6,2) + 1)</f>
        <v>45971</v>
      </c>
      <c r="C6" s="6" t="s">
        <v>5</v>
      </c>
    </row>
    <row r="7" spans="1:9" ht="29">
      <c r="A7" s="3" t="str">
        <f>[1]Master_Data!D7</f>
        <v>WLH/KEC/SIEC/DRAINAGE/1ST FL/00</v>
      </c>
      <c r="B7" s="4">
        <f>IF([1]Master_Data!H7="","",[1]Master_Data!H7 - WEEKDAY([1]Master_Data!H7,2) + 1)</f>
        <v>45971</v>
      </c>
      <c r="C7" s="6" t="s">
        <v>6</v>
      </c>
    </row>
    <row r="8" spans="1:9" ht="29">
      <c r="A8" s="3" t="str">
        <f>[1]Master_Data!D8</f>
        <v>WLH/KEC/SIEC/WATER SUPPLY/2ND FL/00</v>
      </c>
      <c r="B8" s="4">
        <f>IF([1]Master_Data!H8="","",[1]Master_Data!H8 - WEEKDAY([1]Master_Data!H8,2) + 1)</f>
        <v>45957</v>
      </c>
      <c r="C8" s="6" t="s">
        <v>4</v>
      </c>
    </row>
    <row r="9" spans="1:9" ht="29">
      <c r="A9" s="3" t="str">
        <f>[1]Master_Data!D9</f>
        <v>WLH/KEC/SIEC/DRAINAGE/2ND FL/00</v>
      </c>
      <c r="B9" s="4">
        <f>IF([1]Master_Data!H9="","",[1]Master_Data!H9 - WEEKDAY([1]Master_Data!H9,2) + 1)</f>
        <v>45957</v>
      </c>
      <c r="C9" s="6" t="s">
        <v>5</v>
      </c>
    </row>
    <row r="10" spans="1:9" ht="29">
      <c r="A10" s="3" t="str">
        <f>[1]Master_Data!D10</f>
        <v>WLH/KEC/SIEC/WATER SUPPLY/3RD FL/00</v>
      </c>
      <c r="B10" s="4">
        <f>IF([1]Master_Data!H10="","",[1]Master_Data!H10 - WEEKDAY([1]Master_Data!H10,2) + 1)</f>
        <v>45950</v>
      </c>
      <c r="C10" s="6" t="s">
        <v>6</v>
      </c>
    </row>
    <row r="11" spans="1:9" ht="29">
      <c r="A11" s="3" t="str">
        <f>[1]Master_Data!D11</f>
        <v>WLH/KEC/SIEC/DRAINAGE/3RD FL/00</v>
      </c>
      <c r="B11" s="4">
        <f>IF([1]Master_Data!H11="","",[1]Master_Data!H11 - WEEKDAY([1]Master_Data!H11,2) + 1)</f>
        <v>45950</v>
      </c>
    </row>
    <row r="12" spans="1:9" ht="29">
      <c r="A12" s="3" t="str">
        <f>[1]Master_Data!D12</f>
        <v>WLH/KEC/SIEC/WATER SUPPLY/4TH FL/00</v>
      </c>
      <c r="B12" s="4">
        <f>IF([1]Master_Data!H12="","",[1]Master_Data!H12 - WEEKDAY([1]Master_Data!H12,2) + 1)</f>
        <v>45789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2026-08-13T15:32:34Z</dcterms:modified>
</cp:coreProperties>
</file>