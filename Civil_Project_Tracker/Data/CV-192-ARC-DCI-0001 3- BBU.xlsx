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Data\"/>
    </mc:Choice>
  </mc:AlternateContent>
  <xr:revisionPtr revIDLastSave="0" documentId="13_ncr:1_{35BED63A-9972-4299-A8B0-6F7024F154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I_ ARC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6" i="1"/>
  <c r="I19" i="1"/>
  <c r="I20" i="1" s="1"/>
  <c r="J20" i="1" s="1"/>
  <c r="J15" i="1"/>
  <c r="J16" i="1"/>
  <c r="J14" i="1"/>
  <c r="I11" i="1"/>
  <c r="J11" i="1" s="1"/>
  <c r="I10" i="1"/>
  <c r="J10" i="1" s="1"/>
  <c r="I9" i="1"/>
  <c r="J9" i="1" s="1"/>
  <c r="J8" i="1"/>
  <c r="J7" i="1"/>
  <c r="C20" i="1" l="1"/>
  <c r="C19" i="1"/>
  <c r="C22" i="1"/>
  <c r="C10" i="1"/>
  <c r="C23" i="1"/>
  <c r="C21" i="1"/>
  <c r="C11" i="1"/>
  <c r="C14" i="1"/>
  <c r="C8" i="1"/>
  <c r="C15" i="1"/>
  <c r="C9" i="1"/>
  <c r="C7" i="1"/>
  <c r="J19" i="1"/>
  <c r="I21" i="1"/>
  <c r="J21" i="1" s="1"/>
  <c r="I23" i="1"/>
  <c r="J23" i="1" s="1"/>
  <c r="I22" i="1"/>
  <c r="J22" i="1" s="1"/>
  <c r="D7" i="1"/>
  <c r="D8" i="1" s="1"/>
  <c r="D9" i="1" s="1"/>
  <c r="D10" i="1" s="1"/>
  <c r="D11" i="1" s="1"/>
  <c r="D14" i="1"/>
  <c r="D15" i="1" s="1"/>
  <c r="D16" i="1" s="1"/>
  <c r="D19" i="1"/>
  <c r="D20" i="1" s="1"/>
  <c r="D21" i="1" s="1"/>
  <c r="D22" i="1" s="1"/>
  <c r="D23" i="1" s="1"/>
  <c r="A2" i="1" l="1"/>
</calcChain>
</file>

<file path=xl/sharedStrings.xml><?xml version="1.0" encoding="utf-8"?>
<sst xmlns="http://schemas.openxmlformats.org/spreadsheetml/2006/main" count="78" uniqueCount="65">
  <si>
    <t>S.NO.</t>
  </si>
  <si>
    <t xml:space="preserve">REVISION </t>
  </si>
  <si>
    <t>DOCUMENTS</t>
  </si>
  <si>
    <t xml:space="preserve">Comment </t>
  </si>
  <si>
    <t>GTC Substation and control room</t>
  </si>
  <si>
    <t xml:space="preserve">PTA SUBSTATION </t>
  </si>
  <si>
    <t>ABF Substation &amp; Control Room</t>
  </si>
  <si>
    <t>ELEVATION</t>
  </si>
  <si>
    <t xml:space="preserve">SECTIONS  </t>
  </si>
  <si>
    <t>SECOND AND TERRACE FLOOR PLAN @ E.L. 110.35 &amp; 116.95</t>
  </si>
  <si>
    <t>ROOF PLAN, ELEVATION &amp; SECTION @ E.L. 110.35</t>
  </si>
  <si>
    <t>SECOND AND TERRACE FLOOR PLAN @ E.L. 111.55 &amp; 118.30</t>
  </si>
  <si>
    <t>Document No.</t>
  </si>
  <si>
    <t>CV-192-ARC-PTA-DRW-0001</t>
  </si>
  <si>
    <t>CV-192-ARC-PTA-DRW-0002</t>
  </si>
  <si>
    <t>CV-192-ARC-ABF-DRW-0001</t>
  </si>
  <si>
    <t>CV-192-ARC-ABF-DRW-0002</t>
  </si>
  <si>
    <t>CV-192-ARC-ABF-DRW-0003</t>
  </si>
  <si>
    <t>CV-192-ARC-ABF-DRW-0004</t>
  </si>
  <si>
    <t>CV-192-ARC-GTC-DRW-0001</t>
  </si>
  <si>
    <t>CV-192-ARC-GTC-DRW-0002</t>
  </si>
  <si>
    <t>CV-192-ARC-GTC-DRW-0003</t>
  </si>
  <si>
    <t>CV-192-ARC-GTC-DRW-0004</t>
  </si>
  <si>
    <t>CV-192-ARC-GTC-DRW-0005</t>
  </si>
  <si>
    <t>CV-192-ARC-PTA-DRW-0003</t>
  </si>
  <si>
    <t>CV-192-ARC-ABF-DRW-0005</t>
  </si>
  <si>
    <t xml:space="preserve">ARCHITECTURAL STAIRCASE DETAILS FOR PTA SUBSTATION </t>
  </si>
  <si>
    <t>ARCHITECTURAL STAIRCASE DETAILS FOR ABF SUBSTATION &amp; CONTROL ROOM BUILDING</t>
  </si>
  <si>
    <t>ARCHITECTURAL STAIRCASE DETAILS FOR GTC SUBSTATION &amp; CONTROL ROOM BUILDING</t>
  </si>
  <si>
    <t>GROUND AND FIRST FLOOR PLAN @ E.L. 100.45 &amp; 104.65 (DOOR - WINDOW AND FINISHES SCHEDULE)</t>
  </si>
  <si>
    <t xml:space="preserve">PLANNED ISSUE DATE </t>
  </si>
  <si>
    <t>PLANNED APPROVAL DATE</t>
  </si>
  <si>
    <t>Completion Approval</t>
  </si>
  <si>
    <t xml:space="preserve">Completion Submittion </t>
  </si>
  <si>
    <t>Weightage</t>
  </si>
  <si>
    <t>SECTION</t>
  </si>
  <si>
    <t>Architectural DBR</t>
  </si>
  <si>
    <t>CV-192-ARC-DBR-0001</t>
  </si>
  <si>
    <t xml:space="preserve"> R1 SUBMISSION</t>
  </si>
  <si>
    <t>R1 APPROVAL</t>
  </si>
  <si>
    <t>R2 APPROVAL</t>
  </si>
  <si>
    <t xml:space="preserve"> R3 SUBMISSION</t>
  </si>
  <si>
    <t>R3 APPROVAL</t>
  </si>
  <si>
    <t xml:space="preserve"> R4 SUBMISSION</t>
  </si>
  <si>
    <t>R4 APPROVAL</t>
  </si>
  <si>
    <t>R5 APPROVAL</t>
  </si>
  <si>
    <t xml:space="preserve"> R5 SUBMISSION</t>
  </si>
  <si>
    <t xml:space="preserve"> R6 SUBMISSION</t>
  </si>
  <si>
    <t>R6 APPROVAL</t>
  </si>
  <si>
    <t xml:space="preserve"> R7 SUBMISSION</t>
  </si>
  <si>
    <t>R7 APPROVAL</t>
  </si>
  <si>
    <t xml:space="preserve"> R0 SUBMISSION</t>
  </si>
  <si>
    <t>R0 APPROVAL</t>
  </si>
  <si>
    <t>V</t>
  </si>
  <si>
    <t xml:space="preserve"> R8 SUBMISSION</t>
  </si>
  <si>
    <t>R8 APPROVAL</t>
  </si>
  <si>
    <t xml:space="preserve">Rev no </t>
  </si>
  <si>
    <t>Last Submission Date</t>
  </si>
  <si>
    <t>R2</t>
  </si>
  <si>
    <t>R3</t>
  </si>
  <si>
    <t>R7</t>
  </si>
  <si>
    <t>R8</t>
  </si>
  <si>
    <t>All Arch drawings have recived CODE 2 approval</t>
  </si>
  <si>
    <t>GTC Architectural drawings are yet to be submitted incorporating EIL commnets</t>
  </si>
  <si>
    <t>GIS and 11 kV Control Room building - CODE 2- approved Architectural drawings are received from GE on 15th April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</si>
</sst>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3" borderId="1" xfId="0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L29"/>
  <sheetViews>
    <sheetView tabSelected="1" zoomScale="85" zoomScaleNormal="85" workbookViewId="0">
      <selection activeCell="F25" sqref="F25"/>
    </sheetView>
  </sheetViews>
  <sheetFormatPr defaultColWidth="9.1796875" defaultRowHeight="14.5" x14ac:dyDescent="0.35"/>
  <cols>
    <col min="1" max="1" width="12.1796875" style="2" customWidth="1"/>
    <col min="2" max="3" width="16.54296875" style="2" customWidth="1"/>
    <col min="4" max="4" width="6.81640625" style="2" customWidth="1"/>
    <col min="5" max="5" width="10.453125" style="2" bestFit="1" customWidth="1"/>
    <col min="6" max="6" width="26.1796875" style="2" bestFit="1" customWidth="1"/>
    <col min="7" max="7" width="103.54296875" style="2" customWidth="1"/>
    <col min="8" max="8" width="9.54296875" style="2" bestFit="1" customWidth="1"/>
    <col min="9" max="9" width="12.54296875" style="4" customWidth="1"/>
    <col min="10" max="37" width="16.81640625" style="4" customWidth="1"/>
    <col min="38" max="38" width="44" style="2" customWidth="1"/>
    <col min="39" max="16384" width="9.1796875" style="2"/>
  </cols>
  <sheetData>
    <row r="2" spans="1:38" x14ac:dyDescent="0.35">
      <c r="A2" s="16">
        <f>SUMIF(A4:A23,TRUE,C4:C23)</f>
        <v>58.461538461538453</v>
      </c>
    </row>
    <row r="3" spans="1:38" ht="28.5" customHeight="1" x14ac:dyDescent="0.35">
      <c r="A3" s="17" t="s">
        <v>33</v>
      </c>
      <c r="B3" s="17" t="s">
        <v>32</v>
      </c>
      <c r="C3" s="1" t="s">
        <v>34</v>
      </c>
      <c r="D3" s="1" t="s">
        <v>0</v>
      </c>
      <c r="E3" s="1" t="s">
        <v>1</v>
      </c>
      <c r="F3" s="1" t="s">
        <v>12</v>
      </c>
      <c r="G3" s="1" t="s">
        <v>2</v>
      </c>
      <c r="H3" s="1" t="s">
        <v>56</v>
      </c>
      <c r="I3" s="18" t="s">
        <v>30</v>
      </c>
      <c r="J3" s="18" t="s">
        <v>31</v>
      </c>
      <c r="K3" s="18" t="s">
        <v>51</v>
      </c>
      <c r="L3" s="18" t="s">
        <v>52</v>
      </c>
      <c r="M3" s="18"/>
      <c r="N3" s="18" t="s">
        <v>38</v>
      </c>
      <c r="O3" s="18" t="s">
        <v>39</v>
      </c>
      <c r="P3" s="18"/>
      <c r="Q3" s="18" t="s">
        <v>57</v>
      </c>
      <c r="R3" s="18" t="s">
        <v>40</v>
      </c>
      <c r="S3" s="18"/>
      <c r="T3" s="18" t="s">
        <v>41</v>
      </c>
      <c r="U3" s="18" t="s">
        <v>42</v>
      </c>
      <c r="V3" s="18"/>
      <c r="W3" s="18" t="s">
        <v>43</v>
      </c>
      <c r="X3" s="18" t="s">
        <v>44</v>
      </c>
      <c r="Y3" s="18"/>
      <c r="Z3" s="18" t="s">
        <v>46</v>
      </c>
      <c r="AA3" s="18" t="s">
        <v>45</v>
      </c>
      <c r="AB3" s="18"/>
      <c r="AC3" s="18" t="s">
        <v>47</v>
      </c>
      <c r="AD3" s="18" t="s">
        <v>48</v>
      </c>
      <c r="AE3" s="18"/>
      <c r="AF3" s="18" t="s">
        <v>49</v>
      </c>
      <c r="AG3" s="18" t="s">
        <v>50</v>
      </c>
      <c r="AH3" s="18"/>
      <c r="AI3" s="18" t="s">
        <v>54</v>
      </c>
      <c r="AJ3" s="18" t="s">
        <v>55</v>
      </c>
      <c r="AK3" s="18"/>
      <c r="AL3" s="1" t="s">
        <v>3</v>
      </c>
    </row>
    <row r="4" spans="1:38" x14ac:dyDescent="0.35">
      <c r="A4" s="19" t="b">
        <v>1</v>
      </c>
      <c r="B4" s="19" t="b">
        <v>1</v>
      </c>
      <c r="C4" s="20">
        <v>10</v>
      </c>
      <c r="D4" s="5">
        <v>1</v>
      </c>
      <c r="E4" s="5"/>
      <c r="F4" s="5" t="s">
        <v>37</v>
      </c>
      <c r="G4" s="6" t="s">
        <v>36</v>
      </c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21"/>
    </row>
    <row r="5" spans="1:38" ht="14.25" customHeight="1" x14ac:dyDescent="0.35">
      <c r="A5" s="20"/>
      <c r="B5" s="20"/>
      <c r="C5" s="20"/>
      <c r="D5" s="10"/>
      <c r="E5" s="10"/>
      <c r="F5" s="10"/>
      <c r="G5" s="9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22"/>
    </row>
    <row r="6" spans="1:38" x14ac:dyDescent="0.35">
      <c r="A6" s="15"/>
      <c r="B6" s="28"/>
      <c r="C6" s="28"/>
      <c r="D6" s="15">
        <v>2</v>
      </c>
      <c r="E6" s="15"/>
      <c r="F6" s="15"/>
      <c r="G6" s="28" t="s">
        <v>4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x14ac:dyDescent="0.35">
      <c r="A7" s="19" t="b">
        <v>0</v>
      </c>
      <c r="B7" s="19" t="b">
        <v>0</v>
      </c>
      <c r="C7" s="7">
        <f>$C$29</f>
        <v>6.9230769230769234</v>
      </c>
      <c r="D7" s="5" t="str">
        <f>IF(
    ISERROR(VALUE(SUBSTITUTE(D6,".",""))),
    "0.1",
    IF(
        ISERROR(FIND("`",SUBSTITUTE(D6,".","`",1))),
        D6 &amp; ".1",
        LEFT(D6,FIND("`",SUBSTITUTE(D6,".","`",1))) &amp;
        IF(
            ISERROR(FIND("`",SUBSTITUTE(D6,".","`",2))),
            VALUE(RIGHT(D6,LEN(D6)-FIND("`",SUBSTITUTE(D6,".","`",1))))+1,
            VALUE(MID(D6,
                FIND("`",SUBSTITUTE(D6,".","`",1))+1,
                (FIND("`",SUBSTITUTE(D6,".","`",2))-FIND("`",SUBSTITUTE(D6,".","`",1))-1)
            ))+1
        )
    )
)</f>
        <v>2.1</v>
      </c>
      <c r="E7" s="5"/>
      <c r="F7" s="5" t="s">
        <v>19</v>
      </c>
      <c r="G7" s="6" t="s">
        <v>29</v>
      </c>
      <c r="H7" s="7" t="s">
        <v>59</v>
      </c>
      <c r="I7" s="14">
        <v>46038</v>
      </c>
      <c r="J7" s="8">
        <f>WORKDAY(I7,3)</f>
        <v>46043</v>
      </c>
      <c r="K7" s="8">
        <v>46045</v>
      </c>
      <c r="L7" s="8">
        <v>46063</v>
      </c>
      <c r="M7" s="24">
        <v>2</v>
      </c>
      <c r="N7" s="8">
        <v>46104</v>
      </c>
      <c r="O7" s="8">
        <v>46108</v>
      </c>
      <c r="P7" s="24">
        <v>2</v>
      </c>
      <c r="Q7" s="25">
        <v>46169</v>
      </c>
      <c r="R7" s="8">
        <v>46148</v>
      </c>
      <c r="S7" s="24">
        <v>2</v>
      </c>
      <c r="T7" s="26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21"/>
    </row>
    <row r="8" spans="1:38" x14ac:dyDescent="0.35">
      <c r="A8" s="19" t="b">
        <v>0</v>
      </c>
      <c r="B8" s="19" t="b">
        <v>0</v>
      </c>
      <c r="C8" s="10">
        <f t="shared" ref="C8:C11" si="0">$C$29</f>
        <v>6.9230769230769234</v>
      </c>
      <c r="D8" s="5" t="str">
        <f t="shared" ref="D8:D9" si="1">IF(
    ISERROR(VALUE(SUBSTITUTE(D7,".",""))),
    "0.1",
    IF(
        ISERROR(FIND("`",SUBSTITUTE(D7,".","`",1))),
        D7 &amp; ".1",
        LEFT(D7,FIND("`",SUBSTITUTE(D7,".","`",1))) &amp;
        IF(
            ISERROR(FIND("`",SUBSTITUTE(D7,".","`",2))),
            VALUE(RIGHT(D7,LEN(D7)-FIND("`",SUBSTITUTE(D7,".","`",1))))+1,
            VALUE(MID(D7,
                FIND("`",SUBSTITUTE(D7,".","`",1))+1,
                (FIND("`",SUBSTITUTE(D7,".","`",2))-FIND("`",SUBSTITUTE(D7,".","`",1))-1)
            ))+1
        )
    )
)</f>
        <v>2.2</v>
      </c>
      <c r="E8" s="5"/>
      <c r="F8" s="5" t="s">
        <v>20</v>
      </c>
      <c r="G8" s="9" t="s">
        <v>11</v>
      </c>
      <c r="H8" s="10" t="s">
        <v>59</v>
      </c>
      <c r="I8" s="14">
        <v>46038</v>
      </c>
      <c r="J8" s="8">
        <f>WORKDAY(I8,3)</f>
        <v>46043</v>
      </c>
      <c r="K8" s="8">
        <v>46045</v>
      </c>
      <c r="L8" s="8">
        <v>46063</v>
      </c>
      <c r="M8" s="24">
        <v>2</v>
      </c>
      <c r="N8" s="8">
        <v>46104</v>
      </c>
      <c r="O8" s="8">
        <v>46108</v>
      </c>
      <c r="P8" s="24">
        <v>2</v>
      </c>
      <c r="Q8" s="25">
        <v>46169</v>
      </c>
      <c r="R8" s="8">
        <v>46148</v>
      </c>
      <c r="S8" s="24">
        <v>2</v>
      </c>
      <c r="T8" s="26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11"/>
    </row>
    <row r="9" spans="1:38" x14ac:dyDescent="0.35">
      <c r="A9" s="19" t="b">
        <v>0</v>
      </c>
      <c r="B9" s="19" t="b">
        <v>0</v>
      </c>
      <c r="C9" s="7">
        <f t="shared" si="0"/>
        <v>6.9230769230769234</v>
      </c>
      <c r="D9" s="5" t="str">
        <f t="shared" si="1"/>
        <v>2.3</v>
      </c>
      <c r="E9" s="5"/>
      <c r="F9" s="5" t="s">
        <v>21</v>
      </c>
      <c r="G9" s="9" t="s">
        <v>7</v>
      </c>
      <c r="H9" s="7" t="s">
        <v>58</v>
      </c>
      <c r="I9" s="8">
        <f>WORKDAY(I8,3)</f>
        <v>46043</v>
      </c>
      <c r="J9" s="8">
        <f t="shared" ref="J9:J11" si="2">WORKDAY(I9,3)</f>
        <v>46048</v>
      </c>
      <c r="K9" s="8">
        <v>46056</v>
      </c>
      <c r="L9" s="8">
        <v>46066</v>
      </c>
      <c r="M9" s="24">
        <v>2</v>
      </c>
      <c r="N9" s="8">
        <v>46133</v>
      </c>
      <c r="O9" s="8">
        <v>46148</v>
      </c>
      <c r="P9" s="24">
        <v>2</v>
      </c>
      <c r="Q9" s="25">
        <v>46169</v>
      </c>
      <c r="R9" s="8"/>
      <c r="S9" s="24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5"/>
    </row>
    <row r="10" spans="1:38" ht="13.5" customHeight="1" x14ac:dyDescent="0.35">
      <c r="A10" s="19" t="b">
        <v>0</v>
      </c>
      <c r="B10" s="19" t="b">
        <v>0</v>
      </c>
      <c r="C10" s="10">
        <f t="shared" si="0"/>
        <v>6.9230769230769234</v>
      </c>
      <c r="D10" s="5" t="str">
        <f>IF(
    ISERROR(VALUE(SUBSTITUTE(D9,".",""))),
    "0.1",
    IF(
        ISERROR(FIND("`",SUBSTITUTE(D9,".","`",1))),
        D9 &amp; ".1",
        LEFT(D9,FIND("`",SUBSTITUTE(D9,".","`",1))) &amp;
        IF(
            ISERROR(FIND("`",SUBSTITUTE(D9,".","`",2))),
            VALUE(RIGHT(D9,LEN(D9)-FIND("`",SUBSTITUTE(D9,".","`",1))))+1,
            VALUE(MID(D9,
                FIND("`",SUBSTITUTE(D9,".","`",1))+1,
                (FIND("`",SUBSTITUTE(D9,".","`",2))-FIND("`",SUBSTITUTE(D9,".","`",1))-1)
            ))+1
        )
    )
)</f>
        <v>2.4</v>
      </c>
      <c r="E10" s="5"/>
      <c r="F10" s="5" t="s">
        <v>22</v>
      </c>
      <c r="G10" s="6" t="s">
        <v>8</v>
      </c>
      <c r="H10" s="7" t="s">
        <v>58</v>
      </c>
      <c r="I10" s="8">
        <f>WORKDAY($I$8,3)</f>
        <v>46043</v>
      </c>
      <c r="J10" s="8">
        <f t="shared" si="2"/>
        <v>46048</v>
      </c>
      <c r="K10" s="8">
        <v>46056</v>
      </c>
      <c r="L10" s="8">
        <v>46066</v>
      </c>
      <c r="M10" s="24">
        <v>2</v>
      </c>
      <c r="N10" s="8">
        <v>46133</v>
      </c>
      <c r="O10" s="8">
        <v>46148</v>
      </c>
      <c r="P10" s="24">
        <v>2</v>
      </c>
      <c r="Q10" s="25">
        <v>46169</v>
      </c>
      <c r="R10" s="8"/>
      <c r="S10" s="24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5"/>
    </row>
    <row r="11" spans="1:38" ht="13.5" hidden="1" customHeight="1" x14ac:dyDescent="0.35">
      <c r="A11" s="19" t="b">
        <v>0</v>
      </c>
      <c r="B11" s="19" t="b">
        <v>0</v>
      </c>
      <c r="C11" s="10">
        <f t="shared" si="0"/>
        <v>6.9230769230769234</v>
      </c>
      <c r="D11" s="5" t="str">
        <f>IF(
    ISERROR(VALUE(SUBSTITUTE(D10,".",""))),
    "0.1",
    IF(
        ISERROR(FIND("`",SUBSTITUTE(D10,".","`",1))),
        D10 &amp; ".1",
        LEFT(D10,FIND("`",SUBSTITUTE(D10,".","`",1))) &amp;
        IF(
            ISERROR(FIND("`",SUBSTITUTE(D10,".","`",2))),
            VALUE(RIGHT(D10,LEN(D10)-FIND("`",SUBSTITUTE(D10,".","`",1))))+1,
            VALUE(MID(D10,
                FIND("`",SUBSTITUTE(D10,".","`",1))+1,
                (FIND("`",SUBSTITUTE(D10,".","`",2))-FIND("`",SUBSTITUTE(D10,".","`",1))-1)
            ))+1
        )
    )
)</f>
        <v>2.5</v>
      </c>
      <c r="E11" s="5"/>
      <c r="F11" s="5" t="s">
        <v>23</v>
      </c>
      <c r="G11" s="12" t="s">
        <v>28</v>
      </c>
      <c r="H11" s="7" t="s">
        <v>58</v>
      </c>
      <c r="I11" s="8">
        <f>WORKDAY($I$8,3)</f>
        <v>46043</v>
      </c>
      <c r="J11" s="8">
        <f t="shared" si="2"/>
        <v>46048</v>
      </c>
      <c r="K11" s="8"/>
      <c r="L11" s="8"/>
      <c r="M11" s="24"/>
      <c r="N11" s="8"/>
      <c r="O11" s="8"/>
      <c r="P11" s="24"/>
      <c r="Q11" s="8"/>
      <c r="R11" s="8"/>
      <c r="S11" s="24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11"/>
    </row>
    <row r="12" spans="1:38" x14ac:dyDescent="0.35">
      <c r="A12" s="5"/>
      <c r="B12" s="6"/>
      <c r="C12" s="10"/>
      <c r="D12" s="5"/>
      <c r="E12" s="5"/>
      <c r="F12" s="5"/>
      <c r="G12" s="6"/>
      <c r="H12" s="10"/>
      <c r="I12" s="8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0"/>
    </row>
    <row r="13" spans="1:38" x14ac:dyDescent="0.35">
      <c r="A13" s="3"/>
      <c r="B13" s="29"/>
      <c r="C13" s="29"/>
      <c r="D13" s="3">
        <v>3</v>
      </c>
      <c r="E13" s="3"/>
      <c r="F13" s="3"/>
      <c r="G13" s="28" t="s">
        <v>5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1:38" x14ac:dyDescent="0.35">
      <c r="A14" s="19" t="b">
        <v>1</v>
      </c>
      <c r="B14" s="19" t="b">
        <v>0</v>
      </c>
      <c r="C14" s="7">
        <f>$C$29</f>
        <v>6.9230769230769234</v>
      </c>
      <c r="D14" s="5" t="str">
        <f>IF(
    ISERROR(VALUE(SUBSTITUTE(D13,".",""))),
    "0.1",
    IF(
        ISERROR(FIND("`",SUBSTITUTE(D13,".","`",1))),
        D13 &amp; ".1",
        LEFT(D13,FIND("`",SUBSTITUTE(D13,".","`",1))) &amp;
        IF(
            ISERROR(FIND("`",SUBSTITUTE(D13,".","`",2))),
            VALUE(RIGHT(D13,LEN(D13)-FIND("`",SUBSTITUTE(D13,".","`",1))))+1,
            VALUE(MID(D13,
                FIND("`",SUBSTITUTE(D13,".","`",1))+1,
                (FIND("`",SUBSTITUTE(D13,".","`",2))-FIND("`",SUBSTITUTE(D13,".","`",1))-1)
            ))+1
        )
    )
)</f>
        <v>3.1</v>
      </c>
      <c r="E14" s="5"/>
      <c r="F14" s="5" t="s">
        <v>13</v>
      </c>
      <c r="G14" s="6" t="s">
        <v>29</v>
      </c>
      <c r="H14" s="7" t="s">
        <v>60</v>
      </c>
      <c r="I14" s="14">
        <v>46035</v>
      </c>
      <c r="J14" s="8">
        <f t="shared" ref="J14:J16" si="3">WORKDAY(I14,3)</f>
        <v>46038</v>
      </c>
      <c r="K14" s="8">
        <v>46045</v>
      </c>
      <c r="L14" s="8">
        <v>46063</v>
      </c>
      <c r="M14" s="5">
        <v>2</v>
      </c>
      <c r="N14" s="8">
        <v>46085</v>
      </c>
      <c r="O14" s="8">
        <v>46086</v>
      </c>
      <c r="P14" s="8" t="s">
        <v>53</v>
      </c>
      <c r="Q14" s="25">
        <v>46176</v>
      </c>
      <c r="R14" s="8">
        <v>46106</v>
      </c>
      <c r="S14" s="24">
        <v>2</v>
      </c>
      <c r="T14" s="26"/>
      <c r="U14" s="26"/>
      <c r="V14" s="20"/>
      <c r="W14" s="26"/>
      <c r="X14" s="26"/>
      <c r="Y14" s="24"/>
      <c r="Z14" s="26"/>
      <c r="AA14" s="26"/>
      <c r="AB14" s="24"/>
      <c r="AC14" s="26"/>
      <c r="AD14" s="26"/>
      <c r="AE14" s="24"/>
      <c r="AF14" s="26"/>
      <c r="AG14" s="26"/>
      <c r="AH14" s="26"/>
      <c r="AI14" s="26"/>
      <c r="AJ14" s="8"/>
      <c r="AK14" s="8"/>
      <c r="AL14" s="21"/>
    </row>
    <row r="15" spans="1:38" x14ac:dyDescent="0.35">
      <c r="A15" s="19" t="b">
        <v>1</v>
      </c>
      <c r="B15" s="19" t="b">
        <v>0</v>
      </c>
      <c r="C15" s="13">
        <f>$C$29</f>
        <v>6.9230769230769234</v>
      </c>
      <c r="D15" s="5" t="str">
        <f t="shared" ref="D15" si="4">IF(
    ISERROR(VALUE(SUBSTITUTE(D14,".",""))),
    "0.1",
    IF(
        ISERROR(FIND("`",SUBSTITUTE(D14,".","`",1))),
        D14 &amp; ".1",
        LEFT(D14,FIND("`",SUBSTITUTE(D14,".","`",1))) &amp;
        IF(
            ISERROR(FIND("`",SUBSTITUTE(D14,".","`",2))),
            VALUE(RIGHT(D14,LEN(D14)-FIND("`",SUBSTITUTE(D14,".","`",1))))+1,
            VALUE(MID(D14,
                FIND("`",SUBSTITUTE(D14,".","`",1))+1,
                (FIND("`",SUBSTITUTE(D14,".","`",2))-FIND("`",SUBSTITUTE(D14,".","`",1))-1)
            ))+1
        )
    )
)</f>
        <v>3.2</v>
      </c>
      <c r="E15" s="5"/>
      <c r="F15" s="5" t="s">
        <v>14</v>
      </c>
      <c r="G15" s="9" t="s">
        <v>10</v>
      </c>
      <c r="H15" s="13" t="s">
        <v>61</v>
      </c>
      <c r="I15" s="14">
        <v>46037</v>
      </c>
      <c r="J15" s="8">
        <f t="shared" si="3"/>
        <v>46042</v>
      </c>
      <c r="K15" s="8">
        <v>46045</v>
      </c>
      <c r="L15" s="8">
        <v>46063</v>
      </c>
      <c r="M15" s="5">
        <v>2</v>
      </c>
      <c r="N15" s="8">
        <v>46085</v>
      </c>
      <c r="O15" s="8">
        <v>46086</v>
      </c>
      <c r="P15" s="8" t="s">
        <v>53</v>
      </c>
      <c r="Q15" s="25">
        <v>46176</v>
      </c>
      <c r="R15" s="8">
        <v>46106</v>
      </c>
      <c r="S15" s="24">
        <v>2</v>
      </c>
      <c r="T15" s="26"/>
      <c r="U15" s="26"/>
      <c r="V15" s="26"/>
      <c r="W15" s="26"/>
      <c r="X15" s="26"/>
      <c r="Y15" s="24"/>
      <c r="Z15" s="26"/>
      <c r="AA15" s="26"/>
      <c r="AB15" s="24"/>
      <c r="AC15" s="26"/>
      <c r="AD15" s="26"/>
      <c r="AE15" s="24"/>
      <c r="AF15" s="26"/>
      <c r="AG15" s="26"/>
      <c r="AH15" s="20"/>
      <c r="AI15" s="26"/>
      <c r="AJ15" s="8"/>
      <c r="AK15" s="5"/>
      <c r="AL15" s="11"/>
    </row>
    <row r="16" spans="1:38" x14ac:dyDescent="0.35">
      <c r="A16" s="19" t="b">
        <v>1</v>
      </c>
      <c r="B16" s="19" t="b">
        <v>0</v>
      </c>
      <c r="C16" s="13">
        <f>$C$29</f>
        <v>6.9230769230769234</v>
      </c>
      <c r="D16" s="5" t="str">
        <f>IF(
    ISERROR(VALUE(SUBSTITUTE(D15,".",""))),
    "0.1",
    IF(
        ISERROR(FIND("`",SUBSTITUTE(D15,".","`",1))),
        D15 &amp; ".1",
        LEFT(D15,FIND("`",SUBSTITUTE(D15,".","`",1))) &amp;
        IF(
            ISERROR(FIND("`",SUBSTITUTE(D15,".","`",2))),
            VALUE(RIGHT(D15,LEN(D15)-FIND("`",SUBSTITUTE(D15,".","`",1))))+1,
            VALUE(MID(D15,
                FIND("`",SUBSTITUTE(D15,".","`",1))+1,
                (FIND("`",SUBSTITUTE(D15,".","`",2))-FIND("`",SUBSTITUTE(D15,".","`",1))-1)
            ))+1
        )
    )
)</f>
        <v>3.3</v>
      </c>
      <c r="E16" s="5"/>
      <c r="F16" s="5" t="s">
        <v>24</v>
      </c>
      <c r="G16" s="12" t="s">
        <v>26</v>
      </c>
      <c r="H16" s="13" t="s">
        <v>58</v>
      </c>
      <c r="I16" s="14">
        <v>46037</v>
      </c>
      <c r="J16" s="8">
        <f t="shared" si="3"/>
        <v>46042</v>
      </c>
      <c r="K16" s="8">
        <v>46150</v>
      </c>
      <c r="L16" s="8">
        <v>46155</v>
      </c>
      <c r="M16" s="5">
        <v>2</v>
      </c>
      <c r="N16" s="8">
        <v>46161</v>
      </c>
      <c r="O16" s="8">
        <v>46174</v>
      </c>
      <c r="P16" s="2">
        <v>2</v>
      </c>
      <c r="Q16" s="25">
        <v>46176</v>
      </c>
      <c r="R16" s="8"/>
      <c r="S16" s="5">
        <v>2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11"/>
    </row>
    <row r="17" spans="1:38" x14ac:dyDescent="0.35">
      <c r="A17" s="5"/>
      <c r="B17" s="6"/>
      <c r="C17" s="10"/>
      <c r="D17" s="5"/>
      <c r="E17" s="5"/>
      <c r="F17" s="5"/>
      <c r="G17" s="6"/>
      <c r="H17" s="10"/>
      <c r="I17" s="8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0"/>
    </row>
    <row r="18" spans="1:38" x14ac:dyDescent="0.35">
      <c r="A18" s="3"/>
      <c r="B18" s="29"/>
      <c r="C18" s="29"/>
      <c r="D18" s="3">
        <v>4</v>
      </c>
      <c r="E18" s="3"/>
      <c r="F18" s="3"/>
      <c r="G18" s="28" t="s">
        <v>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1:38" x14ac:dyDescent="0.35">
      <c r="A19" s="19" t="b">
        <v>1</v>
      </c>
      <c r="B19" s="19" t="b">
        <v>0</v>
      </c>
      <c r="C19" s="7">
        <f>$C$29</f>
        <v>6.9230769230769234</v>
      </c>
      <c r="D19" s="5" t="str">
        <f>IF(
    ISERROR(VALUE(SUBSTITUTE(D18,".",""))),
    "0.1",
    IF(
        ISERROR(FIND("`",SUBSTITUTE(D18,".","`",1))),
        D18 &amp; ".1",
        LEFT(D18,FIND("`",SUBSTITUTE(D18,".","`",1))) &amp;
        IF(
            ISERROR(FIND("`",SUBSTITUTE(D18,".","`",2))),
            VALUE(RIGHT(D18,LEN(D18)-FIND("`",SUBSTITUTE(D18,".","`",1))))+1,
            VALUE(MID(D18,
                FIND("`",SUBSTITUTE(D18,".","`",1))+1,
                (FIND("`",SUBSTITUTE(D18,".","`",2))-FIND("`",SUBSTITUTE(D18,".","`",1))-1)
            ))+1
        )
    )
)</f>
        <v>4.1</v>
      </c>
      <c r="E19" s="5"/>
      <c r="F19" s="5" t="s">
        <v>15</v>
      </c>
      <c r="G19" s="6" t="s">
        <v>29</v>
      </c>
      <c r="H19" s="7" t="s">
        <v>59</v>
      </c>
      <c r="I19" s="8">
        <f>WORKDAY($I$8,3)</f>
        <v>46043</v>
      </c>
      <c r="J19" s="8">
        <f t="shared" ref="J19:J23" si="5">WORKDAY(I19,3)</f>
        <v>46048</v>
      </c>
      <c r="K19" s="8">
        <v>46045</v>
      </c>
      <c r="L19" s="8">
        <v>46063</v>
      </c>
      <c r="M19" s="24">
        <v>2</v>
      </c>
      <c r="N19" s="8">
        <v>46066</v>
      </c>
      <c r="O19" s="8">
        <v>46108</v>
      </c>
      <c r="P19" s="24">
        <v>2</v>
      </c>
      <c r="Q19" s="25">
        <v>46183</v>
      </c>
      <c r="R19" s="8">
        <v>46147</v>
      </c>
      <c r="S19" s="24">
        <v>2</v>
      </c>
      <c r="T19" s="26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21"/>
    </row>
    <row r="20" spans="1:38" x14ac:dyDescent="0.35">
      <c r="A20" s="19" t="b">
        <v>1</v>
      </c>
      <c r="B20" s="19" t="b">
        <v>0</v>
      </c>
      <c r="C20" s="10">
        <f t="shared" ref="C20:C23" si="6">$C$29</f>
        <v>6.9230769230769234</v>
      </c>
      <c r="D20" s="5" t="str">
        <f t="shared" ref="D20:D22" si="7">IF(
    ISERROR(VALUE(SUBSTITUTE(D19,".",""))),
    "0.1",
    IF(
        ISERROR(FIND("`",SUBSTITUTE(D19,".","`",1))),
        D19 &amp; ".1",
        LEFT(D19,FIND("`",SUBSTITUTE(D19,".","`",1))) &amp;
        IF(
            ISERROR(FIND("`",SUBSTITUTE(D19,".","`",2))),
            VALUE(RIGHT(D19,LEN(D19)-FIND("`",SUBSTITUTE(D19,".","`",1))))+1,
            VALUE(MID(D19,
                FIND("`",SUBSTITUTE(D19,".","`",1))+1,
                (FIND("`",SUBSTITUTE(D19,".","`",2))-FIND("`",SUBSTITUTE(D19,".","`",1))-1)
            ))+1
        )
    )
)</f>
        <v>4.2</v>
      </c>
      <c r="E20" s="5"/>
      <c r="F20" s="5" t="s">
        <v>16</v>
      </c>
      <c r="G20" s="9" t="s">
        <v>9</v>
      </c>
      <c r="H20" s="7" t="s">
        <v>59</v>
      </c>
      <c r="I20" s="8">
        <f>WORKDAY(I19,4)</f>
        <v>46049</v>
      </c>
      <c r="J20" s="8">
        <f t="shared" si="5"/>
        <v>46052</v>
      </c>
      <c r="K20" s="8">
        <v>46049</v>
      </c>
      <c r="L20" s="8">
        <v>46063</v>
      </c>
      <c r="M20" s="24">
        <v>2</v>
      </c>
      <c r="N20" s="8">
        <v>46093</v>
      </c>
      <c r="O20" s="8">
        <v>46118</v>
      </c>
      <c r="P20" s="24">
        <v>2</v>
      </c>
      <c r="Q20" s="25">
        <v>46183</v>
      </c>
      <c r="R20" s="8">
        <v>46147</v>
      </c>
      <c r="S20" s="24">
        <v>2</v>
      </c>
      <c r="T20" s="26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11"/>
    </row>
    <row r="21" spans="1:38" x14ac:dyDescent="0.35">
      <c r="A21" s="19" t="b">
        <v>1</v>
      </c>
      <c r="B21" s="19" t="b">
        <v>0</v>
      </c>
      <c r="C21" s="7">
        <f t="shared" si="6"/>
        <v>6.9230769230769234</v>
      </c>
      <c r="D21" s="5" t="str">
        <f t="shared" si="7"/>
        <v>4.3</v>
      </c>
      <c r="E21" s="5"/>
      <c r="F21" s="5" t="s">
        <v>17</v>
      </c>
      <c r="G21" s="9" t="s">
        <v>7</v>
      </c>
      <c r="H21" s="7" t="s">
        <v>59</v>
      </c>
      <c r="I21" s="8">
        <f>WORKDAY($I$20,3)</f>
        <v>46052</v>
      </c>
      <c r="J21" s="8">
        <f t="shared" si="5"/>
        <v>46057</v>
      </c>
      <c r="K21" s="8">
        <v>46055</v>
      </c>
      <c r="L21" s="8">
        <v>46066</v>
      </c>
      <c r="M21" s="24">
        <v>2</v>
      </c>
      <c r="N21" s="8">
        <v>46093</v>
      </c>
      <c r="O21" s="8">
        <v>46118</v>
      </c>
      <c r="P21" s="24">
        <v>2</v>
      </c>
      <c r="Q21" s="25">
        <v>46183</v>
      </c>
      <c r="R21" s="8">
        <v>46147</v>
      </c>
      <c r="S21" s="24">
        <v>2</v>
      </c>
      <c r="T21" s="26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5"/>
    </row>
    <row r="22" spans="1:38" ht="13.5" customHeight="1" x14ac:dyDescent="0.35">
      <c r="A22" s="19" t="b">
        <v>1</v>
      </c>
      <c r="B22" s="19" t="b">
        <v>0</v>
      </c>
      <c r="C22" s="10">
        <f t="shared" si="6"/>
        <v>6.9230769230769234</v>
      </c>
      <c r="D22" s="5" t="str">
        <f t="shared" si="7"/>
        <v>4.4</v>
      </c>
      <c r="E22" s="5"/>
      <c r="F22" s="5" t="s">
        <v>18</v>
      </c>
      <c r="G22" s="6" t="s">
        <v>35</v>
      </c>
      <c r="H22" s="7" t="s">
        <v>59</v>
      </c>
      <c r="I22" s="8">
        <f>WORKDAY($I$20,3)</f>
        <v>46052</v>
      </c>
      <c r="J22" s="8">
        <f t="shared" si="5"/>
        <v>46057</v>
      </c>
      <c r="K22" s="8">
        <v>46055</v>
      </c>
      <c r="L22" s="8">
        <v>46066</v>
      </c>
      <c r="M22" s="24">
        <v>2</v>
      </c>
      <c r="N22" s="8">
        <v>46093</v>
      </c>
      <c r="O22" s="8">
        <v>46108</v>
      </c>
      <c r="P22" s="24">
        <v>2</v>
      </c>
      <c r="Q22" s="25">
        <v>46183</v>
      </c>
      <c r="R22" s="8">
        <v>46147</v>
      </c>
      <c r="S22" s="24">
        <v>2</v>
      </c>
      <c r="T22" s="26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5"/>
    </row>
    <row r="23" spans="1:38" hidden="1" x14ac:dyDescent="0.35">
      <c r="A23" s="19" t="b">
        <v>0</v>
      </c>
      <c r="B23" s="19" t="b">
        <v>0</v>
      </c>
      <c r="C23" s="10">
        <f t="shared" si="6"/>
        <v>6.9230769230769234</v>
      </c>
      <c r="D23" s="5" t="str">
        <f>IF(
    ISERROR(VALUE(SUBSTITUTE(D22,".",""))),
    "0.1",
    IF(
        ISERROR(FIND("`",SUBSTITUTE(D22,".","`",1))),
        D22 &amp; ".1",
        LEFT(D22,FIND("`",SUBSTITUTE(D22,".","`",1))) &amp;
        IF(
            ISERROR(FIND("`",SUBSTITUTE(D22,".","`",2))),
            VALUE(RIGHT(D22,LEN(D22)-FIND("`",SUBSTITUTE(D22,".","`",1))))+1,
            VALUE(MID(D22,
                FIND("`",SUBSTITUTE(D22,".","`",1))+1,
                (FIND("`",SUBSTITUTE(D22,".","`",2))-FIND("`",SUBSTITUTE(D22,".","`",1))-1)
            ))+1
        )
    )
)</f>
        <v>4.5</v>
      </c>
      <c r="E23" s="5"/>
      <c r="F23" s="5" t="s">
        <v>25</v>
      </c>
      <c r="G23" s="12" t="s">
        <v>27</v>
      </c>
      <c r="H23" s="7" t="s">
        <v>59</v>
      </c>
      <c r="I23" s="8">
        <f>WORKDAY($I$20,3)</f>
        <v>46052</v>
      </c>
      <c r="J23" s="8">
        <f t="shared" si="5"/>
        <v>46057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11"/>
    </row>
    <row r="26" spans="1:38" x14ac:dyDescent="0.35">
      <c r="A26" s="2">
        <v>1</v>
      </c>
      <c r="B26" s="27" t="s">
        <v>62</v>
      </c>
      <c r="C26" s="2">
        <v>13</v>
      </c>
    </row>
    <row r="27" spans="1:38" x14ac:dyDescent="0.35">
      <c r="A27" s="2">
        <v>2</v>
      </c>
      <c r="B27" s="27" t="s">
        <v>63</v>
      </c>
    </row>
    <row r="28" spans="1:38" x14ac:dyDescent="0.35">
      <c r="A28" s="2">
        <v>3</v>
      </c>
      <c r="B28" s="27" t="s">
        <v>64</v>
      </c>
    </row>
    <row r="29" spans="1:38" x14ac:dyDescent="0.35">
      <c r="C29" s="2">
        <f>90/C26</f>
        <v>6.9230769230769234</v>
      </c>
    </row>
  </sheetData>
  <mergeCells count="6">
    <mergeCell ref="B6:C6"/>
    <mergeCell ref="B13:C13"/>
    <mergeCell ref="B18:C18"/>
    <mergeCell ref="G13:AL13"/>
    <mergeCell ref="G18:AL18"/>
    <mergeCell ref="G6:AL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DCI_ 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Biniwale</dc:creator>
  <cp:keywords/>
  <dc:description/>
  <cp:lastModifiedBy>Santosh Jadhav</cp:lastModifiedBy>
  <cp:revision/>
  <dcterms:created xsi:type="dcterms:W3CDTF">2025-09-26T06:48:44Z</dcterms:created>
  <dcterms:modified xsi:type="dcterms:W3CDTF">2026-08-17T06:19:11Z</dcterms:modified>
  <cp:category/>
  <cp:contentStatus/>
</cp:coreProperties>
</file>