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pgnet-my.sharepoint.com/personal/singhs93_kecrpg_com/Documents/1. WORK/Hindalco-Lapanga/SCHEDULER/"/>
    </mc:Choice>
  </mc:AlternateContent>
  <xr:revisionPtr revIDLastSave="796" documentId="13_ncr:1_{C2E12412-3AF4-454F-81E6-5E8C28391FA9}" xr6:coauthVersionLast="47" xr6:coauthVersionMax="47" xr10:uidLastSave="{E8B68AFE-DB12-4499-98C5-A818EDC0A89F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8" i="1" l="1"/>
  <c r="H83" i="1"/>
  <c r="I66" i="1" s="1"/>
  <c r="H49" i="1" s="1"/>
  <c r="B83" i="1"/>
  <c r="B84" i="1" s="1"/>
  <c r="B85" i="1" s="1"/>
  <c r="B86" i="1" s="1"/>
  <c r="B87" i="1" s="1"/>
  <c r="H66" i="1"/>
  <c r="B66" i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H46" i="1"/>
  <c r="G46" i="1"/>
  <c r="B46" i="1"/>
  <c r="B47" i="1" s="1"/>
  <c r="B48" i="1" s="1"/>
  <c r="B49" i="1" s="1"/>
  <c r="B50" i="1" s="1"/>
  <c r="B51" i="1" s="1"/>
  <c r="B52" i="1" s="1"/>
  <c r="H28" i="1"/>
  <c r="I28" i="1" s="1"/>
  <c r="B28" i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AH13" i="1"/>
  <c r="H8" i="1"/>
  <c r="H31" i="1" s="1"/>
  <c r="I31" i="1" s="1"/>
  <c r="B6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53" i="1" l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80" i="1"/>
  <c r="B89" i="1"/>
  <c r="B90" i="1" s="1"/>
  <c r="B91" i="1" s="1"/>
  <c r="B92" i="1" s="1"/>
  <c r="B93" i="1" s="1"/>
  <c r="B94" i="1" s="1"/>
  <c r="H32" i="1"/>
  <c r="I32" i="1" s="1"/>
  <c r="H11" i="1"/>
  <c r="I11" i="1" s="1"/>
  <c r="I8" i="1"/>
  <c r="H9" i="1"/>
  <c r="I9" i="1" s="1"/>
  <c r="H30" i="1"/>
  <c r="I30" i="1" s="1"/>
  <c r="H50" i="1"/>
  <c r="H47" i="1"/>
  <c r="H70" i="1"/>
  <c r="H68" i="1"/>
  <c r="H86" i="1"/>
  <c r="H84" i="1"/>
  <c r="H51" i="1"/>
  <c r="H48" i="1"/>
  <c r="H87" i="1"/>
  <c r="H85" i="1"/>
  <c r="H69" i="1"/>
  <c r="H67" i="1"/>
  <c r="I83" i="1"/>
  <c r="I46" i="1"/>
  <c r="H10" i="1"/>
  <c r="I10" i="1" s="1"/>
  <c r="H12" i="1"/>
  <c r="I12" i="1" s="1"/>
  <c r="H29" i="1"/>
  <c r="I29" i="1" s="1"/>
  <c r="B95" i="1" l="1"/>
  <c r="B96" i="1" s="1"/>
  <c r="I49" i="1"/>
  <c r="H33" i="1"/>
  <c r="H13" i="1"/>
  <c r="I70" i="1"/>
  <c r="H71" i="1" s="1"/>
  <c r="I68" i="1"/>
  <c r="I86" i="1"/>
  <c r="I84" i="1"/>
  <c r="I48" i="1"/>
  <c r="I50" i="1"/>
  <c r="I51" i="1"/>
  <c r="I47" i="1"/>
  <c r="I69" i="1"/>
  <c r="I67" i="1"/>
  <c r="I87" i="1"/>
  <c r="I85" i="1"/>
  <c r="B97" i="1" l="1"/>
  <c r="B98" i="1" s="1"/>
  <c r="B99" i="1" s="1"/>
  <c r="H52" i="1"/>
  <c r="H88" i="1"/>
  <c r="I13" i="1"/>
  <c r="H14" i="1"/>
  <c r="H72" i="1"/>
  <c r="I71" i="1"/>
  <c r="I33" i="1"/>
  <c r="H34" i="1"/>
  <c r="H35" i="1" l="1"/>
  <c r="I34" i="1"/>
  <c r="I72" i="1"/>
  <c r="H73" i="1"/>
  <c r="H15" i="1"/>
  <c r="I14" i="1"/>
  <c r="I88" i="1"/>
  <c r="H89" i="1"/>
  <c r="I52" i="1"/>
  <c r="H53" i="1"/>
  <c r="I15" i="1" l="1"/>
  <c r="H16" i="1"/>
  <c r="H90" i="1"/>
  <c r="I89" i="1"/>
  <c r="H74" i="1"/>
  <c r="I73" i="1"/>
  <c r="H54" i="1"/>
  <c r="I53" i="1"/>
  <c r="I35" i="1"/>
  <c r="H36" i="1"/>
  <c r="I54" i="1" l="1"/>
  <c r="H55" i="1"/>
  <c r="I74" i="1"/>
  <c r="H75" i="1"/>
  <c r="I90" i="1"/>
  <c r="H91" i="1"/>
  <c r="H37" i="1"/>
  <c r="I36" i="1"/>
  <c r="H17" i="1"/>
  <c r="I16" i="1"/>
  <c r="I37" i="1" l="1"/>
  <c r="H38" i="1"/>
  <c r="H92" i="1"/>
  <c r="I91" i="1"/>
  <c r="H76" i="1"/>
  <c r="I75" i="1"/>
  <c r="H56" i="1"/>
  <c r="I55" i="1"/>
  <c r="I17" i="1"/>
  <c r="H18" i="1"/>
  <c r="I56" i="1" l="1"/>
  <c r="H57" i="1"/>
  <c r="I76" i="1"/>
  <c r="H77" i="1"/>
  <c r="I92" i="1"/>
  <c r="H93" i="1"/>
  <c r="H19" i="1"/>
  <c r="I18" i="1"/>
  <c r="H39" i="1"/>
  <c r="I38" i="1"/>
  <c r="I19" i="1" l="1"/>
  <c r="H20" i="1"/>
  <c r="H94" i="1"/>
  <c r="H95" i="1" s="1"/>
  <c r="I95" i="1" s="1"/>
  <c r="I93" i="1"/>
  <c r="H78" i="1"/>
  <c r="I77" i="1"/>
  <c r="H58" i="1"/>
  <c r="I57" i="1"/>
  <c r="I39" i="1"/>
  <c r="H40" i="1"/>
  <c r="I58" i="1" l="1"/>
  <c r="H59" i="1"/>
  <c r="I78" i="1"/>
  <c r="H79" i="1"/>
  <c r="I79" i="1" s="1"/>
  <c r="H80" i="1" s="1"/>
  <c r="I94" i="1"/>
  <c r="H41" i="1"/>
  <c r="I40" i="1"/>
  <c r="H21" i="1"/>
  <c r="I20" i="1"/>
  <c r="H96" i="1" l="1"/>
  <c r="H97" i="1" s="1"/>
  <c r="I97" i="1" s="1"/>
  <c r="I41" i="1"/>
  <c r="H42" i="1"/>
  <c r="I42" i="1" s="1"/>
  <c r="H43" i="1" s="1"/>
  <c r="H60" i="1"/>
  <c r="I59" i="1"/>
  <c r="I21" i="1"/>
  <c r="H22" i="1"/>
  <c r="I22" i="1" l="1"/>
  <c r="H23" i="1"/>
  <c r="I23" i="1" s="1"/>
  <c r="H24" i="1" s="1"/>
  <c r="I60" i="1"/>
  <c r="H61" i="1"/>
  <c r="I96" i="1"/>
  <c r="H62" i="1" l="1"/>
  <c r="I62" i="1" s="1"/>
  <c r="H63" i="1" s="1"/>
  <c r="I61" i="1"/>
  <c r="H98" i="1"/>
  <c r="I98" i="1" s="1"/>
  <c r="H9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Saksham Singh</author>
  </authors>
  <commentList>
    <comment ref="H2" authorId="0" shapeId="0" xr:uid="{C9BF4A1F-9BA9-4B00-BD17-741CE45FC946}">
      <text>
        <r>
          <rPr>
            <b/>
            <sz val="9"/>
            <color indexed="81"/>
            <rFont val="Tahoma"/>
            <family val="2"/>
          </rPr>
          <t>Saksham Singh:</t>
        </r>
        <r>
          <rPr>
            <sz val="9"/>
            <color indexed="81"/>
            <rFont val="Tahoma"/>
            <family val="2"/>
          </rPr>
          <t xml:space="preserve">
Base date of Input changed from 14.11.2025 due to decision regarding wall provided by EIL on 11.12</t>
        </r>
      </text>
    </comment>
    <comment ref="I2" authorId="0" shapeId="0" xr:uid="{71CBCED6-0082-4165-A99C-87A5A00AE4A5}">
      <text>
        <r>
          <rPr>
            <b/>
            <sz val="9"/>
            <color indexed="81"/>
            <rFont val="Tahoma"/>
            <family val="2"/>
          </rPr>
          <t>Saksham Singh:</t>
        </r>
        <r>
          <rPr>
            <sz val="9"/>
            <color indexed="81"/>
            <rFont val="Tahoma"/>
            <family val="2"/>
          </rPr>
          <t xml:space="preserve">
Base date of Input changed from 14.11.2025 to 11.12.2025
due to decision regarding wall provided by EIL on 11.12</t>
        </r>
      </text>
    </comment>
    <comment ref="D7" authorId="0" shapeId="0" xr:uid="{40A7E9A9-81D0-4F3F-A61B-5561CB46B398}">
      <text>
        <r>
          <rPr>
            <b/>
            <sz val="9"/>
            <color indexed="81"/>
            <rFont val="Tahoma"/>
            <family val="2"/>
          </rPr>
          <t>Saksham Singh: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4" authorId="0" shapeId="0" xr:uid="{789774DF-3C5F-42CF-B9D2-698F9853F3F0}">
      <text>
        <r>
          <rPr>
            <b/>
            <sz val="9"/>
            <color indexed="81"/>
            <rFont val="Tahoma"/>
            <family val="2"/>
          </rPr>
          <t>Saksham Singh:</t>
        </r>
        <r>
          <rPr>
            <sz val="9"/>
            <color indexed="81"/>
            <rFont val="Tahoma"/>
            <family val="2"/>
          </rPr>
          <t xml:space="preserve">
Final cutout details are expected on 12.01.2025</t>
        </r>
      </text>
    </comment>
    <comment ref="H73" authorId="0" shapeId="0" xr:uid="{43900D8C-081F-4C16-A243-899F8C2588AA}">
      <text>
        <r>
          <rPr>
            <b/>
            <sz val="9"/>
            <color indexed="81"/>
            <rFont val="Tahoma"/>
            <family val="2"/>
          </rPr>
          <t>Saksham Singh:</t>
        </r>
        <r>
          <rPr>
            <sz val="9"/>
            <color indexed="81"/>
            <rFont val="Tahoma"/>
            <family val="2"/>
          </rPr>
          <t xml:space="preserve">
Final cutout details are expected on 12.01.2025
</t>
        </r>
      </text>
    </comment>
    <comment ref="H90" authorId="0" shapeId="0" xr:uid="{4889F368-6A7A-4063-99D1-D98F9976C0E4}">
      <text>
        <r>
          <rPr>
            <b/>
            <sz val="9"/>
            <color indexed="81"/>
            <rFont val="Tahoma"/>
            <family val="2"/>
          </rPr>
          <t>Saksham Singh:</t>
        </r>
        <r>
          <rPr>
            <sz val="9"/>
            <color indexed="81"/>
            <rFont val="Tahoma"/>
            <family val="2"/>
          </rPr>
          <t xml:space="preserve">
Final cutout details are expected on 12.01.2025</t>
        </r>
      </text>
    </comment>
  </commentList>
</comments>
</file>

<file path=xl/sharedStrings.xml><?xml version="1.0" encoding="utf-8"?>
<sst xmlns="http://schemas.openxmlformats.org/spreadsheetml/2006/main" count="291" uniqueCount="174">
  <si>
    <t>TOTAL</t>
  </si>
  <si>
    <t xml:space="preserve">Submitted </t>
  </si>
  <si>
    <t>S.NO.</t>
  </si>
  <si>
    <t>Document No.</t>
  </si>
  <si>
    <t xml:space="preserve">DESCRIPTION </t>
  </si>
  <si>
    <t>SCALE</t>
  </si>
  <si>
    <t>PLANNED DATE OF ISSUE (ORIGINAL)</t>
  </si>
  <si>
    <t>PLANNED DATE OF APPROVAL (ORIGINAL)</t>
  </si>
  <si>
    <t>PLANNED DATE OF ISSUE (NEW)</t>
  </si>
  <si>
    <t>PLANNED DATE OF APPROVAL (NEW)</t>
  </si>
  <si>
    <t>ACTUAL DATE OF ISSUE</t>
  </si>
  <si>
    <t>ACTUAL DATE OF APPROVAL</t>
  </si>
  <si>
    <t>Approval Code</t>
  </si>
  <si>
    <t xml:space="preserve">Client </t>
  </si>
  <si>
    <t>A</t>
  </si>
  <si>
    <t>CV-192-STR-DBR-0001</t>
  </si>
  <si>
    <t>DESIGN BASIS REPORT (CIVIL)</t>
  </si>
  <si>
    <t>NA</t>
  </si>
  <si>
    <t>R</t>
  </si>
  <si>
    <t>Holidays</t>
  </si>
  <si>
    <t xml:space="preserve">GIS BUILDING </t>
  </si>
  <si>
    <t>INPUT RECEIVED (06.01.2025) - ARCHITECTURAL DRAWING YET TO BE RECEIVED EXPECTED ON 10.01.2026</t>
  </si>
  <si>
    <t>CV-192-STR-GIS-STD-0001</t>
  </si>
  <si>
    <t>STAAD ANALYSIS AND DESIGN</t>
  </si>
  <si>
    <t>CV-192-STR-GIS-DRW-0002</t>
  </si>
  <si>
    <t xml:space="preserve">LAYOUT AND R/F DETAILS OF PEDESTAL </t>
  </si>
  <si>
    <t>CV-192-STR-GIS-DRW-0003</t>
  </si>
  <si>
    <t xml:space="preserve">LAYOUT AND DETAILS OF ANCHOR BOLT </t>
  </si>
  <si>
    <t>CV-192-STR-GIS-DRW-0004</t>
  </si>
  <si>
    <t>LAYOUT AND R/F DETAILS OF PLINTH BEAM</t>
  </si>
  <si>
    <t>CV-192-STR-GIS-DRW-0005</t>
  </si>
  <si>
    <t xml:space="preserve">R/F DETAILS OF PLINTH BEAM </t>
  </si>
  <si>
    <t>CV-192-STR-GIS-DRW-0006</t>
  </si>
  <si>
    <t xml:space="preserve">G.A. LAYOUT AND DETAIL OF STEEL COLUMNS </t>
  </si>
  <si>
    <t>CV-192-STR-GIS-DRW-0007</t>
  </si>
  <si>
    <t xml:space="preserve">CONNECTION DETAIL OF STEEL COLUMNS </t>
  </si>
  <si>
    <t>CV-192-STR-GIS-DRW-0008</t>
  </si>
  <si>
    <t>G.A. LAYOUT AND DETAILS OF FIRST FLOOR STEEL BEAMS AND SLAB @ EL. 4.3 (B.O.C OF DECK SLAB)</t>
  </si>
  <si>
    <t>CV-192-STR-GIS-DRW-0009</t>
  </si>
  <si>
    <t>CONNECTION DETAILS OF FIRST FLOOR STEEL BEAMS AND SLAB @ EL. 4.3 (B.O.C OF DECK SLAB)</t>
  </si>
  <si>
    <t>CV-192-STR-GIS-DRW-0010</t>
  </si>
  <si>
    <t>G.A. LAYOUT AND DETAILS OF 2nd FLOOR STEEL BEAMS AND SLAB @ EL. 9.0 (B.O.C OF DECK SLAB)</t>
  </si>
  <si>
    <t>CV-192-STR-GIS-DRW-0011</t>
  </si>
  <si>
    <t>CONNECTION DETAILS OF 2nd FLOOR STEEL BEAMS AND SLAB @ EL. 9.0 (B.O.C OF DECK SLAB)</t>
  </si>
  <si>
    <t>CV-192-STR-GIS-DRW-0012</t>
  </si>
  <si>
    <t>G.A. LAYOUT AND DETAILS OF OF ROOF STEEL BEAMS AND SLAB @EL. 13.700 (T.O.C OF DECK SLAB)</t>
  </si>
  <si>
    <t>CV-192-STR-GIS-DRW-0013</t>
  </si>
  <si>
    <t>CONNECTION DETAILS OF OF ROOF STEEL BEAMS AND SLAB @EL. 13.700 (T.O.C OF DECK SLAB)</t>
  </si>
  <si>
    <t>CV-192-STR-GIS-DRW-0014</t>
  </si>
  <si>
    <t>G.A. LAYOUT AND DETAILS OF STAIRS</t>
  </si>
  <si>
    <t>CV-192-STR-GIS-DRW-0015</t>
  </si>
  <si>
    <t>CONNECTION DETAILS OF STAIRS</t>
  </si>
  <si>
    <t>CV-192-STR-GIS-DRW-0016</t>
  </si>
  <si>
    <t>G.A. ELEVATION AND DETAILS</t>
  </si>
  <si>
    <t>SHOP DRAWINGS</t>
  </si>
  <si>
    <t xml:space="preserve">NA </t>
  </si>
  <si>
    <t>11 KV Conversion substation and control room- Main Hall and auxilliary rooms</t>
  </si>
  <si>
    <t>INPUT RECEIVED - 22nd DECEMBER (ARCHITECTURAL DRAWING YET TO BE RECEIVED- EXPECTED ON 10.01.2026)</t>
  </si>
  <si>
    <t>CV-192-STR-CSC-STD-0001</t>
  </si>
  <si>
    <t xml:space="preserve">CV-192-STR-CSC-DRW-0002 </t>
  </si>
  <si>
    <t xml:space="preserve">LAYOUT AND R/F DETAILS OF PEDESTAL AND ANCHOR BOLT </t>
  </si>
  <si>
    <t>CV-192-STR-CSC-DRW-0003</t>
  </si>
  <si>
    <t>CV-192-STR-CSC-DRW-0004</t>
  </si>
  <si>
    <t>CV-192-STR-CSC-DRW-0005</t>
  </si>
  <si>
    <t xml:space="preserve">G.A. AND R/F DETAIL OF STEEL COLUMNS </t>
  </si>
  <si>
    <t>CV-192-STR-CSC-DRW-0006</t>
  </si>
  <si>
    <t>CV-192-STR-CSC-DRW-0007</t>
  </si>
  <si>
    <t>G.A. LAYOUT AND DETAILS OF FIRST FLOOR STEEL BEAMS AND SLAB @EL. 3.9  (T.O.C OF DECK SLAB)</t>
  </si>
  <si>
    <t>CV-192-STR-CSC-DRW-0008</t>
  </si>
  <si>
    <t>CONNECTION DETAILS OF FIRST FLOOR STEEL BEAMS AND SLAB @EL. 3.9  (T.O.C OF DECK SLAB)</t>
  </si>
  <si>
    <t>CV-192-STR-CSC-DRW-0009</t>
  </si>
  <si>
    <t>G.A. LAYOUT AND DETAILS OF 2nd FLOOR STEEL BEAMS AND SLAB @EL.9.7 &amp; 13.7 (T.O.C OF DECK SLAB)</t>
  </si>
  <si>
    <t>CV-192-STR-CSC-DRW-0010</t>
  </si>
  <si>
    <t>CONNECTION DETAILS OF 2nd FLOOR STEEL BEAMS AND SLAB @EL.9.7 &amp; 13.7 (T.O.C OF DECK SLAB)</t>
  </si>
  <si>
    <t>CV-192-STR-CSC-DRW-0011</t>
  </si>
  <si>
    <t>G.A. LAYOUT AND DETAILS OF OF ROOF STEEL BEAMS AND SLAB @EL. 15.2 &amp; 17.7  (T.O.C OF DECK SLAB)</t>
  </si>
  <si>
    <t>CV-192-STR-CSC-DRW-0012</t>
  </si>
  <si>
    <t>CONNECTION DETAILS OF ROOF STEEL BEAMS AND SLAB @EL. 15.2 &amp; 17.7  (T.O.C OF DECK SLAB)</t>
  </si>
  <si>
    <t>CV-192-STR-CSC-DRW-0013</t>
  </si>
  <si>
    <t>CV-192-STR-CSC-DRW-0014</t>
  </si>
  <si>
    <t>CV-192-STR-CSC-DRW-0015</t>
  </si>
  <si>
    <t xml:space="preserve">G.A. ELEVATION AND DETAILS </t>
  </si>
  <si>
    <t>GTC Substation and control room</t>
  </si>
  <si>
    <t>CV-192-STR-GTC-STD-0001</t>
  </si>
  <si>
    <t>CV-192-STR-GTC-DRW-0001</t>
  </si>
  <si>
    <t xml:space="preserve">LAYOUT AND R/F DETAILS OF FOUNDATION </t>
  </si>
  <si>
    <t xml:space="preserve">CV-192-STR-GTC-DRW-0002 </t>
  </si>
  <si>
    <t>CV-192-STR-GTC-DRW-0003</t>
  </si>
  <si>
    <t>CV-192-STR-GTC-DRW-0004</t>
  </si>
  <si>
    <t>CV-192-STR-GTC-DRW-0005</t>
  </si>
  <si>
    <t>CV-192-STR-GTC-DRW-0006</t>
  </si>
  <si>
    <t>CV-192-STR-GTC-DRW-0007</t>
  </si>
  <si>
    <t>G.A. LAYOUT AND DETAILS OF FIRST FLOOR STEEL BEAMS AND SLAB @EL. 104.65  (T.O.C OF DECK SLAB)</t>
  </si>
  <si>
    <t>1:100</t>
  </si>
  <si>
    <t>CV-192-STR-GTC-DRW-0008</t>
  </si>
  <si>
    <t>CONNECTION DETAILS OF FIRST FLOOR STEEL BEAMS AND SLAB @EL. 104.65  (T.O.C OF DECK SLAB)</t>
  </si>
  <si>
    <t>CV-192-STR-GTC-DRW-0009</t>
  </si>
  <si>
    <t>G.A. LAYOUT AND DETAILS OF 2nd FLOOR STEEL BEAMS AND SLAB @EL. 111.55 (T.O.C OF DECK SLAB)</t>
  </si>
  <si>
    <t>CV-192-STR-GTC-DRW-0010</t>
  </si>
  <si>
    <t>CONNECTION DETAILS OF 2nd FLOOR STEEL BEAMS AND SLAB @EL. 111.55 (T.O.C OF DECK SLAB)</t>
  </si>
  <si>
    <t>CV-192-STR-GTC-DRW-0011</t>
  </si>
  <si>
    <t>G.A. LAYOUT AND DETAILS OF OF ROOF STEEL BEAMS AND SLAB @EL. 118.3 (T.O.C OF DECK SLAB)</t>
  </si>
  <si>
    <t>CV-192-STR-GTC-DRW-0012</t>
  </si>
  <si>
    <t>CONNECTION DETAILS OF ROOF STEEL BEAMS AND SLAB @EL. 118.3 (T.O.C OF DECK SLAB)</t>
  </si>
  <si>
    <t>CV-192-STR-GTC-DRW-0013</t>
  </si>
  <si>
    <t>1:100,1:50</t>
  </si>
  <si>
    <t>CV-192-STR-GTC-DRW-0014</t>
  </si>
  <si>
    <t>CV-192-STR-GTC-DRW-0015</t>
  </si>
  <si>
    <t xml:space="preserve">PTA SUBSTATION </t>
  </si>
  <si>
    <t>CV-192-STR-PTA-STD-0001</t>
  </si>
  <si>
    <t>CV-192-STR-PTA-DRW-0001</t>
  </si>
  <si>
    <t>CV-192-STR-PTA-DRW-0002</t>
  </si>
  <si>
    <t>CV-192-STR-PTA-DRW-0003</t>
  </si>
  <si>
    <t>CV-192-STR-PTA-DRW-0004</t>
  </si>
  <si>
    <t>CV-192-STR-PTA-DRW-0005</t>
  </si>
  <si>
    <t>CV-192-STR-PTA-DRW-0006</t>
  </si>
  <si>
    <t>CV-192-STR-PTA-DRW-0007</t>
  </si>
  <si>
    <t>G.A. LAYOUT AND DETAILS OF FIRST FLOOR STEEL BEAMS AND SLAB @EL. 104.65(T.O.C OF DECK SLAB)</t>
  </si>
  <si>
    <t>CV-192-STR-PTA-DRW-0008</t>
  </si>
  <si>
    <t>CONNECTION DETAILS OF FIRST FLOOR STEEL BEAMS AND SLAB @EL. 104.65(T.O.C OF DECK SLAB)</t>
  </si>
  <si>
    <t>CV-192-STR-PTA-DRW-0009</t>
  </si>
  <si>
    <t>G.A. LAYOUT AND DETAILS OF OF ROOF STEEL BEAMS AND SLAB @EL. 110.35 &amp; E.L.113.35 (T.O.C OF DECK SLAB)</t>
  </si>
  <si>
    <t>CV-192-STR-PTA-DRW-0010</t>
  </si>
  <si>
    <t>CONNECTION DETAILS OF ROOF STEEL BEAMS AND SLAB @EL. 110.35 &amp; E.L.113.35 (T.O.C OF DECK SLAB)</t>
  </si>
  <si>
    <t>CV-192-STR-PTA-DRW-0011</t>
  </si>
  <si>
    <t>CV-192-STR-PTA-DRW-0012</t>
  </si>
  <si>
    <t>CV-192-STR-PTA-DRW-0013</t>
  </si>
  <si>
    <t xml:space="preserve">G.A. ELEVATION AND DETAILS OF GIRTS </t>
  </si>
  <si>
    <t>ABF Substation &amp; Control Room</t>
  </si>
  <si>
    <t>CV-192-STR-ABF-STD-0001</t>
  </si>
  <si>
    <t xml:space="preserve">CV-192-STR-ABF-DRW-0001 </t>
  </si>
  <si>
    <t>CV-192-STR-ABF-DRW-0002</t>
  </si>
  <si>
    <t>CV-192-STR-ABF-DRW-0003</t>
  </si>
  <si>
    <t>CV-192-STR-ABF-DRW-0004</t>
  </si>
  <si>
    <t>CV-192-STR-ABF-DRW-0005</t>
  </si>
  <si>
    <t>CV-192-STR-ABF-DRW-0006</t>
  </si>
  <si>
    <t>CV-192-STR-ABF-DRW-0007</t>
  </si>
  <si>
    <t>G.A. LAYOUT AND DETAILS OF FIRST FLOOR STEEL BEAMS AND SLAB @EL. 104.65 (T.O.C OF DECK SLAB)</t>
  </si>
  <si>
    <t>CV-192-STR-ABF-DRW-0008</t>
  </si>
  <si>
    <t>CONNECTION DETAILS OF FIRST FLOOR STEEL BEAMS AND SLAB @EL. 104.65 (T.O.C OF DECK SLAB)</t>
  </si>
  <si>
    <t>CV-192-STR-ABF-DRW-0009</t>
  </si>
  <si>
    <t>G.A. LAYOUT AND DETAILS OF 2nd FLOOR STEEL BEAMS AND SLAB @EL. 110.35 (T.O.C OF DECK SLAB)</t>
  </si>
  <si>
    <t>CV-192-STR-ABF-DRW-0010</t>
  </si>
  <si>
    <t>CONNECTION DETAILS OF 2nd FLOOR STEEL BEAMS AND SLAB @EL. 110.35 (T.O.C OF DECK SLAB)</t>
  </si>
  <si>
    <t>CV-192-STR-ABF-DRW-0011</t>
  </si>
  <si>
    <t>G.A. LAYOUT AND DETAILS OF OF ROOF STEEL BEAMS AND SLAB @EL. 116.95 &amp; @EL 119.9 (T.O.C OF DECK SLAB)</t>
  </si>
  <si>
    <t>CV-192-STR-ABF-DRW-0012</t>
  </si>
  <si>
    <t>CONNECTION DETAILS OF ROOF STEEL BEAMS AND SLAB @EL. 116.95 &amp; @EL 119.9 (T.O.C OF DECK SLAB)</t>
  </si>
  <si>
    <t>CV-192-STR-ABF-DRW-0013</t>
  </si>
  <si>
    <t>CV-192-STR-ABF-DRW-0014</t>
  </si>
  <si>
    <t>CV-192-STR-ABF-DRW-0015</t>
  </si>
  <si>
    <t>R2 Approval</t>
  </si>
  <si>
    <t>R2</t>
  </si>
  <si>
    <t>R1 Approval</t>
  </si>
  <si>
    <t>R1</t>
  </si>
  <si>
    <t>V</t>
  </si>
  <si>
    <t>R3 Approval</t>
  </si>
  <si>
    <t>R3</t>
  </si>
  <si>
    <t>CV-192-STR-GTC-DRW-0002-SHEET2</t>
  </si>
  <si>
    <t>-</t>
  </si>
  <si>
    <t>R4</t>
  </si>
  <si>
    <t>R4 Approval</t>
  </si>
  <si>
    <t xml:space="preserve">Building </t>
  </si>
  <si>
    <t xml:space="preserve">No. of devilerable </t>
  </si>
  <si>
    <t>Approved</t>
  </si>
  <si>
    <t>GTC Substation</t>
  </si>
  <si>
    <t>PTA Substation</t>
  </si>
  <si>
    <t>ABF Substation</t>
  </si>
  <si>
    <t>Revision</t>
  </si>
  <si>
    <t>R5</t>
  </si>
  <si>
    <t>=</t>
  </si>
  <si>
    <t>R0</t>
  </si>
  <si>
    <t>Net</t>
  </si>
  <si>
    <t>R5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</si>
</sst>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4" fontId="0" fillId="4" borderId="0" xfId="0" applyNumberFormat="1" applyFill="1" applyAlignment="1">
      <alignment horizontal="center"/>
    </xf>
    <xf numFmtId="0" fontId="5" fillId="0" borderId="1" xfId="0" applyFont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4" borderId="1" xfId="0" applyFont="1" applyFill="1" applyBorder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" fontId="3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64" fontId="3" fillId="4" borderId="1" xfId="0" applyNumberFormat="1" applyFon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0" fillId="9" borderId="0" xfId="0" applyFill="1"/>
    <xf numFmtId="0" fontId="10" fillId="7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164" fontId="0" fillId="4" borderId="1" xfId="0" applyNumberFormat="1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6" fillId="11" borderId="1" xfId="0" applyFont="1" applyFill="1" applyBorder="1"/>
    <xf numFmtId="0" fontId="6" fillId="11" borderId="1" xfId="0" applyFont="1" applyFill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6" fillId="11" borderId="2" xfId="0" applyFont="1" applyFill="1" applyBorder="1" applyAlignment="1">
      <alignment horizontal="center"/>
    </xf>
    <xf numFmtId="0" fontId="6" fillId="11" borderId="3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10" fillId="8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99"/>
  <sheetViews>
    <sheetView tabSelected="1" topLeftCell="G2" zoomScale="62" zoomScaleNormal="160" workbookViewId="0">
      <pane ySplit="1" topLeftCell="A68" activePane="bottomLeft" state="frozen"/>
      <selection activeCell="A2" sqref="A2"/>
      <selection pane="bottomLeft" activeCell="O99" sqref="O99"/>
    </sheetView>
  </sheetViews>
  <sheetFormatPr defaultColWidth="9.140625" defaultRowHeight="15" x14ac:dyDescent="0.25"/>
  <cols>
    <col min="1" max="1" width="9.140625" style="2" customWidth="1"/>
    <col min="2" max="2" width="6.85546875" style="2" customWidth="1"/>
    <col min="3" max="3" width="33.42578125" style="2" customWidth="1"/>
    <col min="4" max="4" width="108.42578125" style="3" bestFit="1" customWidth="1"/>
    <col min="5" max="5" width="9.5703125" style="2" hidden="1" customWidth="1"/>
    <col min="6" max="7" width="15.28515625" style="4" customWidth="1"/>
    <col min="8" max="11" width="16.85546875" style="4" customWidth="1"/>
    <col min="12" max="27" width="16.85546875" style="2" customWidth="1"/>
    <col min="28" max="28" width="19.5703125" style="2" customWidth="1"/>
    <col min="29" max="30" width="9.140625" style="2"/>
    <col min="31" max="31" width="10.140625" style="2" bestFit="1" customWidth="1"/>
    <col min="32" max="32" width="9.140625" style="2"/>
    <col min="33" max="33" width="10.7109375" style="2" hidden="1" customWidth="1"/>
    <col min="34" max="34" width="0" style="2" hidden="1" customWidth="1"/>
    <col min="35" max="16384" width="9.140625" style="2"/>
  </cols>
  <sheetData>
    <row r="1" spans="1:34" hidden="1" x14ac:dyDescent="0.25">
      <c r="A1" s="1" t="s">
        <v>0</v>
      </c>
    </row>
    <row r="2" spans="1:34" s="8" customFormat="1" ht="51" x14ac:dyDescent="0.2">
      <c r="A2" s="7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7" t="s">
        <v>12</v>
      </c>
      <c r="M2" s="7" t="s">
        <v>154</v>
      </c>
      <c r="N2" s="7" t="s">
        <v>153</v>
      </c>
      <c r="O2" s="7" t="s">
        <v>12</v>
      </c>
      <c r="P2" s="7" t="s">
        <v>152</v>
      </c>
      <c r="Q2" s="7" t="s">
        <v>151</v>
      </c>
      <c r="R2" s="7" t="s">
        <v>12</v>
      </c>
      <c r="S2" s="7" t="s">
        <v>157</v>
      </c>
      <c r="T2" s="7" t="s">
        <v>156</v>
      </c>
      <c r="U2" s="7" t="s">
        <v>12</v>
      </c>
      <c r="V2" s="7" t="s">
        <v>160</v>
      </c>
      <c r="W2" s="7" t="s">
        <v>161</v>
      </c>
      <c r="X2" s="7" t="s">
        <v>12</v>
      </c>
      <c r="Y2" s="7" t="s">
        <v>169</v>
      </c>
      <c r="Z2" s="7" t="s">
        <v>173</v>
      </c>
      <c r="AA2" s="7" t="s">
        <v>12</v>
      </c>
    </row>
    <row r="3" spans="1:34" s="13" customFormat="1" ht="12.75" x14ac:dyDescent="0.2">
      <c r="A3" s="9"/>
      <c r="B3" s="10"/>
      <c r="C3" s="10"/>
      <c r="D3" s="10" t="s">
        <v>13</v>
      </c>
      <c r="E3" s="10"/>
      <c r="F3" s="11"/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34" x14ac:dyDescent="0.25">
      <c r="A4" s="14" t="b">
        <v>1</v>
      </c>
      <c r="B4" s="15" t="s">
        <v>14</v>
      </c>
      <c r="C4" s="15" t="s">
        <v>15</v>
      </c>
      <c r="D4" s="16" t="s">
        <v>16</v>
      </c>
      <c r="E4" s="15" t="s">
        <v>17</v>
      </c>
      <c r="F4" s="17">
        <v>45982</v>
      </c>
      <c r="G4" s="17">
        <v>45995</v>
      </c>
      <c r="H4" s="17">
        <v>46008</v>
      </c>
      <c r="I4" s="40">
        <v>46014</v>
      </c>
      <c r="J4" s="17">
        <v>46373</v>
      </c>
      <c r="K4" s="17">
        <v>46013</v>
      </c>
      <c r="L4" s="15" t="s">
        <v>18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spans="1:34" x14ac:dyDescent="0.25">
      <c r="B5" s="15"/>
      <c r="C5" s="15"/>
      <c r="D5" s="16"/>
      <c r="E5" s="15"/>
      <c r="F5" s="17"/>
      <c r="G5" s="17"/>
      <c r="H5" s="17"/>
      <c r="I5" s="17"/>
      <c r="J5" s="17"/>
      <c r="K5" s="17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E5" s="18" t="s">
        <v>19</v>
      </c>
    </row>
    <row r="6" spans="1:34" s="19" customFormat="1" hidden="1" x14ac:dyDescent="0.25">
      <c r="B6" s="20" t="str">
        <f>IF(
    ISERROR(VALUE(SUBSTITUTE(prevWBS,".",""))),
    "1",
    IF(
        ISERROR(FIND("`",SUBSTITUTE(prevWBS,".","`",1))),
        TEXT(VALUE(prevWBS)+1,"#"),
        TEXT(VALUE(LEFT(prevWBS,FIND("`",SUBSTITUTE(prevWBS,".","`",1))-1))+1,"#")
    )
)</f>
        <v>1</v>
      </c>
      <c r="C6" s="55" t="s">
        <v>20</v>
      </c>
      <c r="D6" s="55"/>
      <c r="E6" s="22"/>
      <c r="F6" s="22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E6" s="23">
        <v>46016</v>
      </c>
    </row>
    <row r="7" spans="1:34" s="19" customFormat="1" hidden="1" x14ac:dyDescent="0.25">
      <c r="B7" s="20"/>
      <c r="C7" s="21"/>
      <c r="D7" s="24" t="s">
        <v>21</v>
      </c>
      <c r="E7" s="22"/>
      <c r="F7" s="22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E7" s="23">
        <v>46023</v>
      </c>
    </row>
    <row r="8" spans="1:34" hidden="1" x14ac:dyDescent="0.25">
      <c r="A8" s="14" t="b">
        <v>0</v>
      </c>
      <c r="B8" s="15" t="str">
        <f>IF(
    ISERROR(VALUE(SUBSTITUTE(B6,".",""))),
    "0.1",
    IF(
        ISERROR(FIND("`",SUBSTITUTE(B6,".","`",1))),
        B6 &amp; ".1",
        LEFT(B6,FIND("`",SUBSTITUTE(B6,".","`",1))) &amp;
        IF(
            ISERROR(FIND("`",SUBSTITUTE(B6,".","`",2))),
            VALUE(RIGHT(B6,LEN(B6)-FIND("`",SUBSTITUTE(B6,".","`",1))))+1,
            VALUE(MID(B6,
                FIND("`",SUBSTITUTE(B6,".","`",1))+1,
                (FIND("`",SUBSTITUTE(B6,".","`",2))-FIND("`",SUBSTITUTE(B6,".","`",1))-1)
            ))+1
        )
    )
)</f>
        <v>1.1</v>
      </c>
      <c r="C8" s="15" t="s">
        <v>22</v>
      </c>
      <c r="D8" s="16" t="s">
        <v>23</v>
      </c>
      <c r="E8" s="15"/>
      <c r="F8" s="25">
        <v>45995</v>
      </c>
      <c r="G8" s="25">
        <v>45999</v>
      </c>
      <c r="H8" s="25">
        <f>WORKDAY(AG8,5)</f>
        <v>46038</v>
      </c>
      <c r="I8" s="26">
        <f>WORKDAY(H8,3)</f>
        <v>46043</v>
      </c>
      <c r="J8" s="27"/>
      <c r="K8" s="27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E8" s="29">
        <v>46048</v>
      </c>
      <c r="AG8" s="29">
        <v>46032</v>
      </c>
    </row>
    <row r="9" spans="1:34" hidden="1" x14ac:dyDescent="0.25">
      <c r="A9" s="14" t="b">
        <v>0</v>
      </c>
      <c r="B9" s="15" t="str">
        <f t="shared" ref="B9:B24" si="0">IF(
    ISERROR(VALUE(SUBSTITUTE(B8,".",""))),
    "0.1",
    IF(
        ISERROR(FIND("`",SUBSTITUTE(B8,".","`",1))),
        B8 &amp; ".1",
        LEFT(B8,FIND("`",SUBSTITUTE(B8,".","`",1))) &amp;
        IF(
            ISERROR(FIND("`",SUBSTITUTE(B8,".","`",2))),
            VALUE(RIGHT(B8,LEN(B8)-FIND("`",SUBSTITUTE(B8,".","`",1))))+1,
            VALUE(MID(B8,
                FIND("`",SUBSTITUTE(B8,".","`",1))+1,
                (FIND("`",SUBSTITUTE(B8,".","`",2))-FIND("`",SUBSTITUTE(B8,".","`",1))-1)
            ))+1
        )
    )
)</f>
        <v>1.2</v>
      </c>
      <c r="C9" s="15" t="s">
        <v>24</v>
      </c>
      <c r="D9" s="30" t="s">
        <v>25</v>
      </c>
      <c r="E9" s="15"/>
      <c r="F9" s="25">
        <v>46013</v>
      </c>
      <c r="G9" s="25">
        <v>46016</v>
      </c>
      <c r="H9" s="25">
        <f>WORKDAY($H$8,3)</f>
        <v>46043</v>
      </c>
      <c r="I9" s="17">
        <f t="shared" ref="I9:I23" si="1">WORKDAY(H9,3)</f>
        <v>46048</v>
      </c>
      <c r="J9" s="27"/>
      <c r="K9" s="27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spans="1:34" hidden="1" x14ac:dyDescent="0.25">
      <c r="A10" s="14" t="b">
        <v>0</v>
      </c>
      <c r="B10" s="15" t="str">
        <f t="shared" si="0"/>
        <v>1.3</v>
      </c>
      <c r="C10" s="15" t="s">
        <v>26</v>
      </c>
      <c r="D10" s="30" t="s">
        <v>27</v>
      </c>
      <c r="E10" s="15"/>
      <c r="F10" s="25">
        <v>46013</v>
      </c>
      <c r="G10" s="25">
        <v>46016</v>
      </c>
      <c r="H10" s="25">
        <f t="shared" ref="H10:H12" si="2">WORKDAY($H$8,3)</f>
        <v>46043</v>
      </c>
      <c r="I10" s="17">
        <f t="shared" si="1"/>
        <v>46048</v>
      </c>
      <c r="J10" s="27"/>
      <c r="K10" s="27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spans="1:34" hidden="1" x14ac:dyDescent="0.25">
      <c r="A11" s="14" t="b">
        <v>0</v>
      </c>
      <c r="B11" s="15" t="str">
        <f t="shared" si="0"/>
        <v>1.4</v>
      </c>
      <c r="C11" s="15" t="s">
        <v>28</v>
      </c>
      <c r="D11" s="30" t="s">
        <v>29</v>
      </c>
      <c r="E11" s="15"/>
      <c r="F11" s="25">
        <v>46013</v>
      </c>
      <c r="G11" s="25">
        <v>46016</v>
      </c>
      <c r="H11" s="25">
        <f t="shared" si="2"/>
        <v>46043</v>
      </c>
      <c r="I11" s="17">
        <f t="shared" si="1"/>
        <v>46048</v>
      </c>
      <c r="J11" s="27"/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spans="1:34" hidden="1" x14ac:dyDescent="0.25">
      <c r="A12" s="14" t="b">
        <v>0</v>
      </c>
      <c r="B12" s="15" t="str">
        <f t="shared" si="0"/>
        <v>1.5</v>
      </c>
      <c r="C12" s="15" t="s">
        <v>30</v>
      </c>
      <c r="D12" s="30" t="s">
        <v>31</v>
      </c>
      <c r="E12" s="15"/>
      <c r="F12" s="25">
        <v>46013</v>
      </c>
      <c r="G12" s="25">
        <v>46016</v>
      </c>
      <c r="H12" s="25">
        <f t="shared" si="2"/>
        <v>46043</v>
      </c>
      <c r="I12" s="17">
        <f t="shared" si="1"/>
        <v>46048</v>
      </c>
      <c r="J12" s="27"/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spans="1:34" hidden="1" x14ac:dyDescent="0.25">
      <c r="A13" s="14" t="b">
        <v>0</v>
      </c>
      <c r="B13" s="15" t="str">
        <f t="shared" si="0"/>
        <v>1.6</v>
      </c>
      <c r="C13" s="15" t="s">
        <v>32</v>
      </c>
      <c r="D13" s="16" t="s">
        <v>33</v>
      </c>
      <c r="E13" s="15"/>
      <c r="F13" s="25">
        <v>46010</v>
      </c>
      <c r="G13" s="56">
        <v>46036</v>
      </c>
      <c r="H13" s="25">
        <f>WORKDAY($I$12,1)</f>
        <v>46049</v>
      </c>
      <c r="I13" s="25">
        <f t="shared" si="1"/>
        <v>46052</v>
      </c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G13" s="29">
        <v>46002</v>
      </c>
      <c r="AH13" s="2">
        <f>NETWORKDAYS(AG13,AG14,AE6:AE8)</f>
        <v>60</v>
      </c>
    </row>
    <row r="14" spans="1:34" hidden="1" x14ac:dyDescent="0.25">
      <c r="A14" s="14" t="b">
        <v>0</v>
      </c>
      <c r="B14" s="15" t="str">
        <f t="shared" si="0"/>
        <v>1.7</v>
      </c>
      <c r="C14" s="15" t="s">
        <v>34</v>
      </c>
      <c r="D14" s="16" t="s">
        <v>35</v>
      </c>
      <c r="E14" s="15"/>
      <c r="F14" s="25">
        <v>46012</v>
      </c>
      <c r="G14" s="56"/>
      <c r="H14" s="25">
        <f>WORKDAY(H13,2)</f>
        <v>46051</v>
      </c>
      <c r="I14" s="25">
        <f t="shared" si="1"/>
        <v>46056</v>
      </c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G14" s="29">
        <v>46090</v>
      </c>
    </row>
    <row r="15" spans="1:34" hidden="1" x14ac:dyDescent="0.25">
      <c r="A15" s="14" t="b">
        <v>0</v>
      </c>
      <c r="B15" s="15" t="str">
        <f t="shared" si="0"/>
        <v>1.8</v>
      </c>
      <c r="C15" s="15" t="s">
        <v>36</v>
      </c>
      <c r="D15" s="16" t="s">
        <v>37</v>
      </c>
      <c r="E15" s="15"/>
      <c r="F15" s="25">
        <v>46014</v>
      </c>
      <c r="G15" s="56"/>
      <c r="H15" s="25">
        <f t="shared" ref="H15:H23" si="3">WORKDAY(H14,2)</f>
        <v>46055</v>
      </c>
      <c r="I15" s="25">
        <f t="shared" si="1"/>
        <v>46058</v>
      </c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34" hidden="1" x14ac:dyDescent="0.25">
      <c r="A16" s="14" t="b">
        <v>0</v>
      </c>
      <c r="B16" s="15" t="str">
        <f t="shared" si="0"/>
        <v>1.9</v>
      </c>
      <c r="C16" s="15" t="s">
        <v>38</v>
      </c>
      <c r="D16" s="16" t="s">
        <v>39</v>
      </c>
      <c r="E16" s="15"/>
      <c r="F16" s="25">
        <v>46016</v>
      </c>
      <c r="G16" s="56"/>
      <c r="H16" s="25">
        <f t="shared" si="3"/>
        <v>46057</v>
      </c>
      <c r="I16" s="25">
        <f t="shared" si="1"/>
        <v>46062</v>
      </c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hidden="1" x14ac:dyDescent="0.25">
      <c r="A17" s="14" t="b">
        <v>0</v>
      </c>
      <c r="B17" s="15" t="str">
        <f t="shared" si="0"/>
        <v>1.10</v>
      </c>
      <c r="C17" s="15" t="s">
        <v>40</v>
      </c>
      <c r="D17" s="16" t="s">
        <v>41</v>
      </c>
      <c r="E17" s="15"/>
      <c r="F17" s="25">
        <v>46018</v>
      </c>
      <c r="G17" s="56"/>
      <c r="H17" s="25">
        <f t="shared" si="3"/>
        <v>46059</v>
      </c>
      <c r="I17" s="25">
        <f t="shared" si="1"/>
        <v>46064</v>
      </c>
      <c r="J17" s="31"/>
      <c r="K17" s="31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27" hidden="1" x14ac:dyDescent="0.25">
      <c r="A18" s="14" t="b">
        <v>0</v>
      </c>
      <c r="B18" s="15" t="str">
        <f t="shared" si="0"/>
        <v>1.11</v>
      </c>
      <c r="C18" s="15" t="s">
        <v>42</v>
      </c>
      <c r="D18" s="16" t="s">
        <v>43</v>
      </c>
      <c r="E18" s="15"/>
      <c r="F18" s="25">
        <v>46020</v>
      </c>
      <c r="G18" s="56"/>
      <c r="H18" s="25">
        <f t="shared" si="3"/>
        <v>46063</v>
      </c>
      <c r="I18" s="25">
        <f t="shared" si="1"/>
        <v>46066</v>
      </c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hidden="1" x14ac:dyDescent="0.25">
      <c r="A19" s="14" t="b">
        <v>0</v>
      </c>
      <c r="B19" s="15" t="str">
        <f t="shared" si="0"/>
        <v>1.12</v>
      </c>
      <c r="C19" s="15" t="s">
        <v>44</v>
      </c>
      <c r="D19" s="16" t="s">
        <v>45</v>
      </c>
      <c r="E19" s="15"/>
      <c r="F19" s="25">
        <v>46022</v>
      </c>
      <c r="G19" s="56"/>
      <c r="H19" s="25">
        <f t="shared" si="3"/>
        <v>46065</v>
      </c>
      <c r="I19" s="25">
        <f t="shared" si="1"/>
        <v>46070</v>
      </c>
      <c r="J19" s="31"/>
      <c r="K19" s="31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hidden="1" x14ac:dyDescent="0.25">
      <c r="A20" s="14" t="b">
        <v>0</v>
      </c>
      <c r="B20" s="15" t="str">
        <f t="shared" si="0"/>
        <v>1.13</v>
      </c>
      <c r="C20" s="15" t="s">
        <v>46</v>
      </c>
      <c r="D20" s="16" t="s">
        <v>47</v>
      </c>
      <c r="E20" s="15"/>
      <c r="F20" s="25">
        <v>46024</v>
      </c>
      <c r="G20" s="56"/>
      <c r="H20" s="25">
        <f t="shared" si="3"/>
        <v>46069</v>
      </c>
      <c r="I20" s="25">
        <f t="shared" si="1"/>
        <v>46072</v>
      </c>
      <c r="J20" s="31"/>
      <c r="K20" s="31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hidden="1" x14ac:dyDescent="0.25">
      <c r="A21" s="14" t="b">
        <v>0</v>
      </c>
      <c r="B21" s="15" t="str">
        <f t="shared" si="0"/>
        <v>1.14</v>
      </c>
      <c r="C21" s="15" t="s">
        <v>48</v>
      </c>
      <c r="D21" s="16" t="s">
        <v>49</v>
      </c>
      <c r="E21" s="15"/>
      <c r="F21" s="25">
        <v>46026</v>
      </c>
      <c r="G21" s="56"/>
      <c r="H21" s="25">
        <f t="shared" si="3"/>
        <v>46071</v>
      </c>
      <c r="I21" s="25">
        <f t="shared" si="1"/>
        <v>46076</v>
      </c>
      <c r="J21" s="31"/>
      <c r="K21" s="31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hidden="1" x14ac:dyDescent="0.25">
      <c r="A22" s="14" t="b">
        <v>0</v>
      </c>
      <c r="B22" s="15" t="str">
        <f t="shared" si="0"/>
        <v>1.15</v>
      </c>
      <c r="C22" s="15" t="s">
        <v>50</v>
      </c>
      <c r="D22" s="16" t="s">
        <v>51</v>
      </c>
      <c r="E22" s="33"/>
      <c r="F22" s="25">
        <v>46028</v>
      </c>
      <c r="G22" s="56"/>
      <c r="H22" s="25">
        <f t="shared" si="3"/>
        <v>46073</v>
      </c>
      <c r="I22" s="25">
        <f t="shared" si="1"/>
        <v>46078</v>
      </c>
      <c r="J22" s="31"/>
      <c r="K22" s="31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hidden="1" x14ac:dyDescent="0.25">
      <c r="A23" s="14" t="b">
        <v>0</v>
      </c>
      <c r="B23" s="15" t="str">
        <f t="shared" si="0"/>
        <v>1.16</v>
      </c>
      <c r="C23" s="15" t="s">
        <v>52</v>
      </c>
      <c r="D23" s="16" t="s">
        <v>53</v>
      </c>
      <c r="E23" s="15"/>
      <c r="F23" s="25">
        <v>46031</v>
      </c>
      <c r="G23" s="56"/>
      <c r="H23" s="25">
        <f t="shared" si="3"/>
        <v>46077</v>
      </c>
      <c r="I23" s="25">
        <f t="shared" si="1"/>
        <v>46080</v>
      </c>
      <c r="J23" s="31"/>
      <c r="K23" s="31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hidden="1" x14ac:dyDescent="0.25">
      <c r="A24" s="14" t="b">
        <v>0</v>
      </c>
      <c r="B24" s="15" t="str">
        <f t="shared" si="0"/>
        <v>1.17</v>
      </c>
      <c r="C24" s="15"/>
      <c r="D24" s="16" t="s">
        <v>54</v>
      </c>
      <c r="E24" s="15"/>
      <c r="F24" s="25">
        <v>46062</v>
      </c>
      <c r="G24" s="26" t="s">
        <v>55</v>
      </c>
      <c r="H24" s="25">
        <f>WORKDAY(I23,14)</f>
        <v>46100</v>
      </c>
      <c r="I24" s="34" t="s">
        <v>17</v>
      </c>
      <c r="J24" s="34"/>
      <c r="K24" s="34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 spans="1:27" hidden="1" x14ac:dyDescent="0.25">
      <c r="B25" s="15"/>
      <c r="C25" s="15"/>
      <c r="D25" s="16"/>
      <c r="E25" s="15"/>
      <c r="F25" s="17"/>
      <c r="G25" s="17"/>
      <c r="H25" s="36"/>
      <c r="I25" s="36"/>
      <c r="J25" s="36"/>
      <c r="K25" s="36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s="19" customFormat="1" hidden="1" x14ac:dyDescent="0.25">
      <c r="B26" s="20">
        <v>2</v>
      </c>
      <c r="C26" s="57" t="s">
        <v>56</v>
      </c>
      <c r="D26" s="58"/>
      <c r="E26" s="22"/>
      <c r="F26" s="22"/>
      <c r="G26" s="21"/>
      <c r="H26" s="37"/>
      <c r="I26" s="37"/>
      <c r="J26" s="37"/>
      <c r="K26" s="37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s="19" customFormat="1" hidden="1" x14ac:dyDescent="0.25">
      <c r="B27" s="20"/>
      <c r="C27" s="21"/>
      <c r="D27" s="24" t="s">
        <v>57</v>
      </c>
      <c r="E27" s="22"/>
      <c r="F27" s="22"/>
      <c r="G27" s="21"/>
      <c r="H27" s="37"/>
      <c r="I27" s="37"/>
      <c r="J27" s="37"/>
      <c r="K27" s="37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 hidden="1" x14ac:dyDescent="0.25">
      <c r="A28" s="14" t="b">
        <v>0</v>
      </c>
      <c r="B28" s="15" t="str">
        <f>IF(
    ISERROR(VALUE(SUBSTITUTE(B26,".",""))),
    "0.1",
    IF(
        ISERROR(FIND("`",SUBSTITUTE(B26,".","`",1))),
        B26 &amp; ".1",
        LEFT(B26,FIND("`",SUBSTITUTE(B26,".","`",1))) &amp;
        IF(
            ISERROR(FIND("`",SUBSTITUTE(B26,".","`",2))),
            VALUE(RIGHT(B26,LEN(B26)-FIND("`",SUBSTITUTE(B26,".","`",1))))+1,
            VALUE(MID(B26,
                FIND("`",SUBSTITUTE(B26,".","`",1))+1,
                (FIND("`",SUBSTITUTE(B26,".","`",2))-FIND("`",SUBSTITUTE(B26,".","`",1))-1)
            ))+1
        )
    )
)</f>
        <v>2.1</v>
      </c>
      <c r="C28" s="15" t="s">
        <v>58</v>
      </c>
      <c r="D28" s="16" t="s">
        <v>23</v>
      </c>
      <c r="E28" s="15"/>
      <c r="F28" s="25">
        <v>45995</v>
      </c>
      <c r="G28" s="25">
        <v>45999</v>
      </c>
      <c r="H28" s="25">
        <f>WORKDAY(AG28,5)</f>
        <v>6</v>
      </c>
      <c r="I28" s="26">
        <f>WORKDAY(H28,3)</f>
        <v>11</v>
      </c>
      <c r="J28" s="27"/>
      <c r="K28" s="27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spans="1:27" hidden="1" x14ac:dyDescent="0.25">
      <c r="A29" s="14" t="b">
        <v>0</v>
      </c>
      <c r="B29" s="15" t="str">
        <f t="shared" ref="B29:B43" si="4">IF(
    ISERROR(VALUE(SUBSTITUTE(B28,".",""))),
    "0.1",
    IF(
        ISERROR(FIND("`",SUBSTITUTE(B28,".","`",1))),
        B28 &amp; ".1",
        LEFT(B28,FIND("`",SUBSTITUTE(B28,".","`",1))) &amp;
        IF(
            ISERROR(FIND("`",SUBSTITUTE(B28,".","`",2))),
            VALUE(RIGHT(B28,LEN(B28)-FIND("`",SUBSTITUTE(B28,".","`",1))))+1,
            VALUE(MID(B28,
                FIND("`",SUBSTITUTE(B28,".","`",1))+1,
                (FIND("`",SUBSTITUTE(B28,".","`",2))-FIND("`",SUBSTITUTE(B28,".","`",1))-1)
            ))+1
        )
    )
)</f>
        <v>2.2</v>
      </c>
      <c r="C29" s="15" t="s">
        <v>59</v>
      </c>
      <c r="D29" s="16" t="s">
        <v>60</v>
      </c>
      <c r="E29" s="15"/>
      <c r="F29" s="25">
        <v>46013</v>
      </c>
      <c r="G29" s="25">
        <v>46016</v>
      </c>
      <c r="H29" s="25">
        <f>WORKDAY($H$8,3)</f>
        <v>46043</v>
      </c>
      <c r="I29" s="17">
        <f t="shared" ref="I29:I38" si="5">WORKDAY(H29,3)</f>
        <v>46048</v>
      </c>
      <c r="J29" s="27"/>
      <c r="K29" s="27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spans="1:27" hidden="1" x14ac:dyDescent="0.25">
      <c r="A30" s="14" t="b">
        <v>0</v>
      </c>
      <c r="B30" s="15" t="str">
        <f t="shared" si="4"/>
        <v>2.3</v>
      </c>
      <c r="C30" s="15" t="s">
        <v>61</v>
      </c>
      <c r="D30" s="16" t="s">
        <v>29</v>
      </c>
      <c r="E30" s="15"/>
      <c r="F30" s="25">
        <v>46013</v>
      </c>
      <c r="G30" s="25">
        <v>46016</v>
      </c>
      <c r="H30" s="25">
        <f t="shared" ref="H30:H32" si="6">WORKDAY($H$8,3)</f>
        <v>46043</v>
      </c>
      <c r="I30" s="17">
        <f t="shared" si="5"/>
        <v>46048</v>
      </c>
      <c r="J30" s="27"/>
      <c r="K30" s="27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spans="1:27" hidden="1" x14ac:dyDescent="0.25">
      <c r="A31" s="14" t="b">
        <v>0</v>
      </c>
      <c r="B31" s="15" t="str">
        <f t="shared" si="4"/>
        <v>2.4</v>
      </c>
      <c r="C31" s="15" t="s">
        <v>62</v>
      </c>
      <c r="D31" s="16" t="s">
        <v>31</v>
      </c>
      <c r="E31" s="15"/>
      <c r="F31" s="25">
        <v>46013</v>
      </c>
      <c r="G31" s="25">
        <v>46016</v>
      </c>
      <c r="H31" s="25">
        <f t="shared" si="6"/>
        <v>46043</v>
      </c>
      <c r="I31" s="17">
        <f t="shared" si="5"/>
        <v>46048</v>
      </c>
      <c r="J31" s="27"/>
      <c r="K31" s="27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spans="1:27" hidden="1" x14ac:dyDescent="0.25">
      <c r="A32" s="14" t="b">
        <v>0</v>
      </c>
      <c r="B32" s="15" t="str">
        <f t="shared" si="4"/>
        <v>2.5</v>
      </c>
      <c r="C32" s="15" t="s">
        <v>63</v>
      </c>
      <c r="D32" s="16" t="s">
        <v>64</v>
      </c>
      <c r="E32" s="15"/>
      <c r="F32" s="25">
        <v>46010</v>
      </c>
      <c r="G32" s="59">
        <v>45671</v>
      </c>
      <c r="H32" s="25">
        <f t="shared" si="6"/>
        <v>46043</v>
      </c>
      <c r="I32" s="17">
        <f t="shared" si="5"/>
        <v>46048</v>
      </c>
      <c r="J32" s="34"/>
      <c r="K32" s="34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</row>
    <row r="33" spans="1:27" hidden="1" x14ac:dyDescent="0.25">
      <c r="A33" s="14" t="b">
        <v>0</v>
      </c>
      <c r="B33" s="15" t="str">
        <f t="shared" si="4"/>
        <v>2.6</v>
      </c>
      <c r="C33" s="15" t="s">
        <v>65</v>
      </c>
      <c r="D33" s="16" t="s">
        <v>35</v>
      </c>
      <c r="E33" s="15"/>
      <c r="F33" s="25">
        <v>46012</v>
      </c>
      <c r="G33" s="60"/>
      <c r="H33" s="25">
        <f>WORKDAY($I$12,1)</f>
        <v>46049</v>
      </c>
      <c r="I33" s="25">
        <f t="shared" si="5"/>
        <v>46052</v>
      </c>
      <c r="J33" s="36"/>
      <c r="K33" s="36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idden="1" x14ac:dyDescent="0.25">
      <c r="A34" s="14" t="b">
        <v>0</v>
      </c>
      <c r="B34" s="15" t="str">
        <f t="shared" si="4"/>
        <v>2.7</v>
      </c>
      <c r="C34" s="15" t="s">
        <v>66</v>
      </c>
      <c r="D34" s="16" t="s">
        <v>67</v>
      </c>
      <c r="E34" s="15"/>
      <c r="F34" s="25">
        <v>46014</v>
      </c>
      <c r="G34" s="60"/>
      <c r="H34" s="25">
        <f>WORKDAY(H33,2)</f>
        <v>46051</v>
      </c>
      <c r="I34" s="25">
        <f t="shared" si="5"/>
        <v>46056</v>
      </c>
      <c r="J34" s="37"/>
      <c r="K34" s="37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 hidden="1" x14ac:dyDescent="0.25">
      <c r="A35" s="14" t="b">
        <v>0</v>
      </c>
      <c r="B35" s="15" t="str">
        <f t="shared" si="4"/>
        <v>2.8</v>
      </c>
      <c r="C35" s="15" t="s">
        <v>68</v>
      </c>
      <c r="D35" s="16" t="s">
        <v>69</v>
      </c>
      <c r="E35" s="15"/>
      <c r="F35" s="25">
        <v>46016</v>
      </c>
      <c r="G35" s="60"/>
      <c r="H35" s="25">
        <f t="shared" ref="H35:H41" si="7">WORKDAY(H34,2)</f>
        <v>46055</v>
      </c>
      <c r="I35" s="25">
        <f t="shared" si="5"/>
        <v>46058</v>
      </c>
      <c r="J35" s="27"/>
      <c r="K35" s="27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spans="1:27" hidden="1" x14ac:dyDescent="0.25">
      <c r="A36" s="14" t="b">
        <v>0</v>
      </c>
      <c r="B36" s="15" t="str">
        <f t="shared" si="4"/>
        <v>2.9</v>
      </c>
      <c r="C36" s="15" t="s">
        <v>70</v>
      </c>
      <c r="D36" s="16" t="s">
        <v>71</v>
      </c>
      <c r="E36" s="15"/>
      <c r="F36" s="25">
        <v>46018</v>
      </c>
      <c r="G36" s="60"/>
      <c r="H36" s="25">
        <f t="shared" si="7"/>
        <v>46057</v>
      </c>
      <c r="I36" s="25">
        <f t="shared" si="5"/>
        <v>46062</v>
      </c>
      <c r="J36" s="27"/>
      <c r="K36" s="27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spans="1:27" hidden="1" x14ac:dyDescent="0.25">
      <c r="A37" s="14" t="b">
        <v>0</v>
      </c>
      <c r="B37" s="15" t="str">
        <f t="shared" si="4"/>
        <v>2.10</v>
      </c>
      <c r="C37" s="15" t="s">
        <v>72</v>
      </c>
      <c r="D37" s="16" t="s">
        <v>73</v>
      </c>
      <c r="E37" s="15"/>
      <c r="F37" s="25">
        <v>46020</v>
      </c>
      <c r="G37" s="60"/>
      <c r="H37" s="25">
        <f t="shared" si="7"/>
        <v>46059</v>
      </c>
      <c r="I37" s="25">
        <f t="shared" si="5"/>
        <v>46064</v>
      </c>
      <c r="J37" s="27"/>
      <c r="K37" s="27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spans="1:27" hidden="1" x14ac:dyDescent="0.25">
      <c r="A38" s="14" t="b">
        <v>0</v>
      </c>
      <c r="B38" s="15" t="str">
        <f t="shared" si="4"/>
        <v>2.11</v>
      </c>
      <c r="C38" s="15" t="s">
        <v>74</v>
      </c>
      <c r="D38" s="16" t="s">
        <v>75</v>
      </c>
      <c r="E38" s="15"/>
      <c r="F38" s="25">
        <v>46022</v>
      </c>
      <c r="G38" s="60"/>
      <c r="H38" s="25">
        <f t="shared" si="7"/>
        <v>46063</v>
      </c>
      <c r="I38" s="25">
        <f t="shared" si="5"/>
        <v>46066</v>
      </c>
      <c r="J38" s="27"/>
      <c r="K38" s="27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spans="1:27" hidden="1" x14ac:dyDescent="0.25">
      <c r="A39" s="14" t="b">
        <v>0</v>
      </c>
      <c r="B39" s="15" t="str">
        <f t="shared" si="4"/>
        <v>2.12</v>
      </c>
      <c r="C39" s="15" t="s">
        <v>76</v>
      </c>
      <c r="D39" s="16" t="s">
        <v>77</v>
      </c>
      <c r="E39" s="15"/>
      <c r="F39" s="25">
        <v>46024</v>
      </c>
      <c r="G39" s="60"/>
      <c r="H39" s="25">
        <f t="shared" si="7"/>
        <v>46065</v>
      </c>
      <c r="I39" s="25">
        <f>WORKDAY(H39,3)</f>
        <v>46070</v>
      </c>
      <c r="J39" s="34"/>
      <c r="K39" s="34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 spans="1:27" hidden="1" x14ac:dyDescent="0.25">
      <c r="A40" s="14" t="b">
        <v>0</v>
      </c>
      <c r="B40" s="15" t="str">
        <f t="shared" si="4"/>
        <v>2.13</v>
      </c>
      <c r="C40" s="15" t="s">
        <v>78</v>
      </c>
      <c r="D40" s="16" t="s">
        <v>49</v>
      </c>
      <c r="E40" s="15"/>
      <c r="F40" s="25">
        <v>46026</v>
      </c>
      <c r="G40" s="60"/>
      <c r="H40" s="25">
        <f>WORKDAY(H39,3)</f>
        <v>46070</v>
      </c>
      <c r="I40" s="25">
        <f>WORKDAY(H40,3)</f>
        <v>46073</v>
      </c>
      <c r="J40" s="36"/>
      <c r="K40" s="36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idden="1" x14ac:dyDescent="0.25">
      <c r="A41" s="14" t="b">
        <v>0</v>
      </c>
      <c r="B41" s="15" t="str">
        <f t="shared" si="4"/>
        <v>2.14</v>
      </c>
      <c r="C41" s="15" t="s">
        <v>79</v>
      </c>
      <c r="D41" s="16" t="s">
        <v>51</v>
      </c>
      <c r="E41" s="15"/>
      <c r="F41" s="25">
        <v>46028</v>
      </c>
      <c r="G41" s="60"/>
      <c r="H41" s="25">
        <f t="shared" si="7"/>
        <v>46072</v>
      </c>
      <c r="I41" s="25">
        <f>WORKDAY(H41,3)</f>
        <v>46077</v>
      </c>
      <c r="J41" s="37"/>
      <c r="K41" s="37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spans="1:27" hidden="1" x14ac:dyDescent="0.25">
      <c r="A42" s="14" t="b">
        <v>0</v>
      </c>
      <c r="B42" s="15" t="str">
        <f t="shared" si="4"/>
        <v>2.15</v>
      </c>
      <c r="C42" s="15" t="s">
        <v>80</v>
      </c>
      <c r="D42" s="16" t="s">
        <v>81</v>
      </c>
      <c r="E42" s="15"/>
      <c r="F42" s="25">
        <v>46031</v>
      </c>
      <c r="G42" s="60"/>
      <c r="H42" s="25">
        <f>WORKDAY(H41,3)</f>
        <v>46077</v>
      </c>
      <c r="I42" s="25">
        <f>WORKDAY(H42,3)</f>
        <v>46080</v>
      </c>
      <c r="J42" s="27"/>
      <c r="K42" s="27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spans="1:27" hidden="1" x14ac:dyDescent="0.25">
      <c r="A43" s="14" t="b">
        <v>0</v>
      </c>
      <c r="B43" s="15" t="str">
        <f t="shared" si="4"/>
        <v>2.16</v>
      </c>
      <c r="C43" s="15"/>
      <c r="D43" s="16" t="s">
        <v>54</v>
      </c>
      <c r="E43" s="15"/>
      <c r="F43" s="25">
        <v>46062</v>
      </c>
      <c r="G43" s="26" t="s">
        <v>55</v>
      </c>
      <c r="H43" s="34">
        <f>WORKDAY(I42,14)</f>
        <v>46100</v>
      </c>
      <c r="I43" s="34" t="s">
        <v>17</v>
      </c>
      <c r="J43" s="27"/>
      <c r="K43" s="27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spans="1:27" hidden="1" x14ac:dyDescent="0.25">
      <c r="B44" s="15"/>
      <c r="C44" s="15"/>
      <c r="D44" s="16"/>
      <c r="E44" s="15"/>
      <c r="J44" s="25"/>
      <c r="K44" s="25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spans="1:27" s="19" customFormat="1" x14ac:dyDescent="0.25">
      <c r="A45" s="50"/>
      <c r="B45" s="52">
        <v>1</v>
      </c>
      <c r="C45" s="62" t="s">
        <v>82</v>
      </c>
      <c r="D45" s="63"/>
      <c r="E45" s="51"/>
      <c r="F45" s="51"/>
      <c r="G45" s="52"/>
      <c r="H45" s="53"/>
      <c r="I45" s="53"/>
      <c r="J45" s="53"/>
      <c r="K45" s="53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</row>
    <row r="46" spans="1:27" x14ac:dyDescent="0.25">
      <c r="A46" s="14" t="b">
        <v>1</v>
      </c>
      <c r="B46" s="28" t="str">
        <f>IF(
    ISERROR(VALUE(SUBSTITUTE(B45,".",""))),
    "0.1",
    IF(
        ISERROR(FIND("`",SUBSTITUTE(B45,".","`",1))),
        B45 &amp; ".1",
        LEFT(B45,FIND("`",SUBSTITUTE(B45,".","`",1))) &amp;
        IF(
            ISERROR(FIND("`",SUBSTITUTE(B45,".","`",2))),
            VALUE(RIGHT(B45,LEN(B45)-FIND("`",SUBSTITUTE(B45,".","`",1))))+1,
            VALUE(MID(B45,
                FIND("`",SUBSTITUTE(B45,".","`",1))+1,
                (FIND("`",SUBSTITUTE(B45,".","`",2))-FIND("`",SUBSTITUTE(B45,".","`",1))-1)
            ))+1
        )
    )
)</f>
        <v>1.1</v>
      </c>
      <c r="C46" s="15" t="s">
        <v>83</v>
      </c>
      <c r="D46" s="16" t="s">
        <v>23</v>
      </c>
      <c r="E46" s="28" t="s">
        <v>17</v>
      </c>
      <c r="F46" s="25">
        <v>45999</v>
      </c>
      <c r="G46" s="25">
        <f>WORKDAY(F46,3)</f>
        <v>46002</v>
      </c>
      <c r="H46" s="41">
        <f>WORKDAY($I$4,5,$AE$6:$AE$8)</f>
        <v>46022</v>
      </c>
      <c r="I46" s="41">
        <f>WORKDAY($H$83,3,$AE$6:$AE$8)</f>
        <v>46028</v>
      </c>
      <c r="J46" s="26">
        <v>46017</v>
      </c>
      <c r="K46" s="26">
        <v>46020</v>
      </c>
      <c r="L46" s="35" t="s">
        <v>18</v>
      </c>
      <c r="M46" s="28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 spans="1:27" x14ac:dyDescent="0.25">
      <c r="A47" s="14" t="b">
        <v>1</v>
      </c>
      <c r="B47" s="28" t="str">
        <f t="shared" ref="B47:B63" si="8">IF(
    ISERROR(VALUE(SUBSTITUTE(B46,".",""))),
    "0.1",
    IF(
        ISERROR(FIND("`",SUBSTITUTE(B46,".","`",1))),
        B46 &amp; ".1",
        LEFT(B46,FIND("`",SUBSTITUTE(B46,".","`",1))) &amp;
        IF(
            ISERROR(FIND("`",SUBSTITUTE(B46,".","`",2))),
            VALUE(RIGHT(B46,LEN(B46)-FIND("`",SUBSTITUTE(B46,".","`",1))))+1,
            VALUE(MID(B46,
                FIND("`",SUBSTITUTE(B46,".","`",1))+1,
                (FIND("`",SUBSTITUTE(B46,".","`",2))-FIND("`",SUBSTITUTE(B46,".","`",1))-1)
            ))+1
        )
    )
)</f>
        <v>1.2</v>
      </c>
      <c r="C47" s="15" t="s">
        <v>84</v>
      </c>
      <c r="D47" s="16" t="s">
        <v>85</v>
      </c>
      <c r="E47" s="35"/>
      <c r="F47" s="25">
        <v>46015</v>
      </c>
      <c r="G47" s="25">
        <v>46020</v>
      </c>
      <c r="H47" s="41">
        <f>WORKDAY($I$66,1)</f>
        <v>46029</v>
      </c>
      <c r="I47" s="41">
        <f>WORKDAY($H$67,3)</f>
        <v>46034</v>
      </c>
      <c r="J47" s="25">
        <v>46024</v>
      </c>
      <c r="K47" s="25">
        <v>46031</v>
      </c>
      <c r="L47" s="15">
        <v>2</v>
      </c>
      <c r="M47" s="26">
        <v>46034</v>
      </c>
      <c r="N47" s="26">
        <v>46037</v>
      </c>
      <c r="O47" s="15" t="s">
        <v>155</v>
      </c>
      <c r="P47" s="36">
        <v>46036</v>
      </c>
      <c r="Q47" s="26">
        <v>46037</v>
      </c>
      <c r="R47" s="15">
        <v>1</v>
      </c>
      <c r="S47" s="48">
        <v>46045</v>
      </c>
      <c r="T47" s="25">
        <v>46059</v>
      </c>
      <c r="U47" s="15" t="s">
        <v>155</v>
      </c>
      <c r="V47" s="48">
        <v>46045</v>
      </c>
      <c r="W47" s="25">
        <v>46059</v>
      </c>
      <c r="X47" s="15">
        <v>1</v>
      </c>
      <c r="Y47" s="49">
        <v>46072</v>
      </c>
      <c r="Z47" s="49">
        <v>46076</v>
      </c>
      <c r="AA47" s="15">
        <v>1</v>
      </c>
    </row>
    <row r="48" spans="1:27" x14ac:dyDescent="0.25">
      <c r="A48" s="14" t="b">
        <v>1</v>
      </c>
      <c r="B48" s="28" t="str">
        <f t="shared" si="8"/>
        <v>1.3</v>
      </c>
      <c r="C48" s="15" t="s">
        <v>86</v>
      </c>
      <c r="D48" s="16" t="s">
        <v>60</v>
      </c>
      <c r="E48" s="35"/>
      <c r="F48" s="25">
        <v>46015</v>
      </c>
      <c r="G48" s="25">
        <v>46020</v>
      </c>
      <c r="H48" s="41">
        <f>WORKDAY($I$66,1)</f>
        <v>46029</v>
      </c>
      <c r="I48" s="41">
        <f>WORKDAY($H$67,3)</f>
        <v>46034</v>
      </c>
      <c r="J48" s="25">
        <v>46024</v>
      </c>
      <c r="K48" s="25">
        <v>46031</v>
      </c>
      <c r="L48" s="15">
        <v>2</v>
      </c>
      <c r="M48" s="26">
        <v>46034</v>
      </c>
      <c r="N48" s="26">
        <v>46037</v>
      </c>
      <c r="O48" s="15" t="s">
        <v>155</v>
      </c>
      <c r="P48" s="36">
        <v>46036</v>
      </c>
      <c r="Q48" s="26">
        <v>46037</v>
      </c>
      <c r="R48" s="15">
        <v>1</v>
      </c>
      <c r="S48" s="48">
        <v>46045</v>
      </c>
      <c r="T48" s="25">
        <v>46059</v>
      </c>
      <c r="U48" s="21" t="s">
        <v>155</v>
      </c>
      <c r="V48" s="48">
        <v>46045</v>
      </c>
      <c r="W48" s="25">
        <v>46059</v>
      </c>
      <c r="X48" s="21">
        <v>1</v>
      </c>
      <c r="Y48" s="49">
        <v>46072</v>
      </c>
      <c r="Z48" s="49">
        <v>46076</v>
      </c>
      <c r="AA48" s="21">
        <v>1</v>
      </c>
    </row>
    <row r="49" spans="1:27" x14ac:dyDescent="0.25">
      <c r="A49" s="14" t="b">
        <v>1</v>
      </c>
      <c r="B49" s="28" t="str">
        <f t="shared" si="8"/>
        <v>1.4</v>
      </c>
      <c r="C49" s="15" t="s">
        <v>158</v>
      </c>
      <c r="D49" s="16"/>
      <c r="E49" s="35"/>
      <c r="F49" s="25"/>
      <c r="G49" s="25"/>
      <c r="H49" s="41">
        <f>WORKDAY($I$66,1)</f>
        <v>46029</v>
      </c>
      <c r="I49" s="41">
        <f>WORKDAY($H$67,3)</f>
        <v>46034</v>
      </c>
      <c r="J49" s="25" t="s">
        <v>159</v>
      </c>
      <c r="K49" s="25" t="s">
        <v>159</v>
      </c>
      <c r="L49" s="15" t="s">
        <v>155</v>
      </c>
      <c r="M49" s="26">
        <v>46034</v>
      </c>
      <c r="N49" s="26">
        <v>46037</v>
      </c>
      <c r="O49" s="15" t="s">
        <v>155</v>
      </c>
      <c r="P49" s="36">
        <v>46036</v>
      </c>
      <c r="Q49" s="26">
        <v>46037</v>
      </c>
      <c r="R49" s="15">
        <v>1</v>
      </c>
      <c r="S49" s="48">
        <v>46045</v>
      </c>
      <c r="T49" s="25">
        <v>46059</v>
      </c>
      <c r="U49" s="21">
        <v>1</v>
      </c>
      <c r="V49" s="49">
        <v>46072</v>
      </c>
      <c r="W49" s="49">
        <v>46076</v>
      </c>
      <c r="X49" s="15">
        <v>1</v>
      </c>
      <c r="Y49" s="15"/>
      <c r="Z49" s="15"/>
      <c r="AA49" s="15"/>
    </row>
    <row r="50" spans="1:27" x14ac:dyDescent="0.25">
      <c r="A50" s="14" t="b">
        <v>1</v>
      </c>
      <c r="B50" s="28" t="str">
        <f t="shared" si="8"/>
        <v>1.5</v>
      </c>
      <c r="C50" s="15" t="s">
        <v>87</v>
      </c>
      <c r="D50" s="16" t="s">
        <v>29</v>
      </c>
      <c r="E50" s="35"/>
      <c r="F50" s="25">
        <v>46015</v>
      </c>
      <c r="G50" s="25">
        <v>46020</v>
      </c>
      <c r="H50" s="41">
        <f>WORKDAY($I$66,1)</f>
        <v>46029</v>
      </c>
      <c r="I50" s="41">
        <f>WORKDAY($H$67,3)</f>
        <v>46034</v>
      </c>
      <c r="J50" s="25">
        <v>46024</v>
      </c>
      <c r="K50" s="25">
        <v>46031</v>
      </c>
      <c r="L50" s="15">
        <v>2</v>
      </c>
      <c r="M50" s="26">
        <v>46034</v>
      </c>
      <c r="N50" s="26">
        <v>46037</v>
      </c>
      <c r="O50" s="15" t="s">
        <v>155</v>
      </c>
      <c r="P50" s="36">
        <v>46036</v>
      </c>
      <c r="Q50" s="26">
        <v>46037</v>
      </c>
      <c r="R50" s="15">
        <v>1</v>
      </c>
      <c r="S50" s="48">
        <v>46045</v>
      </c>
      <c r="T50" s="25">
        <v>46059</v>
      </c>
      <c r="U50" s="28">
        <v>1</v>
      </c>
      <c r="V50" s="49">
        <v>46072</v>
      </c>
      <c r="W50" s="49">
        <v>46076</v>
      </c>
      <c r="X50" s="21">
        <v>1</v>
      </c>
      <c r="Y50" s="21"/>
      <c r="Z50" s="21"/>
      <c r="AA50" s="21"/>
    </row>
    <row r="51" spans="1:27" x14ac:dyDescent="0.25">
      <c r="A51" s="14" t="b">
        <v>1</v>
      </c>
      <c r="B51" s="28" t="str">
        <f t="shared" si="8"/>
        <v>1.6</v>
      </c>
      <c r="C51" s="15" t="s">
        <v>88</v>
      </c>
      <c r="D51" s="16" t="s">
        <v>31</v>
      </c>
      <c r="E51" s="35"/>
      <c r="F51" s="25">
        <v>46015</v>
      </c>
      <c r="G51" s="25">
        <v>46020</v>
      </c>
      <c r="H51" s="41">
        <f>WORKDAY($I$66,1)</f>
        <v>46029</v>
      </c>
      <c r="I51" s="41">
        <f>WORKDAY($H$67,3)</f>
        <v>46034</v>
      </c>
      <c r="J51" s="25">
        <v>46024</v>
      </c>
      <c r="K51" s="25">
        <v>46031</v>
      </c>
      <c r="L51" s="15">
        <v>2</v>
      </c>
      <c r="M51" s="26">
        <v>46034</v>
      </c>
      <c r="N51" s="26">
        <v>46037</v>
      </c>
      <c r="O51" s="15" t="s">
        <v>155</v>
      </c>
      <c r="P51" s="36">
        <v>46036</v>
      </c>
      <c r="Q51" s="26">
        <v>46037</v>
      </c>
      <c r="R51" s="15">
        <v>1</v>
      </c>
      <c r="S51" s="48">
        <v>46045</v>
      </c>
      <c r="T51" s="25">
        <v>46059</v>
      </c>
      <c r="U51" s="28">
        <v>1</v>
      </c>
      <c r="V51" s="49">
        <v>46072</v>
      </c>
      <c r="W51" s="49">
        <v>46076</v>
      </c>
      <c r="X51" s="15">
        <v>1</v>
      </c>
      <c r="Y51" s="15"/>
      <c r="Z51" s="15"/>
      <c r="AA51" s="15"/>
    </row>
    <row r="52" spans="1:27" x14ac:dyDescent="0.25">
      <c r="A52" s="14" t="b">
        <v>1</v>
      </c>
      <c r="B52" s="28" t="str">
        <f>IF(
    ISERROR(VALUE(SUBSTITUTE(B51,".",""))),
    "0.1",
    IF(
        ISERROR(FIND("`",SUBSTITUTE(B51,".","`",1))),
        B51 &amp; ".1",
        LEFT(B51,FIND("`",SUBSTITUTE(B51,".","`",1))) &amp;
        IF(
            ISERROR(FIND("`",SUBSTITUTE(B51,".","`",2))),
            VALUE(RIGHT(B51,LEN(B51)-FIND("`",SUBSTITUTE(B51,".","`",1))))+1,
            VALUE(MID(B51,
                FIND("`",SUBSTITUTE(B51,".","`",1))+1,
                (FIND("`",SUBSTITUTE(B51,".","`",2))-FIND("`",SUBSTITUTE(B51,".","`",1))-1)
            ))+1
        )
    )
)</f>
        <v>1.7</v>
      </c>
      <c r="C52" s="15" t="s">
        <v>89</v>
      </c>
      <c r="D52" s="16" t="s">
        <v>64</v>
      </c>
      <c r="E52" s="35"/>
      <c r="F52" s="25">
        <v>46013</v>
      </c>
      <c r="G52" s="59">
        <v>46037</v>
      </c>
      <c r="H52" s="41">
        <f>WORKDAY($I$87,2)</f>
        <v>46036</v>
      </c>
      <c r="I52" s="41">
        <f>WORKDAY(H52,3)</f>
        <v>46041</v>
      </c>
      <c r="J52" s="25">
        <v>46053</v>
      </c>
      <c r="K52" s="25">
        <v>46062</v>
      </c>
      <c r="L52" s="15">
        <v>2</v>
      </c>
      <c r="M52" s="48">
        <v>46069</v>
      </c>
      <c r="N52" s="48">
        <v>46072</v>
      </c>
      <c r="O52" s="15">
        <v>1</v>
      </c>
      <c r="P52" s="49">
        <v>46121</v>
      </c>
      <c r="Q52" s="49">
        <v>46132</v>
      </c>
      <c r="R52" s="15">
        <v>1</v>
      </c>
      <c r="S52" s="21"/>
      <c r="T52" s="21"/>
      <c r="U52" s="21"/>
      <c r="V52" s="21"/>
      <c r="W52" s="21"/>
      <c r="X52" s="21"/>
      <c r="Y52" s="21"/>
      <c r="Z52" s="21"/>
      <c r="AA52" s="22"/>
    </row>
    <row r="53" spans="1:27" x14ac:dyDescent="0.25">
      <c r="A53" s="14" t="b">
        <v>1</v>
      </c>
      <c r="B53" s="28" t="str">
        <f t="shared" si="8"/>
        <v>1.8</v>
      </c>
      <c r="C53" s="15" t="s">
        <v>90</v>
      </c>
      <c r="D53" s="16" t="s">
        <v>35</v>
      </c>
      <c r="E53" s="35"/>
      <c r="F53" s="25">
        <v>46015</v>
      </c>
      <c r="G53" s="60"/>
      <c r="H53" s="41">
        <f>WORKDAY(H52,2)</f>
        <v>46038</v>
      </c>
      <c r="I53" s="41">
        <f t="shared" ref="I53:I62" si="9">WORKDAY(H53,3)</f>
        <v>46043</v>
      </c>
      <c r="J53" s="25">
        <v>46053</v>
      </c>
      <c r="K53" s="25">
        <v>46062</v>
      </c>
      <c r="L53" s="15">
        <v>2</v>
      </c>
      <c r="M53" s="48">
        <v>46069</v>
      </c>
      <c r="N53" s="48">
        <v>46072</v>
      </c>
      <c r="O53" s="15">
        <v>1</v>
      </c>
      <c r="P53" s="49">
        <v>46121</v>
      </c>
      <c r="Q53" s="49">
        <v>46132</v>
      </c>
      <c r="R53" s="15">
        <v>1</v>
      </c>
      <c r="S53" s="21"/>
      <c r="T53" s="21"/>
      <c r="U53" s="21"/>
      <c r="V53" s="21"/>
      <c r="W53" s="21"/>
      <c r="X53" s="21"/>
      <c r="Y53" s="21"/>
      <c r="Z53" s="21"/>
      <c r="AA53" s="22"/>
    </row>
    <row r="54" spans="1:27" ht="13.5" customHeight="1" x14ac:dyDescent="0.25">
      <c r="A54" s="14" t="b">
        <v>1</v>
      </c>
      <c r="B54" s="28" t="str">
        <f t="shared" si="8"/>
        <v>1.9</v>
      </c>
      <c r="C54" s="15" t="s">
        <v>91</v>
      </c>
      <c r="D54" s="38" t="s">
        <v>92</v>
      </c>
      <c r="E54" s="28" t="s">
        <v>93</v>
      </c>
      <c r="F54" s="25">
        <v>46017</v>
      </c>
      <c r="G54" s="60"/>
      <c r="H54" s="41">
        <f t="shared" ref="H54:H62" si="10">WORKDAY(H53,2)</f>
        <v>46042</v>
      </c>
      <c r="I54" s="41">
        <f t="shared" si="9"/>
        <v>46045</v>
      </c>
      <c r="J54" s="25">
        <v>46053</v>
      </c>
      <c r="K54" s="25">
        <v>46062</v>
      </c>
      <c r="L54" s="15">
        <v>2</v>
      </c>
      <c r="M54" s="48">
        <v>46069</v>
      </c>
      <c r="N54" s="48">
        <v>46072</v>
      </c>
      <c r="O54" s="15">
        <v>1</v>
      </c>
      <c r="P54" s="49">
        <v>46121</v>
      </c>
      <c r="Q54" s="49">
        <v>46132</v>
      </c>
      <c r="R54" s="15">
        <v>1</v>
      </c>
      <c r="S54" s="21"/>
      <c r="T54" s="21"/>
      <c r="U54" s="21"/>
      <c r="V54" s="21"/>
      <c r="W54" s="21"/>
      <c r="X54" s="21"/>
      <c r="Y54" s="21"/>
      <c r="Z54" s="21"/>
      <c r="AA54" s="22"/>
    </row>
    <row r="55" spans="1:27" ht="13.5" customHeight="1" x14ac:dyDescent="0.25">
      <c r="A55" s="14" t="b">
        <v>1</v>
      </c>
      <c r="B55" s="28" t="str">
        <f t="shared" si="8"/>
        <v>1.10</v>
      </c>
      <c r="C55" s="15" t="s">
        <v>94</v>
      </c>
      <c r="D55" s="38" t="s">
        <v>95</v>
      </c>
      <c r="E55" s="28"/>
      <c r="F55" s="25">
        <v>46019</v>
      </c>
      <c r="G55" s="60"/>
      <c r="H55" s="41">
        <f t="shared" si="10"/>
        <v>46044</v>
      </c>
      <c r="I55" s="41">
        <f t="shared" si="9"/>
        <v>46049</v>
      </c>
      <c r="J55" s="25">
        <v>46053</v>
      </c>
      <c r="K55" s="25">
        <v>46062</v>
      </c>
      <c r="L55" s="15">
        <v>2</v>
      </c>
      <c r="M55" s="48">
        <v>46069</v>
      </c>
      <c r="N55" s="48">
        <v>46072</v>
      </c>
      <c r="O55" s="15">
        <v>1</v>
      </c>
      <c r="P55" s="49">
        <v>46121</v>
      </c>
      <c r="Q55" s="49">
        <v>46132</v>
      </c>
      <c r="R55" s="15">
        <v>1</v>
      </c>
      <c r="S55" s="21"/>
      <c r="T55" s="21"/>
      <c r="U55" s="21"/>
      <c r="V55" s="21"/>
      <c r="W55" s="21"/>
      <c r="X55" s="21"/>
      <c r="Y55" s="21"/>
      <c r="Z55" s="21"/>
      <c r="AA55" s="22"/>
    </row>
    <row r="56" spans="1:27" ht="13.5" customHeight="1" x14ac:dyDescent="0.25">
      <c r="A56" s="14" t="b">
        <v>1</v>
      </c>
      <c r="B56" s="28" t="str">
        <f t="shared" si="8"/>
        <v>1.11</v>
      </c>
      <c r="C56" s="15" t="s">
        <v>96</v>
      </c>
      <c r="D56" s="38" t="s">
        <v>97</v>
      </c>
      <c r="E56" s="28" t="s">
        <v>93</v>
      </c>
      <c r="F56" s="25">
        <v>46021</v>
      </c>
      <c r="G56" s="60"/>
      <c r="H56" s="41">
        <f>WORKDAY(H55,3)</f>
        <v>46049</v>
      </c>
      <c r="I56" s="41">
        <f t="shared" si="9"/>
        <v>46052</v>
      </c>
      <c r="J56" s="25">
        <v>46053</v>
      </c>
      <c r="K56" s="25">
        <v>46062</v>
      </c>
      <c r="L56" s="15">
        <v>2</v>
      </c>
      <c r="M56" s="48">
        <v>46069</v>
      </c>
      <c r="N56" s="48">
        <v>46072</v>
      </c>
      <c r="O56" s="15">
        <v>1</v>
      </c>
      <c r="P56" s="49">
        <v>46121</v>
      </c>
      <c r="Q56" s="49">
        <v>46132</v>
      </c>
      <c r="R56" s="15">
        <v>1</v>
      </c>
      <c r="S56" s="21"/>
      <c r="T56" s="21"/>
      <c r="U56" s="21"/>
      <c r="V56" s="21"/>
      <c r="W56" s="21"/>
      <c r="X56" s="21"/>
      <c r="Y56" s="21"/>
      <c r="Z56" s="21"/>
      <c r="AA56" s="22"/>
    </row>
    <row r="57" spans="1:27" ht="13.5" customHeight="1" x14ac:dyDescent="0.25">
      <c r="A57" s="14" t="b">
        <v>1</v>
      </c>
      <c r="B57" s="28" t="str">
        <f t="shared" si="8"/>
        <v>1.12</v>
      </c>
      <c r="C57" s="15" t="s">
        <v>98</v>
      </c>
      <c r="D57" s="38" t="s">
        <v>99</v>
      </c>
      <c r="E57" s="28"/>
      <c r="F57" s="25">
        <v>46024</v>
      </c>
      <c r="G57" s="60"/>
      <c r="H57" s="41">
        <f t="shared" si="10"/>
        <v>46051</v>
      </c>
      <c r="I57" s="41">
        <f t="shared" si="9"/>
        <v>46056</v>
      </c>
      <c r="J57" s="25">
        <v>46053</v>
      </c>
      <c r="K57" s="25">
        <v>46062</v>
      </c>
      <c r="L57" s="15">
        <v>2</v>
      </c>
      <c r="M57" s="48">
        <v>46069</v>
      </c>
      <c r="N57" s="48">
        <v>46072</v>
      </c>
      <c r="O57" s="15">
        <v>1</v>
      </c>
      <c r="P57" s="49">
        <v>46121</v>
      </c>
      <c r="Q57" s="49">
        <v>46132</v>
      </c>
      <c r="R57" s="15">
        <v>1</v>
      </c>
      <c r="S57" s="21"/>
      <c r="T57" s="21"/>
      <c r="U57" s="21"/>
      <c r="V57" s="21"/>
      <c r="W57" s="21"/>
      <c r="X57" s="21"/>
      <c r="Y57" s="21"/>
      <c r="Z57" s="21"/>
      <c r="AA57" s="22"/>
    </row>
    <row r="58" spans="1:27" x14ac:dyDescent="0.25">
      <c r="A58" s="14" t="b">
        <v>1</v>
      </c>
      <c r="B58" s="28" t="str">
        <f t="shared" si="8"/>
        <v>1.13</v>
      </c>
      <c r="C58" s="15" t="s">
        <v>100</v>
      </c>
      <c r="D58" s="38" t="s">
        <v>101</v>
      </c>
      <c r="E58" s="35" t="s">
        <v>93</v>
      </c>
      <c r="F58" s="25">
        <v>46026</v>
      </c>
      <c r="G58" s="60"/>
      <c r="H58" s="41">
        <f t="shared" si="10"/>
        <v>46055</v>
      </c>
      <c r="I58" s="41">
        <f t="shared" si="9"/>
        <v>46058</v>
      </c>
      <c r="J58" s="25">
        <v>46053</v>
      </c>
      <c r="K58" s="25">
        <v>46062</v>
      </c>
      <c r="L58" s="15">
        <v>2</v>
      </c>
      <c r="M58" s="48">
        <v>46069</v>
      </c>
      <c r="N58" s="48">
        <v>46072</v>
      </c>
      <c r="O58" s="15">
        <v>1</v>
      </c>
      <c r="P58" s="49">
        <v>46121</v>
      </c>
      <c r="Q58" s="49">
        <v>46132</v>
      </c>
      <c r="R58" s="15">
        <v>1</v>
      </c>
      <c r="S58" s="21"/>
      <c r="T58" s="21"/>
      <c r="U58" s="21"/>
      <c r="V58" s="21"/>
      <c r="W58" s="21"/>
      <c r="X58" s="21"/>
      <c r="Y58" s="21"/>
      <c r="Z58" s="21"/>
      <c r="AA58" s="22"/>
    </row>
    <row r="59" spans="1:27" x14ac:dyDescent="0.25">
      <c r="A59" s="14" t="b">
        <v>1</v>
      </c>
      <c r="B59" s="28" t="str">
        <f t="shared" si="8"/>
        <v>1.14</v>
      </c>
      <c r="C59" s="15" t="s">
        <v>102</v>
      </c>
      <c r="D59" s="38" t="s">
        <v>103</v>
      </c>
      <c r="E59" s="35"/>
      <c r="F59" s="25">
        <v>46028</v>
      </c>
      <c r="G59" s="60"/>
      <c r="H59" s="41">
        <f t="shared" si="10"/>
        <v>46057</v>
      </c>
      <c r="I59" s="41">
        <f t="shared" si="9"/>
        <v>46062</v>
      </c>
      <c r="J59" s="25">
        <v>46053</v>
      </c>
      <c r="K59" s="25">
        <v>46062</v>
      </c>
      <c r="L59" s="15">
        <v>2</v>
      </c>
      <c r="M59" s="48">
        <v>46069</v>
      </c>
      <c r="N59" s="48">
        <v>46072</v>
      </c>
      <c r="O59" s="15">
        <v>1</v>
      </c>
      <c r="P59" s="49">
        <v>46121</v>
      </c>
      <c r="Q59" s="49">
        <v>46132</v>
      </c>
      <c r="R59" s="15">
        <v>1</v>
      </c>
      <c r="S59" s="21"/>
      <c r="T59" s="21"/>
      <c r="U59" s="21"/>
      <c r="V59" s="21"/>
      <c r="W59" s="21"/>
      <c r="X59" s="21"/>
      <c r="Y59" s="21"/>
      <c r="Z59" s="21"/>
      <c r="AA59" s="22"/>
    </row>
    <row r="60" spans="1:27" x14ac:dyDescent="0.25">
      <c r="A60" s="14" t="b">
        <v>1</v>
      </c>
      <c r="B60" s="28" t="str">
        <f t="shared" si="8"/>
        <v>1.15</v>
      </c>
      <c r="C60" s="15" t="s">
        <v>104</v>
      </c>
      <c r="D60" s="39" t="s">
        <v>49</v>
      </c>
      <c r="E60" s="28" t="s">
        <v>105</v>
      </c>
      <c r="F60" s="25">
        <v>46030</v>
      </c>
      <c r="G60" s="60"/>
      <c r="H60" s="41">
        <f t="shared" si="10"/>
        <v>46059</v>
      </c>
      <c r="I60" s="41">
        <f t="shared" si="9"/>
        <v>46064</v>
      </c>
      <c r="J60" s="48">
        <v>46069</v>
      </c>
      <c r="K60" s="48">
        <v>46072</v>
      </c>
      <c r="L60" s="28">
        <v>1</v>
      </c>
      <c r="M60" s="49">
        <v>46121</v>
      </c>
      <c r="N60" s="49">
        <v>46132</v>
      </c>
      <c r="O60" s="15">
        <v>1</v>
      </c>
      <c r="P60" s="21"/>
      <c r="Q60" s="21"/>
      <c r="R60" s="15"/>
      <c r="S60" s="21"/>
      <c r="T60" s="21"/>
      <c r="U60" s="21"/>
      <c r="V60" s="21"/>
      <c r="W60" s="21"/>
      <c r="X60" s="21"/>
      <c r="Y60" s="21"/>
      <c r="Z60" s="21"/>
      <c r="AA60" s="22"/>
    </row>
    <row r="61" spans="1:27" x14ac:dyDescent="0.25">
      <c r="A61" s="14" t="b">
        <v>1</v>
      </c>
      <c r="B61" s="28" t="str">
        <f t="shared" si="8"/>
        <v>1.16</v>
      </c>
      <c r="C61" s="15" t="s">
        <v>106</v>
      </c>
      <c r="D61" s="39" t="s">
        <v>51</v>
      </c>
      <c r="E61" s="28"/>
      <c r="F61" s="25">
        <v>46032</v>
      </c>
      <c r="G61" s="60"/>
      <c r="H61" s="41">
        <f t="shared" si="10"/>
        <v>46063</v>
      </c>
      <c r="I61" s="41">
        <f t="shared" si="9"/>
        <v>46066</v>
      </c>
      <c r="J61" s="48">
        <v>46069</v>
      </c>
      <c r="K61" s="48">
        <v>46072</v>
      </c>
      <c r="L61" s="35">
        <v>1</v>
      </c>
      <c r="M61" s="49">
        <v>46121</v>
      </c>
      <c r="N61" s="49">
        <v>46132</v>
      </c>
      <c r="O61" s="15">
        <v>1</v>
      </c>
      <c r="P61" s="21"/>
      <c r="Q61" s="21"/>
      <c r="R61" s="15"/>
      <c r="S61" s="21"/>
      <c r="T61" s="21"/>
      <c r="U61" s="21"/>
      <c r="V61" s="21"/>
      <c r="W61" s="21"/>
      <c r="X61" s="21"/>
      <c r="Y61" s="21"/>
      <c r="Z61" s="21"/>
      <c r="AA61" s="22"/>
    </row>
    <row r="62" spans="1:27" x14ac:dyDescent="0.25">
      <c r="A62" s="14" t="b">
        <v>1</v>
      </c>
      <c r="B62" s="28" t="str">
        <f t="shared" si="8"/>
        <v>1.17</v>
      </c>
      <c r="C62" s="15" t="s">
        <v>107</v>
      </c>
      <c r="D62" s="39" t="s">
        <v>127</v>
      </c>
      <c r="E62" s="35" t="s">
        <v>93</v>
      </c>
      <c r="F62" s="25">
        <v>46034</v>
      </c>
      <c r="G62" s="61"/>
      <c r="H62" s="41">
        <f t="shared" si="10"/>
        <v>46065</v>
      </c>
      <c r="I62" s="41">
        <f t="shared" si="9"/>
        <v>46070</v>
      </c>
      <c r="J62" s="25">
        <v>46053</v>
      </c>
      <c r="K62" s="25">
        <v>46062</v>
      </c>
      <c r="L62" s="15">
        <v>2</v>
      </c>
      <c r="M62" s="48">
        <v>46069</v>
      </c>
      <c r="N62" s="48">
        <v>46072</v>
      </c>
      <c r="O62" s="15">
        <v>1</v>
      </c>
      <c r="P62" s="49">
        <v>46121</v>
      </c>
      <c r="Q62" s="49">
        <v>46132</v>
      </c>
      <c r="R62" s="15">
        <v>1</v>
      </c>
      <c r="S62" s="21"/>
      <c r="T62" s="21"/>
      <c r="U62" s="21"/>
      <c r="V62" s="21"/>
      <c r="W62" s="21"/>
      <c r="X62" s="21"/>
      <c r="Y62" s="21"/>
      <c r="Z62" s="21"/>
      <c r="AA62" s="22"/>
    </row>
    <row r="63" spans="1:27" x14ac:dyDescent="0.25">
      <c r="A63" s="14" t="b">
        <v>0</v>
      </c>
      <c r="B63" s="28" t="str">
        <f t="shared" si="8"/>
        <v>1.18</v>
      </c>
      <c r="C63" s="28"/>
      <c r="D63" s="38" t="s">
        <v>54</v>
      </c>
      <c r="E63" s="35" t="s">
        <v>17</v>
      </c>
      <c r="F63" s="25">
        <v>46063</v>
      </c>
      <c r="G63" s="26" t="s">
        <v>55</v>
      </c>
      <c r="H63" s="41">
        <f>WORKDAY(I62,14)</f>
        <v>46090</v>
      </c>
      <c r="I63" s="41" t="s">
        <v>17</v>
      </c>
      <c r="J63" s="21"/>
      <c r="K63" s="25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spans="1:27" x14ac:dyDescent="0.25">
      <c r="B64" s="28"/>
      <c r="C64" s="28"/>
      <c r="D64" s="38"/>
      <c r="E64" s="35"/>
      <c r="F64" s="25"/>
      <c r="G64" s="26"/>
      <c r="H64" s="41"/>
      <c r="I64" s="43"/>
      <c r="J64" s="25"/>
      <c r="K64" s="25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spans="1:27" s="19" customFormat="1" x14ac:dyDescent="0.25">
      <c r="A65" s="50"/>
      <c r="B65" s="52">
        <v>2</v>
      </c>
      <c r="C65" s="62" t="s">
        <v>108</v>
      </c>
      <c r="D65" s="63"/>
      <c r="E65" s="51"/>
      <c r="F65" s="51"/>
      <c r="G65" s="52"/>
      <c r="H65" s="53"/>
      <c r="I65" s="53"/>
      <c r="J65" s="53"/>
      <c r="K65" s="53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</row>
    <row r="66" spans="1:27" x14ac:dyDescent="0.25">
      <c r="A66" s="14" t="b">
        <v>1</v>
      </c>
      <c r="B66" s="28" t="str">
        <f>IF(
    ISERROR(VALUE(SUBSTITUTE(B65,".",""))),
    "0.1",
    IF(
        ISERROR(FIND("`",SUBSTITUTE(B65,".","`",1))),
        B65 &amp; ".1",
        LEFT(B65,FIND("`",SUBSTITUTE(B65,".","`",1))) &amp;
        IF(
            ISERROR(FIND("`",SUBSTITUTE(B65,".","`",2))),
            VALUE(RIGHT(B65,LEN(B65)-FIND("`",SUBSTITUTE(B65,".","`",1))))+1,
            VALUE(MID(B65,
                FIND("`",SUBSTITUTE(B65,".","`",1))+1,
                (FIND("`",SUBSTITUTE(B65,".","`",2))-FIND("`",SUBSTITUTE(B65,".","`",1))-1)
            ))+1
        )
    )
)</f>
        <v>2.1</v>
      </c>
      <c r="C66" s="15" t="s">
        <v>109</v>
      </c>
      <c r="D66" s="16" t="s">
        <v>23</v>
      </c>
      <c r="E66" s="28" t="s">
        <v>17</v>
      </c>
      <c r="F66" s="25">
        <v>45999</v>
      </c>
      <c r="G66" s="25">
        <v>46002</v>
      </c>
      <c r="H66" s="41">
        <f>WORKDAY($I$4,5,$AE$6:$AE$8)</f>
        <v>46022</v>
      </c>
      <c r="I66" s="41">
        <f>WORKDAY($H$83,3,$AE$6:$AE$8)</f>
        <v>46028</v>
      </c>
      <c r="J66" s="25">
        <v>46017</v>
      </c>
      <c r="K66" s="25">
        <v>46024</v>
      </c>
      <c r="L66" s="15" t="s">
        <v>18</v>
      </c>
      <c r="M66" s="25"/>
      <c r="N66" s="25"/>
      <c r="O66" s="15"/>
      <c r="P66" s="25"/>
      <c r="Q66" s="25"/>
      <c r="R66" s="15"/>
      <c r="S66" s="25"/>
      <c r="T66" s="25"/>
      <c r="U66" s="15"/>
      <c r="V66" s="25"/>
      <c r="W66" s="25"/>
      <c r="X66" s="15"/>
      <c r="Y66" s="15"/>
      <c r="Z66" s="15"/>
      <c r="AA66" s="15"/>
    </row>
    <row r="67" spans="1:27" x14ac:dyDescent="0.25">
      <c r="A67" s="14" t="b">
        <v>1</v>
      </c>
      <c r="B67" s="28" t="str">
        <f t="shared" ref="B67:B80" si="11">IF(
    ISERROR(VALUE(SUBSTITUTE(B66,".",""))),
    "0.1",
    IF(
        ISERROR(FIND("`",SUBSTITUTE(B66,".","`",1))),
        B66 &amp; ".1",
        LEFT(B66,FIND("`",SUBSTITUTE(B66,".","`",1))) &amp;
        IF(
            ISERROR(FIND("`",SUBSTITUTE(B66,".","`",2))),
            VALUE(RIGHT(B66,LEN(B66)-FIND("`",SUBSTITUTE(B66,".","`",1))))+1,
            VALUE(MID(B66,
                FIND("`",SUBSTITUTE(B66,".","`",1))+1,
                (FIND("`",SUBSTITUTE(B66,".","`",2))-FIND("`",SUBSTITUTE(B66,".","`",1))-1)
            ))+1
        )
    )
)</f>
        <v>2.2</v>
      </c>
      <c r="C67" s="15" t="s">
        <v>110</v>
      </c>
      <c r="D67" s="16" t="s">
        <v>85</v>
      </c>
      <c r="E67" s="35"/>
      <c r="F67" s="25">
        <v>46015</v>
      </c>
      <c r="G67" s="25">
        <v>46020</v>
      </c>
      <c r="H67" s="41">
        <f>WORKDAY($I$66,1)</f>
        <v>46029</v>
      </c>
      <c r="I67" s="41">
        <f>WORKDAY($H$67,3)</f>
        <v>46034</v>
      </c>
      <c r="M67" s="25"/>
      <c r="N67" s="25"/>
      <c r="P67" s="25"/>
      <c r="Q67" s="25"/>
      <c r="S67" s="25"/>
      <c r="T67" s="25"/>
      <c r="V67" s="25"/>
      <c r="W67" s="25"/>
    </row>
    <row r="68" spans="1:27" x14ac:dyDescent="0.25">
      <c r="A68" s="14" t="b">
        <v>1</v>
      </c>
      <c r="B68" s="28" t="str">
        <f t="shared" si="11"/>
        <v>2.3</v>
      </c>
      <c r="C68" s="15" t="s">
        <v>111</v>
      </c>
      <c r="D68" s="16" t="s">
        <v>60</v>
      </c>
      <c r="E68" s="35"/>
      <c r="F68" s="25">
        <v>46015</v>
      </c>
      <c r="G68" s="25">
        <v>46020</v>
      </c>
      <c r="H68" s="41">
        <f t="shared" ref="H68:H70" si="12">WORKDAY($I$66,1)</f>
        <v>46029</v>
      </c>
      <c r="I68" s="41">
        <f t="shared" ref="I68:I70" si="13">WORKDAY($H$67,3)</f>
        <v>46034</v>
      </c>
      <c r="J68" s="25">
        <v>46017</v>
      </c>
      <c r="K68" s="25">
        <v>46024</v>
      </c>
      <c r="L68" s="15">
        <v>2</v>
      </c>
      <c r="M68" s="25">
        <v>46029</v>
      </c>
      <c r="N68" s="25">
        <v>46030</v>
      </c>
      <c r="O68" s="15">
        <v>2</v>
      </c>
      <c r="P68" s="25">
        <v>46031</v>
      </c>
      <c r="Q68" s="25">
        <v>46036</v>
      </c>
      <c r="R68" s="15" t="s">
        <v>155</v>
      </c>
      <c r="S68" s="25">
        <v>46036</v>
      </c>
      <c r="T68" s="25">
        <v>46036</v>
      </c>
      <c r="U68" s="15">
        <v>1</v>
      </c>
      <c r="V68" s="49">
        <v>46045</v>
      </c>
      <c r="W68" s="49">
        <v>46049</v>
      </c>
      <c r="X68" s="15">
        <v>1</v>
      </c>
      <c r="Y68" s="15"/>
      <c r="Z68" s="15"/>
      <c r="AA68" s="15"/>
    </row>
    <row r="69" spans="1:27" x14ac:dyDescent="0.25">
      <c r="A69" s="14" t="b">
        <v>1</v>
      </c>
      <c r="B69" s="28" t="str">
        <f t="shared" si="11"/>
        <v>2.4</v>
      </c>
      <c r="C69" s="15" t="s">
        <v>112</v>
      </c>
      <c r="D69" s="16" t="s">
        <v>29</v>
      </c>
      <c r="E69" s="35"/>
      <c r="F69" s="25">
        <v>46015</v>
      </c>
      <c r="G69" s="25">
        <v>46020</v>
      </c>
      <c r="H69" s="41">
        <f t="shared" si="12"/>
        <v>46029</v>
      </c>
      <c r="I69" s="41">
        <f t="shared" si="13"/>
        <v>46034</v>
      </c>
      <c r="J69" s="25">
        <v>46017</v>
      </c>
      <c r="K69" s="25">
        <v>46024</v>
      </c>
      <c r="L69" s="15">
        <v>2</v>
      </c>
      <c r="M69" s="25">
        <v>46029</v>
      </c>
      <c r="N69" s="25">
        <v>46030</v>
      </c>
      <c r="O69" s="15">
        <v>2</v>
      </c>
      <c r="P69" s="25">
        <v>46036</v>
      </c>
      <c r="Q69" s="25">
        <v>46036</v>
      </c>
      <c r="R69" s="15">
        <v>1</v>
      </c>
      <c r="S69" s="49">
        <v>46045</v>
      </c>
      <c r="T69" s="49">
        <v>46049</v>
      </c>
      <c r="U69" s="15">
        <v>1</v>
      </c>
      <c r="V69" s="25"/>
      <c r="W69" s="25"/>
      <c r="X69" s="15"/>
      <c r="Y69" s="15"/>
      <c r="Z69" s="15"/>
      <c r="AA69" s="15"/>
    </row>
    <row r="70" spans="1:27" x14ac:dyDescent="0.25">
      <c r="A70" s="14" t="b">
        <v>1</v>
      </c>
      <c r="B70" s="28" t="str">
        <f t="shared" si="11"/>
        <v>2.5</v>
      </c>
      <c r="C70" s="15" t="s">
        <v>113</v>
      </c>
      <c r="D70" s="16" t="s">
        <v>31</v>
      </c>
      <c r="E70" s="35"/>
      <c r="F70" s="25">
        <v>46015</v>
      </c>
      <c r="G70" s="25">
        <v>46020</v>
      </c>
      <c r="H70" s="41">
        <f t="shared" si="12"/>
        <v>46029</v>
      </c>
      <c r="I70" s="41">
        <f t="shared" si="13"/>
        <v>46034</v>
      </c>
      <c r="J70" s="25">
        <v>46017</v>
      </c>
      <c r="K70" s="25">
        <v>46036</v>
      </c>
      <c r="L70" s="15">
        <v>1</v>
      </c>
      <c r="M70" s="49">
        <v>46045</v>
      </c>
      <c r="N70" s="49">
        <v>46049</v>
      </c>
      <c r="O70" s="15">
        <v>1</v>
      </c>
      <c r="P70" s="25"/>
      <c r="Q70" s="25"/>
      <c r="R70" s="15"/>
      <c r="S70" s="25"/>
      <c r="T70" s="25"/>
      <c r="U70" s="15"/>
      <c r="V70" s="25"/>
      <c r="W70" s="25"/>
      <c r="X70" s="15"/>
      <c r="Y70" s="15"/>
      <c r="Z70" s="15"/>
      <c r="AA70" s="15"/>
    </row>
    <row r="71" spans="1:27" x14ac:dyDescent="0.25">
      <c r="A71" s="14" t="b">
        <v>1</v>
      </c>
      <c r="B71" s="28" t="str">
        <f t="shared" si="11"/>
        <v>2.6</v>
      </c>
      <c r="C71" s="15" t="s">
        <v>114</v>
      </c>
      <c r="D71" s="16" t="s">
        <v>64</v>
      </c>
      <c r="E71" s="35"/>
      <c r="F71" s="25">
        <v>46013</v>
      </c>
      <c r="G71" s="59">
        <v>46037</v>
      </c>
      <c r="H71" s="41">
        <f>WORKDAY(I70,2,$AE$6:$AE$8)</f>
        <v>46036</v>
      </c>
      <c r="I71" s="41">
        <f>WORKDAY(H71,3)</f>
        <v>46041</v>
      </c>
      <c r="J71" s="25">
        <v>46044</v>
      </c>
      <c r="K71" s="25">
        <v>46055</v>
      </c>
      <c r="L71" s="15">
        <v>2</v>
      </c>
      <c r="M71" s="48">
        <v>46063</v>
      </c>
      <c r="N71" s="48">
        <v>46070</v>
      </c>
      <c r="O71" s="15">
        <v>1</v>
      </c>
      <c r="P71" s="49">
        <v>46121</v>
      </c>
      <c r="Q71" s="49">
        <v>46132</v>
      </c>
      <c r="R71" s="15">
        <v>1</v>
      </c>
      <c r="S71" s="25"/>
      <c r="T71" s="25"/>
      <c r="U71" s="15"/>
      <c r="V71" s="25"/>
      <c r="W71" s="25"/>
      <c r="X71" s="15"/>
      <c r="Y71" s="15"/>
      <c r="Z71" s="15"/>
      <c r="AA71" s="15"/>
    </row>
    <row r="72" spans="1:27" x14ac:dyDescent="0.25">
      <c r="A72" s="14" t="b">
        <v>1</v>
      </c>
      <c r="B72" s="28" t="str">
        <f t="shared" si="11"/>
        <v>2.7</v>
      </c>
      <c r="C72" s="15" t="s">
        <v>115</v>
      </c>
      <c r="D72" s="16" t="s">
        <v>35</v>
      </c>
      <c r="E72" s="35"/>
      <c r="F72" s="25">
        <v>46015</v>
      </c>
      <c r="G72" s="60"/>
      <c r="H72" s="41">
        <f>WORKDAY(H71,3,$AE$6:$AE$8)</f>
        <v>46041</v>
      </c>
      <c r="I72" s="41">
        <f t="shared" ref="I72:I79" si="14">WORKDAY(H72,3)</f>
        <v>46044</v>
      </c>
      <c r="J72" s="25">
        <v>46044</v>
      </c>
      <c r="K72" s="25">
        <v>46055</v>
      </c>
      <c r="L72" s="15">
        <v>2</v>
      </c>
      <c r="M72" s="48">
        <v>46063</v>
      </c>
      <c r="N72" s="48">
        <v>46070</v>
      </c>
      <c r="O72" s="15">
        <v>1</v>
      </c>
      <c r="P72" s="49">
        <v>46121</v>
      </c>
      <c r="Q72" s="49">
        <v>46132</v>
      </c>
      <c r="R72" s="15">
        <v>1</v>
      </c>
      <c r="S72" s="25"/>
      <c r="T72" s="25"/>
      <c r="U72" s="15"/>
      <c r="V72" s="25"/>
      <c r="W72" s="25"/>
      <c r="X72" s="15"/>
      <c r="Y72" s="15"/>
      <c r="Z72" s="15"/>
      <c r="AA72" s="15"/>
    </row>
    <row r="73" spans="1:27" ht="13.5" customHeight="1" x14ac:dyDescent="0.25">
      <c r="A73" s="14" t="b">
        <v>1</v>
      </c>
      <c r="B73" s="28" t="str">
        <f t="shared" si="11"/>
        <v>2.8</v>
      </c>
      <c r="C73" s="15" t="s">
        <v>116</v>
      </c>
      <c r="D73" s="38" t="s">
        <v>117</v>
      </c>
      <c r="E73" s="28" t="s">
        <v>93</v>
      </c>
      <c r="F73" s="25">
        <v>46018</v>
      </c>
      <c r="G73" s="60"/>
      <c r="H73" s="41">
        <f>WORKDAY(H72,3,$AE$6:$AE$8)</f>
        <v>46044</v>
      </c>
      <c r="I73" s="41">
        <f t="shared" si="14"/>
        <v>46049</v>
      </c>
      <c r="J73" s="25">
        <v>46044</v>
      </c>
      <c r="K73" s="25">
        <v>46056</v>
      </c>
      <c r="L73" s="15">
        <v>2</v>
      </c>
      <c r="M73" s="48">
        <v>46063</v>
      </c>
      <c r="N73" s="48">
        <v>46070</v>
      </c>
      <c r="O73" s="15">
        <v>1</v>
      </c>
      <c r="P73" s="49">
        <v>46121</v>
      </c>
      <c r="Q73" s="49">
        <v>46132</v>
      </c>
      <c r="R73" s="15">
        <v>1</v>
      </c>
      <c r="S73" s="25"/>
      <c r="T73" s="25"/>
      <c r="U73" s="15"/>
      <c r="V73" s="25"/>
      <c r="W73" s="25"/>
      <c r="X73" s="15"/>
      <c r="Y73" s="15"/>
      <c r="Z73" s="15"/>
      <c r="AA73" s="15"/>
    </row>
    <row r="74" spans="1:27" ht="13.5" customHeight="1" x14ac:dyDescent="0.25">
      <c r="A74" s="14" t="b">
        <v>1</v>
      </c>
      <c r="B74" s="28" t="str">
        <f t="shared" si="11"/>
        <v>2.9</v>
      </c>
      <c r="C74" s="15" t="s">
        <v>118</v>
      </c>
      <c r="D74" s="38" t="s">
        <v>119</v>
      </c>
      <c r="E74" s="28"/>
      <c r="F74" s="25">
        <v>46021</v>
      </c>
      <c r="G74" s="60"/>
      <c r="H74" s="41">
        <f>WORKDAY(H73,3,$AE$6:$AE$8)</f>
        <v>46050</v>
      </c>
      <c r="I74" s="41">
        <f t="shared" si="14"/>
        <v>46055</v>
      </c>
      <c r="J74" s="25">
        <v>46044</v>
      </c>
      <c r="K74" s="25">
        <v>46057</v>
      </c>
      <c r="L74" s="15">
        <v>2</v>
      </c>
      <c r="M74" s="48">
        <v>46063</v>
      </c>
      <c r="N74" s="48">
        <v>46070</v>
      </c>
      <c r="O74" s="15">
        <v>1</v>
      </c>
      <c r="P74" s="49">
        <v>46121</v>
      </c>
      <c r="Q74" s="49">
        <v>46132</v>
      </c>
      <c r="R74" s="15">
        <v>1</v>
      </c>
      <c r="S74" s="25"/>
      <c r="T74" s="25"/>
      <c r="U74" s="15"/>
      <c r="V74" s="25"/>
      <c r="W74" s="25"/>
      <c r="X74" s="15"/>
      <c r="Y74" s="15"/>
      <c r="Z74" s="15"/>
      <c r="AA74" s="15"/>
    </row>
    <row r="75" spans="1:27" x14ac:dyDescent="0.25">
      <c r="A75" s="14" t="b">
        <v>1</v>
      </c>
      <c r="B75" s="28" t="str">
        <f t="shared" si="11"/>
        <v>2.10</v>
      </c>
      <c r="C75" s="15" t="s">
        <v>120</v>
      </c>
      <c r="D75" s="38" t="s">
        <v>121</v>
      </c>
      <c r="E75" s="35" t="s">
        <v>93</v>
      </c>
      <c r="F75" s="25">
        <v>46024</v>
      </c>
      <c r="G75" s="60"/>
      <c r="H75" s="41">
        <f t="shared" ref="H75" si="15">WORKDAY(H74,3,$AE$6:$AE$8)</f>
        <v>46055</v>
      </c>
      <c r="I75" s="41">
        <f t="shared" si="14"/>
        <v>46058</v>
      </c>
      <c r="J75" s="25">
        <v>46044</v>
      </c>
      <c r="K75" s="25">
        <v>46055</v>
      </c>
      <c r="L75" s="15" t="s">
        <v>18</v>
      </c>
      <c r="M75" s="48">
        <v>46063</v>
      </c>
      <c r="N75" s="48">
        <v>46070</v>
      </c>
      <c r="O75" s="15">
        <v>1</v>
      </c>
      <c r="P75" s="49">
        <v>46121</v>
      </c>
      <c r="Q75" s="49">
        <v>46132</v>
      </c>
      <c r="R75" s="15">
        <v>1</v>
      </c>
      <c r="S75" s="25"/>
      <c r="T75" s="25"/>
      <c r="U75" s="15"/>
      <c r="V75" s="25"/>
      <c r="W75" s="25"/>
      <c r="X75" s="15"/>
      <c r="Y75" s="15"/>
      <c r="Z75" s="15"/>
      <c r="AA75" s="15"/>
    </row>
    <row r="76" spans="1:27" x14ac:dyDescent="0.25">
      <c r="A76" s="14" t="b">
        <v>1</v>
      </c>
      <c r="B76" s="28" t="str">
        <f t="shared" si="11"/>
        <v>2.11</v>
      </c>
      <c r="C76" s="15" t="s">
        <v>122</v>
      </c>
      <c r="D76" s="38" t="s">
        <v>123</v>
      </c>
      <c r="E76" s="35"/>
      <c r="F76" s="25">
        <v>46027</v>
      </c>
      <c r="G76" s="60"/>
      <c r="H76" s="41">
        <f>WORKDAY(H75,2,$AE$6:$AE$8)</f>
        <v>46057</v>
      </c>
      <c r="I76" s="41">
        <f t="shared" si="14"/>
        <v>46062</v>
      </c>
      <c r="J76" s="25">
        <v>46044</v>
      </c>
      <c r="K76" s="25">
        <v>46057</v>
      </c>
      <c r="L76" s="15">
        <v>2</v>
      </c>
      <c r="M76" s="48">
        <v>46063</v>
      </c>
      <c r="N76" s="48">
        <v>46070</v>
      </c>
      <c r="O76" s="15">
        <v>1</v>
      </c>
      <c r="P76" s="49">
        <v>46121</v>
      </c>
      <c r="Q76" s="49">
        <v>46132</v>
      </c>
      <c r="R76" s="15">
        <v>1</v>
      </c>
      <c r="S76" s="25"/>
      <c r="T76" s="25"/>
      <c r="U76" s="15"/>
      <c r="V76" s="25"/>
      <c r="W76" s="25"/>
      <c r="X76" s="15"/>
      <c r="Y76" s="15"/>
      <c r="Z76" s="15"/>
      <c r="AA76" s="15"/>
    </row>
    <row r="77" spans="1:27" x14ac:dyDescent="0.25">
      <c r="A77" s="14" t="b">
        <v>1</v>
      </c>
      <c r="B77" s="28" t="str">
        <f t="shared" si="11"/>
        <v>2.12</v>
      </c>
      <c r="C77" s="15" t="s">
        <v>124</v>
      </c>
      <c r="D77" s="39" t="s">
        <v>49</v>
      </c>
      <c r="E77" s="28" t="s">
        <v>105</v>
      </c>
      <c r="F77" s="25">
        <v>46030</v>
      </c>
      <c r="G77" s="60"/>
      <c r="H77" s="41">
        <f>WORKDAY(H76,2,$AE$6:$AE$8)</f>
        <v>46059</v>
      </c>
      <c r="I77" s="41">
        <f t="shared" si="14"/>
        <v>46064</v>
      </c>
      <c r="J77" s="48">
        <v>46063</v>
      </c>
      <c r="K77" s="48">
        <v>46070</v>
      </c>
      <c r="L77" s="15">
        <v>1</v>
      </c>
      <c r="M77" s="49">
        <v>46121</v>
      </c>
      <c r="N77" s="49">
        <v>46132</v>
      </c>
      <c r="O77" s="15">
        <v>1</v>
      </c>
      <c r="R77" s="15"/>
      <c r="S77" s="25"/>
      <c r="T77" s="25"/>
      <c r="U77" s="15"/>
      <c r="V77" s="25"/>
      <c r="W77" s="25"/>
      <c r="X77" s="15"/>
      <c r="Y77" s="15"/>
      <c r="Z77" s="15"/>
      <c r="AA77" s="15"/>
    </row>
    <row r="78" spans="1:27" x14ac:dyDescent="0.25">
      <c r="A78" s="14" t="b">
        <v>1</v>
      </c>
      <c r="B78" s="28" t="str">
        <f t="shared" si="11"/>
        <v>2.13</v>
      </c>
      <c r="C78" s="15" t="s">
        <v>125</v>
      </c>
      <c r="D78" s="39" t="s">
        <v>51</v>
      </c>
      <c r="E78" s="28"/>
      <c r="F78" s="25">
        <v>46033</v>
      </c>
      <c r="G78" s="60"/>
      <c r="H78" s="41">
        <f t="shared" ref="H78:H79" si="16">WORKDAY(H77,2,$AE$6:$AE$8)</f>
        <v>46063</v>
      </c>
      <c r="I78" s="41">
        <f t="shared" si="14"/>
        <v>46066</v>
      </c>
      <c r="J78" s="48">
        <v>46063</v>
      </c>
      <c r="K78" s="48">
        <v>46070</v>
      </c>
      <c r="L78" s="15">
        <v>1</v>
      </c>
      <c r="M78" s="49">
        <v>46121</v>
      </c>
      <c r="N78" s="49">
        <v>46132</v>
      </c>
      <c r="O78" s="15">
        <v>1</v>
      </c>
      <c r="P78" s="25"/>
      <c r="Q78" s="25"/>
      <c r="R78" s="15"/>
      <c r="S78" s="25"/>
      <c r="T78" s="25"/>
      <c r="U78" s="15"/>
      <c r="V78" s="25"/>
      <c r="W78" s="25"/>
      <c r="X78" s="15"/>
      <c r="Y78" s="15"/>
      <c r="Z78" s="15"/>
      <c r="AA78" s="15"/>
    </row>
    <row r="79" spans="1:27" x14ac:dyDescent="0.25">
      <c r="A79" s="14" t="b">
        <v>1</v>
      </c>
      <c r="B79" s="28" t="str">
        <f t="shared" si="11"/>
        <v>2.14</v>
      </c>
      <c r="C79" s="15" t="s">
        <v>126</v>
      </c>
      <c r="D79" s="39" t="s">
        <v>127</v>
      </c>
      <c r="E79" s="35" t="s">
        <v>93</v>
      </c>
      <c r="F79" s="25">
        <v>46034</v>
      </c>
      <c r="G79" s="61"/>
      <c r="H79" s="41">
        <f t="shared" si="16"/>
        <v>46065</v>
      </c>
      <c r="I79" s="41">
        <f t="shared" si="14"/>
        <v>46070</v>
      </c>
      <c r="J79" s="25">
        <v>46044</v>
      </c>
      <c r="K79" s="25">
        <v>46057</v>
      </c>
      <c r="L79" s="15">
        <v>2</v>
      </c>
      <c r="M79" s="48">
        <v>46063</v>
      </c>
      <c r="N79" s="48">
        <v>46070</v>
      </c>
      <c r="O79" s="15">
        <v>1</v>
      </c>
      <c r="P79" s="49">
        <v>46121</v>
      </c>
      <c r="Q79" s="49">
        <v>46132</v>
      </c>
      <c r="R79" s="15">
        <v>1</v>
      </c>
      <c r="S79" s="25"/>
      <c r="T79" s="25"/>
      <c r="U79" s="15"/>
      <c r="V79" s="25"/>
      <c r="W79" s="25"/>
      <c r="X79" s="15"/>
      <c r="Y79" s="15"/>
      <c r="Z79" s="15"/>
      <c r="AA79" s="15"/>
    </row>
    <row r="80" spans="1:27" x14ac:dyDescent="0.25">
      <c r="A80" s="14" t="b">
        <v>0</v>
      </c>
      <c r="B80" s="28" t="str">
        <f t="shared" si="11"/>
        <v>2.15</v>
      </c>
      <c r="C80" s="15"/>
      <c r="D80" s="38" t="s">
        <v>54</v>
      </c>
      <c r="E80" s="35" t="s">
        <v>17</v>
      </c>
      <c r="F80" s="25">
        <v>46063</v>
      </c>
      <c r="G80" s="26" t="s">
        <v>55</v>
      </c>
      <c r="H80" s="41">
        <f>WORKDAY(I79,14)</f>
        <v>46090</v>
      </c>
      <c r="I80" s="41" t="s">
        <v>17</v>
      </c>
      <c r="J80" s="25"/>
      <c r="K80" s="25"/>
      <c r="L80" s="15"/>
      <c r="M80" s="48"/>
      <c r="N80" s="48"/>
      <c r="O80" s="15"/>
      <c r="P80" s="25"/>
      <c r="Q80" s="25"/>
      <c r="R80" s="15"/>
      <c r="S80" s="25"/>
      <c r="T80" s="25"/>
      <c r="U80" s="15"/>
      <c r="V80" s="15"/>
      <c r="W80" s="15"/>
      <c r="X80" s="15"/>
      <c r="Y80" s="15"/>
      <c r="Z80" s="15"/>
      <c r="AA80" s="15"/>
    </row>
    <row r="81" spans="1:27" x14ac:dyDescent="0.25">
      <c r="B81" s="28"/>
      <c r="C81" s="15"/>
      <c r="D81" s="38"/>
      <c r="E81" s="35"/>
      <c r="F81" s="25"/>
      <c r="G81" s="26"/>
      <c r="H81" s="42"/>
      <c r="I81" s="41"/>
      <c r="J81" s="25"/>
      <c r="K81" s="25"/>
      <c r="L81" s="15"/>
      <c r="M81" s="48"/>
      <c r="N81" s="48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 s="19" customFormat="1" x14ac:dyDescent="0.25">
      <c r="A82" s="50"/>
      <c r="B82" s="52">
        <v>3</v>
      </c>
      <c r="C82" s="62" t="s">
        <v>128</v>
      </c>
      <c r="D82" s="63"/>
      <c r="E82" s="51"/>
      <c r="F82" s="51"/>
      <c r="G82" s="52"/>
      <c r="H82" s="53"/>
      <c r="I82" s="53"/>
      <c r="J82" s="53"/>
      <c r="K82" s="53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</row>
    <row r="83" spans="1:27" x14ac:dyDescent="0.25">
      <c r="A83" s="14" t="b">
        <v>1</v>
      </c>
      <c r="B83" s="28" t="str">
        <f>IF(
    ISERROR(VALUE(SUBSTITUTE(B82,".",""))),
    "0.1",
    IF(
        ISERROR(FIND("`",SUBSTITUTE(B82,".","`",1))),
        B82 &amp; ".1",
        LEFT(B82,FIND("`",SUBSTITUTE(B82,".","`",1))) &amp;
        IF(
            ISERROR(FIND("`",SUBSTITUTE(B82,".","`",2))),
            VALUE(RIGHT(B82,LEN(B82)-FIND("`",SUBSTITUTE(B82,".","`",1))))+1,
            VALUE(MID(B82,
                FIND("`",SUBSTITUTE(B82,".","`",1))+1,
                (FIND("`",SUBSTITUTE(B82,".","`",2))-FIND("`",SUBSTITUTE(B82,".","`",1))-1)
            ))+1
        )
    )
)</f>
        <v>3.1</v>
      </c>
      <c r="C83" s="15" t="s">
        <v>129</v>
      </c>
      <c r="D83" s="16" t="s">
        <v>23</v>
      </c>
      <c r="E83" s="28" t="s">
        <v>17</v>
      </c>
      <c r="F83" s="25">
        <v>46000</v>
      </c>
      <c r="G83" s="25">
        <v>46005</v>
      </c>
      <c r="H83" s="41">
        <f>WORKDAY($I$4,5,$AE$6:$AE$8)</f>
        <v>46022</v>
      </c>
      <c r="I83" s="42">
        <f>WORKDAY($H$83,3,$AE$6:$AE$8)</f>
        <v>46028</v>
      </c>
      <c r="J83" s="25">
        <v>45999</v>
      </c>
      <c r="K83" s="25">
        <v>46007</v>
      </c>
      <c r="L83" s="15" t="s">
        <v>155</v>
      </c>
      <c r="M83" s="25">
        <v>46375</v>
      </c>
      <c r="N83" s="25">
        <v>46378</v>
      </c>
      <c r="O83" s="15" t="s">
        <v>18</v>
      </c>
      <c r="P83" s="25">
        <v>46017</v>
      </c>
      <c r="Q83" s="25">
        <v>46024</v>
      </c>
      <c r="R83" s="15" t="s">
        <v>18</v>
      </c>
      <c r="S83" s="15"/>
      <c r="T83" s="15"/>
      <c r="U83" s="15"/>
      <c r="V83" s="15"/>
      <c r="W83" s="15"/>
      <c r="X83" s="15"/>
      <c r="Y83" s="15"/>
      <c r="Z83" s="15"/>
      <c r="AA83" s="15"/>
    </row>
    <row r="84" spans="1:27" x14ac:dyDescent="0.25">
      <c r="A84" s="14" t="b">
        <v>1</v>
      </c>
      <c r="B84" s="28" t="str">
        <f t="shared" ref="B84:B99" si="17">IF(
    ISERROR(VALUE(SUBSTITUTE(B83,".",""))),
    "0.1",
    IF(
        ISERROR(FIND("`",SUBSTITUTE(B83,".","`",1))),
        B83 &amp; ".1",
        LEFT(B83,FIND("`",SUBSTITUTE(B83,".","`",1))) &amp;
        IF(
            ISERROR(FIND("`",SUBSTITUTE(B83,".","`",2))),
            VALUE(RIGHT(B83,LEN(B83)-FIND("`",SUBSTITUTE(B83,".","`",1))))+1,
            VALUE(MID(B83,
                FIND("`",SUBSTITUTE(B83,".","`",1))+1,
                (FIND("`",SUBSTITUTE(B83,".","`",2))-FIND("`",SUBSTITUTE(B83,".","`",1))-1)
            ))+1
        )
    )
)</f>
        <v>3.2</v>
      </c>
      <c r="C84" s="15" t="s">
        <v>130</v>
      </c>
      <c r="D84" s="16" t="s">
        <v>85</v>
      </c>
      <c r="E84" s="28"/>
      <c r="F84" s="25">
        <v>46017</v>
      </c>
      <c r="G84" s="25">
        <v>46022</v>
      </c>
      <c r="H84" s="41">
        <f>WORKDAY($I$66,1)</f>
        <v>46029</v>
      </c>
      <c r="I84" s="43">
        <f>WORKDAY($H$67,3)</f>
        <v>46034</v>
      </c>
      <c r="J84" s="25">
        <v>46024</v>
      </c>
      <c r="K84" s="25">
        <v>46035</v>
      </c>
      <c r="L84" s="15">
        <v>2</v>
      </c>
      <c r="M84" s="25">
        <v>46037</v>
      </c>
      <c r="N84" s="25">
        <v>46044</v>
      </c>
      <c r="O84" s="15">
        <v>1</v>
      </c>
      <c r="P84" s="49">
        <v>46045</v>
      </c>
      <c r="Q84" s="49">
        <v>46059</v>
      </c>
      <c r="R84" s="15">
        <v>1</v>
      </c>
      <c r="S84" s="15"/>
      <c r="T84" s="15"/>
      <c r="U84" s="15"/>
      <c r="V84" s="15"/>
      <c r="W84" s="15"/>
      <c r="X84" s="15"/>
      <c r="Y84" s="15"/>
      <c r="Z84" s="15"/>
      <c r="AA84" s="15"/>
    </row>
    <row r="85" spans="1:27" x14ac:dyDescent="0.25">
      <c r="A85" s="14" t="b">
        <v>1</v>
      </c>
      <c r="B85" s="28" t="str">
        <f t="shared" si="17"/>
        <v>3.3</v>
      </c>
      <c r="C85" s="15" t="s">
        <v>131</v>
      </c>
      <c r="D85" s="16" t="s">
        <v>60</v>
      </c>
      <c r="E85" s="28"/>
      <c r="F85" s="25">
        <v>46017</v>
      </c>
      <c r="G85" s="25">
        <v>46022</v>
      </c>
      <c r="H85" s="41">
        <f t="shared" ref="H85:H87" si="18">WORKDAY($I$66,1)</f>
        <v>46029</v>
      </c>
      <c r="I85" s="43">
        <f t="shared" ref="I85:I87" si="19">WORKDAY($H$67,3)</f>
        <v>46034</v>
      </c>
      <c r="J85" s="25">
        <v>46024</v>
      </c>
      <c r="K85" s="25">
        <v>46035</v>
      </c>
      <c r="L85" s="15">
        <v>2</v>
      </c>
      <c r="M85" s="25">
        <v>46037</v>
      </c>
      <c r="N85" s="25">
        <v>46044</v>
      </c>
      <c r="O85" s="15">
        <v>1</v>
      </c>
      <c r="P85" s="49">
        <v>46045</v>
      </c>
      <c r="Q85" s="49">
        <v>46059</v>
      </c>
      <c r="R85" s="15">
        <v>1</v>
      </c>
      <c r="S85" s="15"/>
      <c r="T85" s="15"/>
      <c r="U85" s="15"/>
      <c r="V85" s="15"/>
      <c r="W85" s="15"/>
      <c r="X85" s="15"/>
      <c r="Y85" s="15"/>
      <c r="Z85" s="15"/>
      <c r="AA85" s="15"/>
    </row>
    <row r="86" spans="1:27" x14ac:dyDescent="0.25">
      <c r="A86" s="14" t="b">
        <v>1</v>
      </c>
      <c r="B86" s="28" t="str">
        <f t="shared" si="17"/>
        <v>3.4</v>
      </c>
      <c r="C86" s="15" t="s">
        <v>132</v>
      </c>
      <c r="D86" s="16" t="s">
        <v>29</v>
      </c>
      <c r="E86" s="28"/>
      <c r="F86" s="25">
        <v>46017</v>
      </c>
      <c r="G86" s="25">
        <v>46022</v>
      </c>
      <c r="H86" s="41">
        <f t="shared" si="18"/>
        <v>46029</v>
      </c>
      <c r="I86" s="43">
        <f t="shared" si="19"/>
        <v>46034</v>
      </c>
      <c r="J86" s="25">
        <v>46024</v>
      </c>
      <c r="K86" s="25">
        <v>46035</v>
      </c>
      <c r="L86" s="15">
        <v>2</v>
      </c>
      <c r="M86" s="25">
        <v>46037</v>
      </c>
      <c r="N86" s="25">
        <v>46044</v>
      </c>
      <c r="O86" s="15">
        <v>1</v>
      </c>
      <c r="P86" s="49">
        <v>46045</v>
      </c>
      <c r="Q86" s="49">
        <v>46059</v>
      </c>
      <c r="R86" s="15">
        <v>1</v>
      </c>
      <c r="S86" s="15"/>
      <c r="T86" s="15"/>
      <c r="U86" s="15"/>
      <c r="V86" s="15"/>
      <c r="W86" s="15"/>
      <c r="X86" s="15"/>
      <c r="Y86" s="15"/>
      <c r="Z86" s="15"/>
      <c r="AA86" s="15"/>
    </row>
    <row r="87" spans="1:27" x14ac:dyDescent="0.25">
      <c r="A87" s="14" t="b">
        <v>1</v>
      </c>
      <c r="B87" s="28" t="str">
        <f t="shared" si="17"/>
        <v>3.5</v>
      </c>
      <c r="C87" s="15" t="s">
        <v>133</v>
      </c>
      <c r="D87" s="16" t="s">
        <v>31</v>
      </c>
      <c r="E87" s="28"/>
      <c r="F87" s="25">
        <v>46017</v>
      </c>
      <c r="G87" s="25">
        <v>46022</v>
      </c>
      <c r="H87" s="41">
        <f t="shared" si="18"/>
        <v>46029</v>
      </c>
      <c r="I87" s="43">
        <f t="shared" si="19"/>
        <v>46034</v>
      </c>
      <c r="J87" s="25">
        <v>46024</v>
      </c>
      <c r="K87" s="25">
        <v>46035</v>
      </c>
      <c r="L87" s="15">
        <v>2</v>
      </c>
      <c r="M87" s="25">
        <v>46037</v>
      </c>
      <c r="N87" s="25">
        <v>46044</v>
      </c>
      <c r="O87" s="15">
        <v>1</v>
      </c>
      <c r="P87" s="49">
        <v>46045</v>
      </c>
      <c r="Q87" s="49">
        <v>46059</v>
      </c>
      <c r="R87" s="15">
        <v>1</v>
      </c>
      <c r="S87" s="15"/>
      <c r="T87" s="15"/>
      <c r="U87" s="15"/>
      <c r="V87" s="15"/>
      <c r="W87" s="15"/>
      <c r="X87" s="15"/>
      <c r="Y87" s="15"/>
      <c r="Z87" s="15"/>
      <c r="AA87" s="15"/>
    </row>
    <row r="88" spans="1:27" x14ac:dyDescent="0.25">
      <c r="A88" s="14" t="b">
        <v>1</v>
      </c>
      <c r="B88" s="28" t="str">
        <f>IF(
    ISERROR(VALUE(SUBSTITUTE(B87,".",""))),
    "0.1",
    IF(
        ISERROR(FIND("`",SUBSTITUTE(B87,".","`",1))),
        B87 &amp; ".1",
        LEFT(B87,FIND("`",SUBSTITUTE(B87,".","`",1))) &amp;
        IF(
            ISERROR(FIND("`",SUBSTITUTE(B87,".","`",2))),
            VALUE(RIGHT(B87,LEN(B87)-FIND("`",SUBSTITUTE(B87,".","`",1))))+1,
            VALUE(MID(B87,
                FIND("`",SUBSTITUTE(B87,".","`",1))+1,
                (FIND("`",SUBSTITUTE(B87,".","`",2))-FIND("`",SUBSTITUTE(B87,".","`",1))-1)
            ))+1
        )
    )
)</f>
        <v>3.6</v>
      </c>
      <c r="C88" s="15" t="s">
        <v>134</v>
      </c>
      <c r="D88" s="16" t="s">
        <v>64</v>
      </c>
      <c r="E88" s="28"/>
      <c r="F88" s="25">
        <v>46014</v>
      </c>
      <c r="G88" s="59">
        <v>46038</v>
      </c>
      <c r="H88" s="41">
        <f>WORKDAY($I$87,2)</f>
        <v>46036</v>
      </c>
      <c r="I88" s="41">
        <f>WORKDAY(H88,3)</f>
        <v>46041</v>
      </c>
      <c r="J88" s="48">
        <v>46066</v>
      </c>
      <c r="K88" s="48">
        <v>46072</v>
      </c>
      <c r="L88" s="15">
        <v>1</v>
      </c>
      <c r="M88" s="49">
        <v>46121</v>
      </c>
      <c r="N88" s="49">
        <v>46133</v>
      </c>
      <c r="O88" s="15">
        <v>1</v>
      </c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:27" x14ac:dyDescent="0.25">
      <c r="A89" s="14" t="b">
        <v>1</v>
      </c>
      <c r="B89" s="28" t="str">
        <f t="shared" si="17"/>
        <v>3.7</v>
      </c>
      <c r="C89" s="15" t="s">
        <v>135</v>
      </c>
      <c r="D89" s="16" t="s">
        <v>35</v>
      </c>
      <c r="E89" s="35" t="s">
        <v>93</v>
      </c>
      <c r="F89" s="25">
        <v>46017</v>
      </c>
      <c r="G89" s="60"/>
      <c r="H89" s="41">
        <f>WORKDAY(H88,2)</f>
        <v>46038</v>
      </c>
      <c r="I89" s="41">
        <f t="shared" ref="I89:I98" si="20">WORKDAY(H89,3)</f>
        <v>46043</v>
      </c>
      <c r="J89" s="48">
        <v>46066</v>
      </c>
      <c r="K89" s="48">
        <v>46072</v>
      </c>
      <c r="L89" s="15">
        <v>1</v>
      </c>
      <c r="M89" s="49">
        <v>46121</v>
      </c>
      <c r="N89" s="49">
        <v>46133</v>
      </c>
      <c r="O89" s="15">
        <v>1</v>
      </c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x14ac:dyDescent="0.25">
      <c r="A90" s="14" t="b">
        <v>1</v>
      </c>
      <c r="B90" s="28" t="str">
        <f t="shared" si="17"/>
        <v>3.8</v>
      </c>
      <c r="C90" s="15" t="s">
        <v>136</v>
      </c>
      <c r="D90" s="38" t="s">
        <v>137</v>
      </c>
      <c r="E90" s="28" t="s">
        <v>93</v>
      </c>
      <c r="F90" s="25">
        <v>46019</v>
      </c>
      <c r="G90" s="60"/>
      <c r="H90" s="41">
        <f t="shared" ref="H90:H97" si="21">WORKDAY(H89,2)</f>
        <v>46042</v>
      </c>
      <c r="I90" s="41">
        <f t="shared" si="20"/>
        <v>46045</v>
      </c>
      <c r="J90" s="48">
        <v>46066</v>
      </c>
      <c r="K90" s="48">
        <v>46072</v>
      </c>
      <c r="L90" s="15">
        <v>1</v>
      </c>
      <c r="M90" s="49">
        <v>46121</v>
      </c>
      <c r="N90" s="49">
        <v>46133</v>
      </c>
      <c r="O90" s="15">
        <v>1</v>
      </c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 x14ac:dyDescent="0.25">
      <c r="A91" s="14" t="b">
        <v>1</v>
      </c>
      <c r="B91" s="28" t="str">
        <f t="shared" si="17"/>
        <v>3.9</v>
      </c>
      <c r="C91" s="15" t="s">
        <v>138</v>
      </c>
      <c r="D91" s="38" t="s">
        <v>139</v>
      </c>
      <c r="E91" s="28"/>
      <c r="F91" s="25">
        <v>46021</v>
      </c>
      <c r="G91" s="60"/>
      <c r="H91" s="41">
        <f t="shared" si="21"/>
        <v>46044</v>
      </c>
      <c r="I91" s="41">
        <f t="shared" si="20"/>
        <v>46049</v>
      </c>
      <c r="J91" s="48">
        <v>46066</v>
      </c>
      <c r="K91" s="48">
        <v>46072</v>
      </c>
      <c r="L91" s="15">
        <v>1</v>
      </c>
      <c r="M91" s="49">
        <v>46121</v>
      </c>
      <c r="N91" s="49">
        <v>46133</v>
      </c>
      <c r="O91" s="15">
        <v>1</v>
      </c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x14ac:dyDescent="0.25">
      <c r="A92" s="14" t="b">
        <v>1</v>
      </c>
      <c r="B92" s="28" t="str">
        <f t="shared" si="17"/>
        <v>3.10</v>
      </c>
      <c r="C92" s="15" t="s">
        <v>140</v>
      </c>
      <c r="D92" s="38" t="s">
        <v>141</v>
      </c>
      <c r="E92" s="28" t="s">
        <v>93</v>
      </c>
      <c r="F92" s="25">
        <v>46023</v>
      </c>
      <c r="G92" s="60"/>
      <c r="H92" s="41">
        <f>WORKDAY(H91,3)</f>
        <v>46049</v>
      </c>
      <c r="I92" s="41">
        <f t="shared" si="20"/>
        <v>46052</v>
      </c>
      <c r="J92" s="48">
        <v>46066</v>
      </c>
      <c r="K92" s="48">
        <v>46072</v>
      </c>
      <c r="L92" s="15">
        <v>1</v>
      </c>
      <c r="M92" s="49">
        <v>46121</v>
      </c>
      <c r="N92" s="49">
        <v>46133</v>
      </c>
      <c r="O92" s="15">
        <v>1</v>
      </c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x14ac:dyDescent="0.25">
      <c r="A93" s="14" t="b">
        <v>1</v>
      </c>
      <c r="B93" s="28" t="str">
        <f t="shared" si="17"/>
        <v>3.11</v>
      </c>
      <c r="C93" s="15" t="s">
        <v>142</v>
      </c>
      <c r="D93" s="38" t="s">
        <v>143</v>
      </c>
      <c r="E93" s="28"/>
      <c r="F93" s="25">
        <v>46025</v>
      </c>
      <c r="G93" s="60"/>
      <c r="H93" s="41">
        <f t="shared" si="21"/>
        <v>46051</v>
      </c>
      <c r="I93" s="41">
        <f t="shared" si="20"/>
        <v>46056</v>
      </c>
      <c r="J93" s="48">
        <v>46066</v>
      </c>
      <c r="K93" s="48">
        <v>46072</v>
      </c>
      <c r="L93" s="15">
        <v>1</v>
      </c>
      <c r="M93" s="49">
        <v>46121</v>
      </c>
      <c r="N93" s="49">
        <v>46133</v>
      </c>
      <c r="O93" s="15">
        <v>1</v>
      </c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 x14ac:dyDescent="0.25">
      <c r="A94" s="14" t="b">
        <v>1</v>
      </c>
      <c r="B94" s="28" t="str">
        <f t="shared" si="17"/>
        <v>3.12</v>
      </c>
      <c r="C94" s="15" t="s">
        <v>144</v>
      </c>
      <c r="D94" s="38" t="s">
        <v>145</v>
      </c>
      <c r="E94" s="35" t="s">
        <v>93</v>
      </c>
      <c r="F94" s="25">
        <v>46027</v>
      </c>
      <c r="G94" s="60"/>
      <c r="H94" s="41">
        <f t="shared" si="21"/>
        <v>46055</v>
      </c>
      <c r="I94" s="41">
        <f t="shared" si="20"/>
        <v>46058</v>
      </c>
      <c r="J94" s="48">
        <v>46066</v>
      </c>
      <c r="K94" s="48">
        <v>46072</v>
      </c>
      <c r="L94" s="15">
        <v>1</v>
      </c>
      <c r="M94" s="49">
        <v>46121</v>
      </c>
      <c r="N94" s="49">
        <v>46133</v>
      </c>
      <c r="O94" s="15">
        <v>1</v>
      </c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x14ac:dyDescent="0.25">
      <c r="A95" s="14" t="b">
        <v>1</v>
      </c>
      <c r="B95" s="28" t="str">
        <f t="shared" si="17"/>
        <v>3.13</v>
      </c>
      <c r="C95" s="15" t="s">
        <v>146</v>
      </c>
      <c r="D95" s="38" t="s">
        <v>147</v>
      </c>
      <c r="E95" s="35"/>
      <c r="F95" s="25">
        <v>46029</v>
      </c>
      <c r="G95" s="60"/>
      <c r="H95" s="41">
        <f t="shared" si="21"/>
        <v>46057</v>
      </c>
      <c r="I95" s="41">
        <f t="shared" si="20"/>
        <v>46062</v>
      </c>
      <c r="J95" s="48">
        <v>46066</v>
      </c>
      <c r="K95" s="48">
        <v>46072</v>
      </c>
      <c r="L95" s="15">
        <v>1</v>
      </c>
      <c r="M95" s="49">
        <v>46121</v>
      </c>
      <c r="N95" s="49">
        <v>46133</v>
      </c>
      <c r="O95" s="15">
        <v>1</v>
      </c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x14ac:dyDescent="0.25">
      <c r="A96" s="14" t="b">
        <v>1</v>
      </c>
      <c r="B96" s="28" t="str">
        <f>IF(
    ISERROR(VALUE(SUBSTITUTE(B95,".",""))),
    "0.1",
    IF(
        ISERROR(FIND("`",SUBSTITUTE(B95,".","`",1))),
        B95 &amp; ".1",
        LEFT(B95,FIND("`",SUBSTITUTE(B95,".","`",1))) &amp;
        IF(
            ISERROR(FIND("`",SUBSTITUTE(B95,".","`",2))),
            VALUE(RIGHT(B95,LEN(B95)-FIND("`",SUBSTITUTE(B95,".","`",1))))+1,
            VALUE(MID(B95,
                FIND("`",SUBSTITUTE(B95,".","`",1))+1,
                (FIND("`",SUBSTITUTE(B95,".","`",2))-FIND("`",SUBSTITUTE(B95,".","`",1))-1)
            ))+1
        )
    )
)</f>
        <v>3.14</v>
      </c>
      <c r="C96" s="15" t="s">
        <v>148</v>
      </c>
      <c r="D96" s="39" t="s">
        <v>49</v>
      </c>
      <c r="E96" s="28" t="s">
        <v>105</v>
      </c>
      <c r="F96" s="25">
        <v>46031</v>
      </c>
      <c r="G96" s="60"/>
      <c r="H96" s="41">
        <f>WORKDAY(H95,2)</f>
        <v>46059</v>
      </c>
      <c r="I96" s="41">
        <f t="shared" si="20"/>
        <v>46064</v>
      </c>
      <c r="J96" s="48">
        <v>46066</v>
      </c>
      <c r="K96" s="48">
        <v>46072</v>
      </c>
      <c r="L96" s="15">
        <v>1</v>
      </c>
      <c r="M96" s="49">
        <v>46121</v>
      </c>
      <c r="N96" s="49">
        <v>46133</v>
      </c>
      <c r="O96" s="15">
        <v>1</v>
      </c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x14ac:dyDescent="0.25">
      <c r="A97" s="14" t="b">
        <v>1</v>
      </c>
      <c r="B97" s="28" t="str">
        <f t="shared" si="17"/>
        <v>3.15</v>
      </c>
      <c r="C97" s="15" t="s">
        <v>149</v>
      </c>
      <c r="D97" s="39" t="s">
        <v>51</v>
      </c>
      <c r="E97" s="28"/>
      <c r="F97" s="25">
        <v>46033</v>
      </c>
      <c r="G97" s="60"/>
      <c r="H97" s="41">
        <f t="shared" si="21"/>
        <v>46063</v>
      </c>
      <c r="I97" s="41">
        <f>WORKDAY(H97,3)</f>
        <v>46066</v>
      </c>
      <c r="J97" s="48">
        <v>46066</v>
      </c>
      <c r="K97" s="48">
        <v>46072</v>
      </c>
      <c r="L97" s="15">
        <v>1</v>
      </c>
      <c r="M97" s="49">
        <v>46121</v>
      </c>
      <c r="N97" s="49">
        <v>46133</v>
      </c>
      <c r="O97" s="15">
        <v>1</v>
      </c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x14ac:dyDescent="0.25">
      <c r="A98" s="14" t="b">
        <v>1</v>
      </c>
      <c r="B98" s="28" t="str">
        <f>IF(
    ISERROR(VALUE(SUBSTITUTE(B97,".",""))),
    "0.1",
    IF(
        ISERROR(FIND("`",SUBSTITUTE(B97,".","`",1))),
        B97 &amp; ".1",
        LEFT(B97,FIND("`",SUBSTITUTE(B97,".","`",1))) &amp;
        IF(
            ISERROR(FIND("`",SUBSTITUTE(B97,".","`",2))),
            VALUE(RIGHT(B97,LEN(B97)-FIND("`",SUBSTITUTE(B97,".","`",1))))+1,
            VALUE(MID(B97,
                FIND("`",SUBSTITUTE(B97,".","`",1))+1,
                (FIND("`",SUBSTITUTE(B97,".","`",2))-FIND("`",SUBSTITUTE(B97,".","`",1))-1)
            ))+1
        )
    )
)</f>
        <v>3.16</v>
      </c>
      <c r="C98" s="15" t="s">
        <v>150</v>
      </c>
      <c r="D98" s="39" t="s">
        <v>127</v>
      </c>
      <c r="E98" s="35" t="s">
        <v>93</v>
      </c>
      <c r="F98" s="25">
        <v>46035</v>
      </c>
      <c r="G98" s="61"/>
      <c r="H98" s="41">
        <f>WORKDAY(H97,2)</f>
        <v>46065</v>
      </c>
      <c r="I98" s="41">
        <f t="shared" si="20"/>
        <v>46070</v>
      </c>
      <c r="J98" s="48">
        <v>46066</v>
      </c>
      <c r="K98" s="48">
        <v>46072</v>
      </c>
      <c r="L98" s="15">
        <v>1</v>
      </c>
      <c r="M98" s="49">
        <v>46121</v>
      </c>
      <c r="N98" s="49">
        <v>46133</v>
      </c>
      <c r="O98" s="15">
        <v>1</v>
      </c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x14ac:dyDescent="0.25">
      <c r="A99" s="14" t="b">
        <v>0</v>
      </c>
      <c r="B99" s="28" t="str">
        <f t="shared" si="17"/>
        <v>3.17</v>
      </c>
      <c r="C99" s="15"/>
      <c r="D99" s="38" t="s">
        <v>54</v>
      </c>
      <c r="E99" s="35" t="s">
        <v>17</v>
      </c>
      <c r="F99" s="25">
        <v>46064</v>
      </c>
      <c r="G99" s="26" t="s">
        <v>55</v>
      </c>
      <c r="H99" s="42">
        <f>WORKDAY(I98,14)</f>
        <v>46090</v>
      </c>
      <c r="I99" s="42" t="s">
        <v>17</v>
      </c>
      <c r="J99" s="25"/>
      <c r="K99" s="25"/>
      <c r="L99" s="15"/>
      <c r="M99" s="26"/>
      <c r="N99" s="2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</sheetData>
  <mergeCells count="10">
    <mergeCell ref="C6:D6"/>
    <mergeCell ref="G13:G23"/>
    <mergeCell ref="C26:D26"/>
    <mergeCell ref="G88:G98"/>
    <mergeCell ref="G32:G42"/>
    <mergeCell ref="C45:D45"/>
    <mergeCell ref="G52:G62"/>
    <mergeCell ref="C65:D65"/>
    <mergeCell ref="G71:G79"/>
    <mergeCell ref="C82:D82"/>
  </mergeCells>
  <phoneticPr fontId="9" type="noConversion"/>
  <dataValidations count="1">
    <dataValidation type="list" allowBlank="1" showInputMessage="1" showErrorMessage="1" sqref="O79:O81 P46:Q46 AA47:AA48 N46 L83:L99 S52:T64 S46:T46 S71:T81 M63:N64 L66:AA66 V52:W64 V46:W46 Y46:AA46 V69:W81 P63:Q64 M81:N81 P60:Q61 R46:R64 O46:O64 L46:L64 Y49:AA64 X46:X64 U46:U64 O68:O76 L68:L81 X68:AA81 P80:Q81 U68:U81 P78:Q78 R68:R81" xr:uid="{DF8CBB91-E5E1-4C59-840B-803081A11A16}">
      <formula1>"1,2,3,R,V"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EC3A8-8834-4274-A2C9-1E99AB37AEBA}">
  <sheetPr codeName="Sheet2"/>
  <dimension ref="A1:G19"/>
  <sheetViews>
    <sheetView zoomScale="79" workbookViewId="0">
      <selection activeCell="B18" sqref="B18"/>
    </sheetView>
  </sheetViews>
  <sheetFormatPr defaultRowHeight="15" x14ac:dyDescent="0.25"/>
  <cols>
    <col min="1" max="1" width="23.85546875" customWidth="1"/>
    <col min="2" max="2" width="24.7109375" customWidth="1"/>
    <col min="3" max="3" width="10.7109375" bestFit="1" customWidth="1"/>
    <col min="4" max="4" width="21.42578125" customWidth="1"/>
    <col min="5" max="5" width="5.140625" customWidth="1"/>
    <col min="6" max="6" width="3.28515625" customWidth="1"/>
  </cols>
  <sheetData>
    <row r="1" spans="1:7" x14ac:dyDescent="0.25">
      <c r="A1" s="44" t="s">
        <v>162</v>
      </c>
      <c r="B1" s="44" t="s">
        <v>163</v>
      </c>
      <c r="C1" s="44" t="s">
        <v>1</v>
      </c>
      <c r="D1" s="44" t="s">
        <v>164</v>
      </c>
      <c r="E1" s="64" t="s">
        <v>168</v>
      </c>
      <c r="F1" s="64"/>
      <c r="G1" s="64"/>
    </row>
    <row r="2" spans="1:7" x14ac:dyDescent="0.25">
      <c r="A2" s="69" t="s">
        <v>165</v>
      </c>
      <c r="B2" s="65">
        <v>17</v>
      </c>
      <c r="C2" s="65">
        <v>16</v>
      </c>
      <c r="D2" s="65">
        <v>16</v>
      </c>
      <c r="E2" s="46" t="s">
        <v>171</v>
      </c>
      <c r="F2" s="46" t="s">
        <v>170</v>
      </c>
      <c r="G2" s="46"/>
    </row>
    <row r="3" spans="1:7" x14ac:dyDescent="0.25">
      <c r="A3" s="69"/>
      <c r="B3" s="65"/>
      <c r="C3" s="65"/>
      <c r="D3" s="65"/>
      <c r="E3" s="46" t="s">
        <v>154</v>
      </c>
      <c r="F3" s="46" t="s">
        <v>170</v>
      </c>
      <c r="G3" s="46"/>
    </row>
    <row r="4" spans="1:7" x14ac:dyDescent="0.25">
      <c r="A4" s="69"/>
      <c r="B4" s="65"/>
      <c r="C4" s="65"/>
      <c r="D4" s="65"/>
      <c r="E4" s="46" t="s">
        <v>152</v>
      </c>
      <c r="F4" s="46" t="s">
        <v>170</v>
      </c>
      <c r="G4" s="46"/>
    </row>
    <row r="5" spans="1:7" x14ac:dyDescent="0.25">
      <c r="A5" s="69"/>
      <c r="B5" s="65"/>
      <c r="C5" s="65"/>
      <c r="D5" s="65"/>
      <c r="E5" s="46" t="s">
        <v>157</v>
      </c>
      <c r="F5" s="46" t="s">
        <v>170</v>
      </c>
      <c r="G5" s="46"/>
    </row>
    <row r="6" spans="1:7" x14ac:dyDescent="0.25">
      <c r="A6" s="69"/>
      <c r="B6" s="65"/>
      <c r="C6" s="65"/>
      <c r="D6" s="65"/>
      <c r="E6" s="46" t="s">
        <v>160</v>
      </c>
      <c r="F6" s="46" t="s">
        <v>170</v>
      </c>
      <c r="G6" s="46"/>
    </row>
    <row r="7" spans="1:7" x14ac:dyDescent="0.25">
      <c r="A7" s="68" t="s">
        <v>166</v>
      </c>
      <c r="B7" s="68">
        <v>15</v>
      </c>
      <c r="C7" s="68">
        <v>14</v>
      </c>
      <c r="D7" s="68">
        <v>14</v>
      </c>
      <c r="E7" s="47" t="s">
        <v>171</v>
      </c>
      <c r="F7" s="47" t="s">
        <v>170</v>
      </c>
      <c r="G7" s="47"/>
    </row>
    <row r="8" spans="1:7" x14ac:dyDescent="0.25">
      <c r="A8" s="68"/>
      <c r="B8" s="68"/>
      <c r="C8" s="68"/>
      <c r="D8" s="68"/>
      <c r="E8" s="47" t="s">
        <v>154</v>
      </c>
      <c r="F8" s="47" t="s">
        <v>170</v>
      </c>
      <c r="G8" s="47"/>
    </row>
    <row r="9" spans="1:7" x14ac:dyDescent="0.25">
      <c r="A9" s="68"/>
      <c r="B9" s="68"/>
      <c r="C9" s="68"/>
      <c r="D9" s="68"/>
      <c r="E9" s="47" t="s">
        <v>152</v>
      </c>
      <c r="F9" s="47" t="s">
        <v>170</v>
      </c>
      <c r="G9" s="47"/>
    </row>
    <row r="10" spans="1:7" x14ac:dyDescent="0.25">
      <c r="A10" s="68"/>
      <c r="B10" s="68"/>
      <c r="C10" s="68"/>
      <c r="D10" s="68"/>
      <c r="E10" s="47" t="s">
        <v>157</v>
      </c>
      <c r="F10" s="47" t="s">
        <v>170</v>
      </c>
      <c r="G10" s="47"/>
    </row>
    <row r="11" spans="1:7" x14ac:dyDescent="0.25">
      <c r="A11" s="68"/>
      <c r="B11" s="68"/>
      <c r="C11" s="68"/>
      <c r="D11" s="68"/>
      <c r="E11" s="47" t="s">
        <v>160</v>
      </c>
      <c r="F11" s="47" t="s">
        <v>170</v>
      </c>
      <c r="G11" s="47"/>
    </row>
    <row r="12" spans="1:7" x14ac:dyDescent="0.25">
      <c r="A12" s="68"/>
      <c r="B12" s="68"/>
      <c r="C12" s="68"/>
      <c r="D12" s="68"/>
      <c r="E12" s="47" t="s">
        <v>169</v>
      </c>
      <c r="F12" s="47" t="s">
        <v>170</v>
      </c>
      <c r="G12" s="47"/>
    </row>
    <row r="13" spans="1:7" x14ac:dyDescent="0.25">
      <c r="A13" s="66" t="s">
        <v>167</v>
      </c>
      <c r="B13" s="66">
        <v>17</v>
      </c>
      <c r="C13" s="66">
        <v>16</v>
      </c>
      <c r="D13" s="66">
        <v>16</v>
      </c>
      <c r="E13" s="45" t="s">
        <v>171</v>
      </c>
      <c r="F13" s="45" t="s">
        <v>170</v>
      </c>
      <c r="G13" s="45">
        <v>12</v>
      </c>
    </row>
    <row r="14" spans="1:7" x14ac:dyDescent="0.25">
      <c r="A14" s="66"/>
      <c r="B14" s="66"/>
      <c r="C14" s="66"/>
      <c r="D14" s="66"/>
      <c r="E14" s="45" t="s">
        <v>154</v>
      </c>
      <c r="F14" s="45" t="s">
        <v>170</v>
      </c>
      <c r="G14" s="45"/>
    </row>
    <row r="15" spans="1:7" x14ac:dyDescent="0.25">
      <c r="A15" s="66"/>
      <c r="B15" s="66"/>
      <c r="C15" s="66"/>
      <c r="D15" s="66"/>
      <c r="E15" s="45" t="s">
        <v>152</v>
      </c>
      <c r="F15" s="45" t="s">
        <v>170</v>
      </c>
      <c r="G15" s="45">
        <v>4</v>
      </c>
    </row>
    <row r="16" spans="1:7" x14ac:dyDescent="0.25">
      <c r="A16" s="66"/>
      <c r="B16" s="66"/>
      <c r="C16" s="66"/>
      <c r="D16" s="66"/>
      <c r="E16" s="45" t="s">
        <v>157</v>
      </c>
      <c r="F16" s="45" t="s">
        <v>170</v>
      </c>
      <c r="G16" s="45"/>
    </row>
    <row r="17" spans="1:7" x14ac:dyDescent="0.25">
      <c r="A17" s="66"/>
      <c r="B17" s="66"/>
      <c r="C17" s="66"/>
      <c r="D17" s="66"/>
      <c r="E17" s="45" t="s">
        <v>160</v>
      </c>
      <c r="F17" s="45" t="s">
        <v>170</v>
      </c>
      <c r="G17" s="45"/>
    </row>
    <row r="18" spans="1:7" x14ac:dyDescent="0.25">
      <c r="A18" s="67" t="s">
        <v>172</v>
      </c>
    </row>
    <row r="19" spans="1:7" x14ac:dyDescent="0.25">
      <c r="A19" s="67"/>
    </row>
  </sheetData>
  <mergeCells count="14">
    <mergeCell ref="E1:G1"/>
    <mergeCell ref="C2:C6"/>
    <mergeCell ref="D2:D6"/>
    <mergeCell ref="C13:C17"/>
    <mergeCell ref="A18:A19"/>
    <mergeCell ref="D13:D17"/>
    <mergeCell ref="D7:D12"/>
    <mergeCell ref="C7:C12"/>
    <mergeCell ref="A2:A6"/>
    <mergeCell ref="A7:A12"/>
    <mergeCell ref="A13:A17"/>
    <mergeCell ref="B13:B17"/>
    <mergeCell ref="B7:B12"/>
    <mergeCell ref="B2:B6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 Singh</dc:creator>
  <cp:lastModifiedBy>Saksham Singh</cp:lastModifiedBy>
  <dcterms:created xsi:type="dcterms:W3CDTF">2015-06-05T18:17:20Z</dcterms:created>
  <dcterms:modified xsi:type="dcterms:W3CDTF">2026-06-08T05:04:39Z</dcterms:modified>
</cp:coreProperties>
</file>