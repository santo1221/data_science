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imelineCaches/timelineCache6.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S:\Santosh\data_science\data_science\Civil_Project_Tracker\Main Reports\"/>
    </mc:Choice>
  </mc:AlternateContent>
  <xr:revisionPtr revIDLastSave="0" documentId="13_ncr:1_{9B197F8B-F1F5-4305-80BC-57225D3D1453}" xr6:coauthVersionLast="47" xr6:coauthVersionMax="47" xr10:uidLastSave="{00000000-0000-0000-0000-000000000000}"/>
  <bookViews>
    <workbookView xWindow="-110" yWindow="-110" windowWidth="19420" windowHeight="10300" activeTab="2" xr2:uid="{00000000-000D-0000-FFFF-FFFF00000000}"/>
  </bookViews>
  <sheets>
    <sheet name="Floor-wise" sheetId="11" r:id="rId1"/>
    <sheet name="S-Curve Wkly" sheetId="8" r:id="rId2"/>
    <sheet name="S-Curve Monthly" sheetId="12" r:id="rId3"/>
    <sheet name="DB" sheetId="13" r:id="rId4"/>
    <sheet name="Master_Data" sheetId="6" r:id="rId5"/>
    <sheet name="DRG_Status" sheetId="5" r:id="rId6"/>
    <sheet name="Sheet3" sheetId="16" r:id="rId7"/>
    <sheet name="S_Curve_Data" sheetId="7" r:id="rId8"/>
    <sheet name="Mappings" sheetId="2" r:id="rId9"/>
  </sheets>
  <definedNames>
    <definedName name="_xlnm._FilterDatabase" localSheetId="5" hidden="1">DRG_Status!$A$1:$J$543</definedName>
    <definedName name="_xlnm._FilterDatabase" localSheetId="4" hidden="1">Master_Data!$A$1:$Q$543</definedName>
    <definedName name="NativeTimeline_Rpt_Month">#N/A</definedName>
    <definedName name="NativeTimeline_Rpt_Month1">#N/A</definedName>
    <definedName name="NativeTimeline_Rpt_Month2">#N/A</definedName>
    <definedName name="NativeTimeline_Rpt_Week">#N/A</definedName>
    <definedName name="NativeTimeline_Rpt_Week1">#N/A</definedName>
    <definedName name="NativeTimeline_Rpt_Week2">#N/A</definedName>
    <definedName name="Slicer_Discipline">#N/A</definedName>
    <definedName name="Slicer_Discipline1">#N/A</definedName>
  </definedNames>
  <calcPr calcId="191029"/>
  <pivotCaches>
    <pivotCache cacheId="50" r:id="rId10"/>
    <pivotCache cacheId="54" r:id="rId11"/>
    <pivotCache cacheId="58" r:id="rId12"/>
    <pivotCache cacheId="62" r:id="rId13"/>
    <pivotCache cacheId="68" r:id="rId14"/>
    <pivotCache cacheId="72" r:id="rId15"/>
    <pivotCache cacheId="76" r:id="rId16"/>
    <pivotCache cacheId="80" r:id="rId17"/>
    <pivotCache cacheId="84"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 r:id="rId22"/>
        <x15:timelineCacheRef r:id="rId23"/>
        <x15:timelineCacheRef r:id="rId24"/>
        <x15:timelineCacheRef r:id="rId25"/>
        <x15:timelineCacheRef r:id="rId2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13" l="1"/>
  <c r="G25" i="13"/>
  <c r="H26" i="13"/>
  <c r="G26" i="13"/>
  <c r="S3" i="6"/>
  <c r="S4" i="6"/>
  <c r="S5" i="6"/>
  <c r="S6" i="6"/>
  <c r="S7" i="6"/>
  <c r="S8" i="6"/>
  <c r="S9" i="6"/>
  <c r="S10" i="6"/>
  <c r="S11" i="6"/>
  <c r="S12" i="6"/>
  <c r="S13" i="6"/>
  <c r="S14" i="6"/>
  <c r="S15" i="6"/>
  <c r="S16" i="6"/>
  <c r="S17" i="6"/>
  <c r="S18" i="6"/>
  <c r="S19" i="6"/>
  <c r="S20" i="6"/>
  <c r="S21" i="6"/>
  <c r="S2" i="6"/>
  <c r="H27" i="13"/>
  <c r="D40" i="13" s="1"/>
  <c r="D42" i="13" s="1"/>
  <c r="G27" i="13"/>
  <c r="F26" i="13"/>
  <c r="F27" i="13"/>
  <c r="F25" i="13"/>
  <c r="AP1" i="7"/>
  <c r="AI1" i="7"/>
  <c r="AB1" i="7"/>
  <c r="T4" i="7"/>
  <c r="T3" i="7"/>
  <c r="U1" i="7"/>
  <c r="M3" i="7"/>
  <c r="N1" i="7"/>
  <c r="G1" i="7"/>
  <c r="F3" i="7"/>
  <c r="F4" i="7"/>
  <c r="B3" i="5"/>
  <c r="B4" i="5"/>
  <c r="B5" i="5"/>
  <c r="B6" i="5"/>
  <c r="B7" i="5"/>
  <c r="B8" i="5"/>
  <c r="B9" i="5"/>
  <c r="B10" i="5"/>
  <c r="B11" i="5"/>
  <c r="B12" i="5"/>
  <c r="B13" i="5"/>
  <c r="B14" i="5"/>
  <c r="B15" i="5"/>
  <c r="B16" i="5"/>
  <c r="B17" i="5"/>
  <c r="B18" i="5"/>
  <c r="B19" i="5"/>
  <c r="B20" i="5"/>
  <c r="B21" i="5"/>
  <c r="B2" i="5"/>
  <c r="B3" i="2"/>
  <c r="C3" i="5"/>
  <c r="C4" i="5"/>
  <c r="C5" i="5"/>
  <c r="C6" i="5"/>
  <c r="C7" i="5"/>
  <c r="C8" i="5"/>
  <c r="C9" i="5"/>
  <c r="C10" i="5"/>
  <c r="C11" i="5"/>
  <c r="C12" i="5"/>
  <c r="C13" i="5"/>
  <c r="C14" i="5"/>
  <c r="C15" i="5"/>
  <c r="C16" i="5"/>
  <c r="C17" i="5"/>
  <c r="C18" i="5"/>
  <c r="C19" i="5"/>
  <c r="C20" i="5"/>
  <c r="C21" i="5"/>
  <c r="C2" i="5"/>
  <c r="D3" i="5"/>
  <c r="D4" i="5"/>
  <c r="D5" i="5"/>
  <c r="D6" i="5"/>
  <c r="D7" i="5"/>
  <c r="D8" i="5"/>
  <c r="D9" i="5"/>
  <c r="D10" i="5"/>
  <c r="D11" i="5"/>
  <c r="D12" i="5"/>
  <c r="D13" i="5"/>
  <c r="D14" i="5"/>
  <c r="D15" i="5"/>
  <c r="D16" i="5"/>
  <c r="D17" i="5"/>
  <c r="D18" i="5"/>
  <c r="D19" i="5"/>
  <c r="D20" i="5"/>
  <c r="D21" i="5"/>
  <c r="D2" i="5"/>
  <c r="E3" i="5"/>
  <c r="E4" i="5"/>
  <c r="E5" i="5"/>
  <c r="E6" i="5"/>
  <c r="E7" i="5"/>
  <c r="E8" i="5"/>
  <c r="E9" i="5"/>
  <c r="E10" i="5"/>
  <c r="E11" i="5"/>
  <c r="E12" i="5"/>
  <c r="E13" i="5"/>
  <c r="E14" i="5"/>
  <c r="E15" i="5"/>
  <c r="E16" i="5"/>
  <c r="E17" i="5"/>
  <c r="E18" i="5"/>
  <c r="E19" i="5"/>
  <c r="E20" i="5"/>
  <c r="E21" i="5"/>
  <c r="E2" i="5"/>
  <c r="F3" i="5"/>
  <c r="F4" i="5"/>
  <c r="F5" i="5"/>
  <c r="F6" i="5"/>
  <c r="F7" i="5"/>
  <c r="F8" i="5"/>
  <c r="F9" i="5"/>
  <c r="F10" i="5"/>
  <c r="F11" i="5"/>
  <c r="F12" i="5"/>
  <c r="F13" i="5"/>
  <c r="F14" i="5"/>
  <c r="F15" i="5"/>
  <c r="F16" i="5"/>
  <c r="F17" i="5"/>
  <c r="F18" i="5"/>
  <c r="F19" i="5"/>
  <c r="F20" i="5"/>
  <c r="F21" i="5"/>
  <c r="F2" i="5"/>
  <c r="X3" i="7" s="1" a="1"/>
  <c r="H3" i="5"/>
  <c r="H4" i="5"/>
  <c r="H5" i="5"/>
  <c r="H6" i="5"/>
  <c r="H7" i="5"/>
  <c r="H8" i="5"/>
  <c r="H9" i="5"/>
  <c r="H10" i="5"/>
  <c r="H11" i="5"/>
  <c r="H12" i="5"/>
  <c r="H13" i="5"/>
  <c r="H14" i="5"/>
  <c r="H15" i="5"/>
  <c r="H16" i="5"/>
  <c r="H17" i="5"/>
  <c r="H18" i="5"/>
  <c r="H19" i="5"/>
  <c r="H20" i="5"/>
  <c r="H21" i="5"/>
  <c r="H2" i="5"/>
  <c r="I3" i="5"/>
  <c r="I4" i="5"/>
  <c r="I5" i="5"/>
  <c r="I6" i="5"/>
  <c r="I7" i="5"/>
  <c r="I8" i="5"/>
  <c r="I9" i="5"/>
  <c r="I10" i="5"/>
  <c r="I11" i="5"/>
  <c r="I12" i="5"/>
  <c r="I13" i="5"/>
  <c r="I14" i="5"/>
  <c r="I15" i="5"/>
  <c r="I16" i="5"/>
  <c r="I17" i="5"/>
  <c r="I18" i="5"/>
  <c r="I19" i="5"/>
  <c r="I20" i="5"/>
  <c r="I21" i="5"/>
  <c r="I2" i="5"/>
  <c r="J3" i="5"/>
  <c r="J4" i="5"/>
  <c r="J5" i="5"/>
  <c r="J6" i="5"/>
  <c r="J7" i="5"/>
  <c r="J8" i="5"/>
  <c r="J9" i="5"/>
  <c r="J10" i="5"/>
  <c r="J11" i="5"/>
  <c r="J12" i="5"/>
  <c r="J13" i="5"/>
  <c r="J14" i="5"/>
  <c r="J15" i="5"/>
  <c r="J16" i="5"/>
  <c r="J17" i="5"/>
  <c r="J18" i="5"/>
  <c r="J19" i="5"/>
  <c r="J20" i="5"/>
  <c r="J21" i="5"/>
  <c r="J2" i="5"/>
  <c r="G3" i="5"/>
  <c r="G4" i="5"/>
  <c r="G5" i="5"/>
  <c r="G6" i="5"/>
  <c r="G7" i="5"/>
  <c r="G8" i="5"/>
  <c r="G9" i="5"/>
  <c r="G10" i="5"/>
  <c r="G11" i="5"/>
  <c r="G12" i="5"/>
  <c r="G13" i="5"/>
  <c r="G14" i="5"/>
  <c r="G15" i="5"/>
  <c r="G16" i="5"/>
  <c r="G17" i="5"/>
  <c r="G18" i="5"/>
  <c r="G19" i="5"/>
  <c r="G20" i="5"/>
  <c r="G21" i="5"/>
  <c r="G2" i="5"/>
  <c r="AP4" i="7" s="1" a="1"/>
  <c r="A3" i="5"/>
  <c r="A4" i="5"/>
  <c r="A5" i="5"/>
  <c r="A6" i="5"/>
  <c r="A7" i="5"/>
  <c r="A8" i="5"/>
  <c r="A9" i="5"/>
  <c r="A10" i="5"/>
  <c r="A11" i="5"/>
  <c r="A12" i="5"/>
  <c r="A13" i="5"/>
  <c r="A14" i="5"/>
  <c r="A15" i="5"/>
  <c r="A16" i="5"/>
  <c r="A17" i="5"/>
  <c r="A18" i="5"/>
  <c r="A19" i="5"/>
  <c r="A20" i="5"/>
  <c r="A21" i="5"/>
  <c r="A2" i="5"/>
  <c r="G3" i="7" l="1" a="1"/>
  <c r="U3" i="7" a="1"/>
  <c r="W3" i="7" a="1"/>
  <c r="V3" i="7" a="1"/>
  <c r="AB3" i="7" a="1"/>
  <c r="AI13" i="7" a="1"/>
  <c r="AI4" i="7" a="1"/>
  <c r="AB6" i="7" a="1"/>
  <c r="AB20" i="7" a="1"/>
  <c r="AP10" i="7" a="1"/>
  <c r="AP18" i="7" a="1"/>
  <c r="AI10" i="7" a="1"/>
  <c r="AB14" i="7" a="1"/>
  <c r="AP17" i="7" a="1"/>
  <c r="AI16" i="7" a="1"/>
  <c r="AB10" i="7" a="1"/>
  <c r="AP14" i="7" a="1"/>
  <c r="AB19" i="7" a="1"/>
  <c r="AI3" i="7" a="1"/>
  <c r="AB15" i="7" a="1"/>
  <c r="AP15" i="7" a="1"/>
  <c r="AB11" i="7" a="1"/>
  <c r="AP22" i="7" a="1"/>
  <c r="AB5" i="7" a="1"/>
  <c r="AB22" i="7" a="1"/>
  <c r="AP16" i="7" a="1"/>
  <c r="AI15" i="7" a="1"/>
  <c r="AB13" i="7" a="1"/>
  <c r="AP7" i="7" a="1"/>
  <c r="AI12" i="7" a="1"/>
  <c r="AB4" i="7" a="1"/>
  <c r="AP5" i="7" a="1"/>
  <c r="AI5" i="7" a="1"/>
  <c r="AI22" i="7" a="1"/>
  <c r="AB16" i="7" a="1"/>
  <c r="AP8" i="7" a="1"/>
  <c r="AP21" i="7" a="1"/>
  <c r="AI19" i="7" a="1"/>
  <c r="AB17" i="7" a="1"/>
  <c r="AP6" i="7" a="1"/>
  <c r="AP20" i="7" a="1"/>
  <c r="AI20" i="7" a="1"/>
  <c r="AB12" i="7" a="1"/>
  <c r="AP9" i="7" a="1"/>
  <c r="AP3" i="7" a="1"/>
  <c r="AI21" i="7" a="1"/>
  <c r="AB18" i="7" a="1"/>
  <c r="AP11" i="7" a="1"/>
  <c r="AI18" i="7" a="1"/>
  <c r="AB21" i="7" a="1"/>
  <c r="AP19" i="7" a="1"/>
  <c r="AB7" i="7" a="1"/>
  <c r="AP13" i="7" a="1"/>
  <c r="AI17" i="7" a="1"/>
  <c r="AB9" i="7" a="1"/>
  <c r="AP12" i="7" a="1"/>
  <c r="AI14" i="7" a="1"/>
  <c r="AB8" i="7" a="1"/>
  <c r="AR9" i="7" a="1"/>
  <c r="AR14" i="7" a="1"/>
  <c r="AQ10" i="7" a="1"/>
  <c r="AE10" i="7" a="1"/>
  <c r="AD6" i="7" a="1"/>
  <c r="AD3" i="7" a="1"/>
  <c r="AC19" i="7" a="1"/>
  <c r="AS16" i="7" a="1"/>
  <c r="AS21" i="7" a="1"/>
  <c r="AQ17" i="7" a="1"/>
  <c r="AE14" i="7" a="1"/>
  <c r="AD8" i="7" a="1"/>
  <c r="AC5" i="7" a="1"/>
  <c r="AC21" i="7" a="1"/>
  <c r="AS13" i="7" a="1"/>
  <c r="AS18" i="7" a="1"/>
  <c r="AR15" i="7" a="1"/>
  <c r="AR20" i="7" a="1"/>
  <c r="AQ6" i="7" a="1"/>
  <c r="AQ13" i="7" a="1"/>
  <c r="AE6" i="7" a="1"/>
  <c r="AE21" i="7" a="1"/>
  <c r="AD18" i="7" a="1"/>
  <c r="AC18" i="7" a="1"/>
  <c r="AS4" i="7" a="1"/>
  <c r="AR12" i="7" a="1"/>
  <c r="AR17" i="7" a="1"/>
  <c r="AQ4" i="7" a="1"/>
  <c r="AQ11" i="7" a="1"/>
  <c r="AQ22" i="7" a="1"/>
  <c r="AE4" i="7" a="1"/>
  <c r="AE19" i="7" a="1"/>
  <c r="AD15" i="7" a="1"/>
  <c r="AC11" i="7" a="1"/>
  <c r="AS6" i="7" a="1"/>
  <c r="AQ5" i="7" a="1"/>
  <c r="AQ15" i="7" a="1"/>
  <c r="AE7" i="7" a="1"/>
  <c r="AE22" i="7" a="1"/>
  <c r="AD17" i="7" a="1"/>
  <c r="AC12" i="7" a="1"/>
  <c r="AS8" i="7" a="1"/>
  <c r="AS15" i="7" a="1"/>
  <c r="AQ9" i="7" a="1"/>
  <c r="AE13" i="7" a="1"/>
  <c r="AD5" i="7" a="1"/>
  <c r="AD21" i="7" a="1"/>
  <c r="AC17" i="7" a="1"/>
  <c r="AS9" i="7" a="1"/>
  <c r="AS11" i="7" a="1"/>
  <c r="AR16" i="7" a="1"/>
  <c r="AE18" i="7" a="1"/>
  <c r="AD14" i="7" a="1"/>
  <c r="AC9" i="7" a="1"/>
  <c r="AS14" i="7" a="1"/>
  <c r="AS19" i="7" a="1"/>
  <c r="AE15" i="7" a="1"/>
  <c r="AD7" i="7" a="1"/>
  <c r="AD22" i="7" a="1"/>
  <c r="AC16" i="7" a="1"/>
  <c r="AR10" i="7" a="1"/>
  <c r="AQ12" i="7" a="1"/>
  <c r="AE11" i="7" a="1"/>
  <c r="AD10" i="7" a="1"/>
  <c r="AC4" i="7" a="1"/>
  <c r="AC20" i="7" a="1"/>
  <c r="AR4" i="7" a="1"/>
  <c r="AR11" i="7" a="1"/>
  <c r="AQ21" i="7" a="1"/>
  <c r="AE17" i="7" a="1"/>
  <c r="AD13" i="7" a="1"/>
  <c r="AC7" i="7" a="1"/>
  <c r="AC3" i="7" a="1"/>
  <c r="AS5" i="7" a="1"/>
  <c r="AS10" i="7" a="1"/>
  <c r="AR6" i="7" a="1"/>
  <c r="AR18" i="7" a="1"/>
  <c r="AR22" i="7" a="1"/>
  <c r="AQ7" i="7" a="1"/>
  <c r="AQ18" i="7" a="1"/>
  <c r="AE9" i="7" a="1"/>
  <c r="AE3" i="7" a="1"/>
  <c r="AD19" i="7" a="1"/>
  <c r="AC15" i="7" a="1"/>
  <c r="AS7" i="7" a="1"/>
  <c r="AS12" i="7" a="1"/>
  <c r="AR13" i="7" a="1"/>
  <c r="AR19" i="7" a="1"/>
  <c r="AR3" i="7" a="1"/>
  <c r="AQ8" i="7" a="1"/>
  <c r="AQ20" i="7" a="1"/>
  <c r="AE16" i="7" a="1"/>
  <c r="AD12" i="7" a="1"/>
  <c r="AC8" i="7" a="1"/>
  <c r="AS3" i="7" a="1"/>
  <c r="AR7" i="7" a="1"/>
  <c r="AQ16" i="7" a="1"/>
  <c r="AE5" i="7" a="1"/>
  <c r="AE20" i="7" a="1"/>
  <c r="AD16" i="7" a="1"/>
  <c r="AC10" i="7" a="1"/>
  <c r="AS17" i="7" a="1"/>
  <c r="AR21" i="7" a="1"/>
  <c r="AQ3" i="7" a="1"/>
  <c r="AE8" i="7" a="1"/>
  <c r="AD11" i="7" a="1"/>
  <c r="AC6" i="7" a="1"/>
  <c r="AC22" i="7" a="1"/>
  <c r="AS20" i="7" a="1"/>
  <c r="AR5" i="7" a="1"/>
  <c r="AQ14" i="7" a="1"/>
  <c r="AE12" i="7" a="1"/>
  <c r="AD4" i="7" a="1"/>
  <c r="AD20" i="7" a="1"/>
  <c r="AC14" i="7" a="1"/>
  <c r="AS22" i="7" a="1"/>
  <c r="AR8" i="7" a="1"/>
  <c r="AQ19" i="7" a="1"/>
  <c r="AD9" i="7" a="1"/>
  <c r="AC13" i="7" a="1"/>
  <c r="AL4" i="7" a="1"/>
  <c r="AL19" i="7" a="1"/>
  <c r="AK9" i="7" a="1"/>
  <c r="AK22" i="7" a="1"/>
  <c r="AJ22" i="7" a="1"/>
  <c r="AL7" i="7" a="1"/>
  <c r="AK4" i="7" a="1"/>
  <c r="AK19" i="7" a="1"/>
  <c r="AJ7" i="7" a="1"/>
  <c r="AJ21" i="7" a="1"/>
  <c r="AL8" i="7" a="1"/>
  <c r="AL17" i="7" a="1"/>
  <c r="AK6" i="7" a="1"/>
  <c r="AK16" i="7" a="1"/>
  <c r="AJ11" i="7" a="1"/>
  <c r="AI6" i="7" a="1"/>
  <c r="AL5" i="7" a="1"/>
  <c r="AK8" i="7" a="1"/>
  <c r="AJ12" i="7" a="1"/>
  <c r="AL6" i="7" a="1"/>
  <c r="AL20" i="7" a="1"/>
  <c r="AK11" i="7" a="1"/>
  <c r="AJ5" i="7" a="1"/>
  <c r="AI7" i="7" a="1"/>
  <c r="AL10" i="7" a="1"/>
  <c r="AK7" i="7" a="1"/>
  <c r="AJ18" i="7" a="1"/>
  <c r="AL14" i="7" a="1"/>
  <c r="AK13" i="7" a="1"/>
  <c r="AK3" i="7" a="1"/>
  <c r="AJ16" i="7" a="1"/>
  <c r="AI11" i="7" a="1"/>
  <c r="AL12" i="7" a="1"/>
  <c r="AK12" i="7" a="1"/>
  <c r="AJ14" i="7" a="1"/>
  <c r="AI9" i="7" a="1"/>
  <c r="AL9" i="7" a="1"/>
  <c r="AK5" i="7" a="1"/>
  <c r="AK21" i="7" a="1"/>
  <c r="AJ15" i="7" a="1"/>
  <c r="AL18" i="7" a="1"/>
  <c r="AK18" i="7" a="1"/>
  <c r="AJ10" i="7" a="1"/>
  <c r="AJ19" i="7" a="1"/>
  <c r="AL11" i="7" a="1"/>
  <c r="AL3" i="7" a="1"/>
  <c r="AK14" i="7" a="1"/>
  <c r="AJ13" i="7" a="1"/>
  <c r="AI8" i="7" a="1"/>
  <c r="AL13" i="7" a="1"/>
  <c r="AK10" i="7" a="1"/>
  <c r="AJ8" i="7" a="1"/>
  <c r="AL21" i="7" a="1"/>
  <c r="AK20" i="7" a="1"/>
  <c r="AL22" i="7" a="1"/>
  <c r="AJ4" i="7" a="1"/>
  <c r="AJ3" i="7" a="1"/>
  <c r="AL16" i="7" a="1"/>
  <c r="AK17" i="7" a="1"/>
  <c r="AJ9" i="7" a="1"/>
  <c r="AJ20" i="7" a="1"/>
  <c r="AL15" i="7" a="1"/>
  <c r="AK15" i="7" a="1"/>
  <c r="AJ6" i="7" a="1"/>
  <c r="AJ17" i="7" a="1"/>
  <c r="W4" i="7" a="1"/>
  <c r="X4" i="7" a="1"/>
  <c r="U4" i="7" a="1"/>
  <c r="V4" i="7" a="1"/>
  <c r="M4" i="7"/>
  <c r="B4" i="2"/>
  <c r="N4" i="7" a="1"/>
  <c r="P3" i="7" a="1"/>
  <c r="N3" i="7" a="1"/>
  <c r="O3" i="7" a="1"/>
  <c r="Q3" i="7" a="1"/>
  <c r="J4" i="7" a="1"/>
  <c r="G4" i="7" a="1"/>
  <c r="J3" i="7" a="1"/>
  <c r="H4" i="7" a="1"/>
  <c r="I4" i="7" a="1"/>
  <c r="I3" i="7" a="1"/>
  <c r="H3" i="7" a="1"/>
  <c r="F5" i="7" l="1"/>
  <c r="M5" i="7"/>
  <c r="T5" i="7"/>
  <c r="B5" i="2"/>
  <c r="O4" i="7" a="1"/>
  <c r="Q4" i="7" a="1"/>
  <c r="P4" i="7" a="1"/>
  <c r="H5" i="7" l="1" a="1"/>
  <c r="J5" i="7" a="1"/>
  <c r="I5" i="7" a="1"/>
  <c r="G5" i="7" a="1"/>
  <c r="N5" i="7" a="1"/>
  <c r="P5" i="7" a="1"/>
  <c r="Q5" i="7" a="1"/>
  <c r="O5" i="7" a="1"/>
  <c r="X5" i="7" a="1"/>
  <c r="V5" i="7" a="1"/>
  <c r="W5" i="7" a="1"/>
  <c r="U5" i="7" a="1"/>
  <c r="F6" i="7"/>
  <c r="M6" i="7"/>
  <c r="T6" i="7"/>
  <c r="B6" i="2"/>
  <c r="I6" i="7" l="1" a="1"/>
  <c r="H6" i="7" a="1"/>
  <c r="J6" i="7" a="1"/>
  <c r="G6" i="7" a="1"/>
  <c r="N6" i="7" a="1"/>
  <c r="P6" i="7" a="1"/>
  <c r="Q6" i="7" a="1"/>
  <c r="O6" i="7" a="1"/>
  <c r="U6" i="7" a="1"/>
  <c r="W6" i="7" a="1"/>
  <c r="X6" i="7" a="1"/>
  <c r="V6" i="7" a="1"/>
  <c r="F7" i="7"/>
  <c r="M7" i="7"/>
  <c r="T7" i="7"/>
  <c r="B7" i="2"/>
  <c r="I7" i="7" l="1" a="1"/>
  <c r="H7" i="7" a="1"/>
  <c r="G7" i="7" a="1"/>
  <c r="J7" i="7" a="1"/>
  <c r="N7" i="7" a="1"/>
  <c r="P7" i="7" a="1"/>
  <c r="Q7" i="7" a="1"/>
  <c r="O7" i="7" a="1"/>
  <c r="V7" i="7" a="1"/>
  <c r="X7" i="7" a="1"/>
  <c r="U7" i="7" a="1"/>
  <c r="W7" i="7" a="1"/>
  <c r="F8" i="7"/>
  <c r="M8" i="7"/>
  <c r="T8" i="7"/>
  <c r="B8" i="2"/>
  <c r="H8" i="7" l="1" a="1"/>
  <c r="J8" i="7" a="1"/>
  <c r="I8" i="7" a="1"/>
  <c r="G8" i="7" a="1"/>
  <c r="Q8" i="7" a="1"/>
  <c r="P8" i="7" a="1"/>
  <c r="O8" i="7" a="1"/>
  <c r="N8" i="7" a="1"/>
  <c r="W8" i="7" a="1"/>
  <c r="X8" i="7" a="1"/>
  <c r="V8" i="7" a="1"/>
  <c r="U8" i="7" a="1"/>
  <c r="F9" i="7"/>
  <c r="M9" i="7"/>
  <c r="T9" i="7"/>
  <c r="B9" i="2"/>
  <c r="I9" i="7" l="1" a="1"/>
  <c r="J9" i="7" a="1"/>
  <c r="H9" i="7" a="1"/>
  <c r="G9" i="7" a="1"/>
  <c r="P9" i="7" a="1"/>
  <c r="Q9" i="7" a="1"/>
  <c r="O9" i="7" a="1"/>
  <c r="N9" i="7" a="1"/>
  <c r="U9" i="7" a="1"/>
  <c r="X9" i="7" a="1"/>
  <c r="V9" i="7" a="1"/>
  <c r="W9" i="7" a="1"/>
  <c r="F10" i="7"/>
  <c r="M10" i="7"/>
  <c r="T10" i="7"/>
  <c r="B10" i="2"/>
  <c r="H10" i="7" l="1" a="1"/>
  <c r="I10" i="7" a="1"/>
  <c r="J10" i="7" a="1"/>
  <c r="G10" i="7" a="1"/>
  <c r="P10" i="7" a="1"/>
  <c r="Q10" i="7" a="1"/>
  <c r="N10" i="7" a="1"/>
  <c r="O10" i="7" a="1"/>
  <c r="W10" i="7" a="1"/>
  <c r="X10" i="7" a="1"/>
  <c r="U10" i="7" a="1"/>
  <c r="V10" i="7" a="1"/>
  <c r="F11" i="7"/>
  <c r="M11" i="7"/>
  <c r="T11" i="7"/>
  <c r="B11" i="2"/>
  <c r="I11" i="7" l="1" a="1"/>
  <c r="J11" i="7" a="1"/>
  <c r="H11" i="7" a="1"/>
  <c r="G11" i="7" a="1"/>
  <c r="P11" i="7" a="1"/>
  <c r="Q11" i="7" a="1"/>
  <c r="O11" i="7" a="1"/>
  <c r="N11" i="7" a="1"/>
  <c r="V11" i="7" a="1"/>
  <c r="U11" i="7" a="1"/>
  <c r="W11" i="7" a="1"/>
  <c r="X11" i="7" a="1"/>
  <c r="F12" i="7"/>
  <c r="M12" i="7"/>
  <c r="T12" i="7"/>
  <c r="B12" i="2"/>
  <c r="J12" i="7" l="1" a="1"/>
  <c r="I12" i="7" a="1"/>
  <c r="H12" i="7" a="1"/>
  <c r="G12" i="7" a="1"/>
  <c r="Q12" i="7" a="1"/>
  <c r="P12" i="7" a="1"/>
  <c r="O12" i="7" a="1"/>
  <c r="N12" i="7" a="1"/>
  <c r="W12" i="7" a="1"/>
  <c r="V12" i="7" a="1"/>
  <c r="X12" i="7" a="1"/>
  <c r="U12" i="7" a="1"/>
  <c r="F13" i="7"/>
  <c r="M13" i="7"/>
  <c r="T13" i="7"/>
  <c r="B13" i="2"/>
  <c r="J13" i="7" l="1" a="1"/>
  <c r="I13" i="7" a="1"/>
  <c r="H13" i="7" a="1"/>
  <c r="G13" i="7" a="1"/>
  <c r="N13" i="7" a="1"/>
  <c r="Q13" i="7" a="1"/>
  <c r="P13" i="7" a="1"/>
  <c r="O13" i="7" a="1"/>
  <c r="V13" i="7" a="1"/>
  <c r="W13" i="7" a="1"/>
  <c r="X13" i="7" a="1"/>
  <c r="U13" i="7" a="1"/>
  <c r="F14" i="7"/>
  <c r="M14" i="7"/>
  <c r="T14" i="7"/>
  <c r="B14" i="2"/>
  <c r="I14" i="7" l="1" a="1"/>
  <c r="J14" i="7" a="1"/>
  <c r="H14" i="7" a="1"/>
  <c r="G14" i="7" a="1"/>
  <c r="P14" i="7" a="1"/>
  <c r="N14" i="7" a="1"/>
  <c r="Q14" i="7" a="1"/>
  <c r="O14" i="7" a="1"/>
  <c r="U14" i="7" a="1"/>
  <c r="X14" i="7" a="1"/>
  <c r="V14" i="7" a="1"/>
  <c r="W14" i="7" a="1"/>
  <c r="F15" i="7"/>
  <c r="M15" i="7"/>
  <c r="T15" i="7"/>
  <c r="B15" i="2"/>
  <c r="J15" i="7" l="1" a="1"/>
  <c r="H15" i="7" a="1"/>
  <c r="I15" i="7" a="1"/>
  <c r="G15" i="7" a="1"/>
  <c r="N15" i="7" a="1"/>
  <c r="Q15" i="7" a="1"/>
  <c r="P15" i="7" a="1"/>
  <c r="O15" i="7" a="1"/>
  <c r="U15" i="7" a="1"/>
  <c r="V15" i="7" a="1"/>
  <c r="X15" i="7" a="1"/>
  <c r="W15" i="7" a="1"/>
  <c r="F16" i="7"/>
  <c r="M16" i="7"/>
  <c r="T16" i="7"/>
  <c r="B16" i="2"/>
  <c r="H16" i="7" l="1" a="1"/>
  <c r="I16" i="7" a="1"/>
  <c r="J16" i="7" a="1"/>
  <c r="G16" i="7" a="1"/>
  <c r="N16" i="7" a="1"/>
  <c r="P16" i="7" a="1"/>
  <c r="Q16" i="7" a="1"/>
  <c r="O16" i="7" a="1"/>
  <c r="X16" i="7" a="1"/>
  <c r="V16" i="7" a="1"/>
  <c r="U16" i="7" a="1"/>
  <c r="W16" i="7" a="1"/>
  <c r="F17" i="7"/>
  <c r="M17" i="7"/>
  <c r="T17" i="7"/>
  <c r="B17" i="2"/>
  <c r="J17" i="7" l="1" a="1"/>
  <c r="I17" i="7" a="1"/>
  <c r="H17" i="7" a="1"/>
  <c r="G17" i="7" a="1"/>
  <c r="Q17" i="7" a="1"/>
  <c r="P17" i="7" a="1"/>
  <c r="O17" i="7" a="1"/>
  <c r="N17" i="7" a="1"/>
  <c r="U17" i="7" a="1"/>
  <c r="W17" i="7" a="1"/>
  <c r="V17" i="7" a="1"/>
  <c r="X17" i="7" a="1"/>
  <c r="F18" i="7"/>
  <c r="M18" i="7"/>
  <c r="T18" i="7"/>
  <c r="B18" i="2"/>
  <c r="J18" i="7" l="1" a="1"/>
  <c r="I18" i="7" a="1"/>
  <c r="H18" i="7" a="1"/>
  <c r="G18" i="7" a="1"/>
  <c r="N18" i="7" a="1"/>
  <c r="Q18" i="7" a="1"/>
  <c r="P18" i="7" a="1"/>
  <c r="O18" i="7" a="1"/>
  <c r="V18" i="7" a="1"/>
  <c r="W18" i="7" a="1"/>
  <c r="U18" i="7" a="1"/>
  <c r="X18" i="7" a="1"/>
  <c r="F19" i="7"/>
  <c r="M19" i="7"/>
  <c r="T19" i="7"/>
  <c r="B19" i="2"/>
  <c r="H19" i="7" l="1" a="1"/>
  <c r="I19" i="7" a="1"/>
  <c r="J19" i="7" a="1"/>
  <c r="G19" i="7" a="1"/>
  <c r="Q19" i="7" a="1"/>
  <c r="P19" i="7" a="1"/>
  <c r="O19" i="7" a="1"/>
  <c r="N19" i="7" a="1"/>
  <c r="U19" i="7" a="1"/>
  <c r="X19" i="7" a="1"/>
  <c r="W19" i="7" a="1"/>
  <c r="V19" i="7" a="1"/>
  <c r="F20" i="7"/>
  <c r="M20" i="7"/>
  <c r="T20" i="7"/>
  <c r="B20" i="2"/>
  <c r="I20" i="7" l="1" a="1"/>
  <c r="J20" i="7" a="1"/>
  <c r="H20" i="7" a="1"/>
  <c r="G20" i="7" a="1"/>
  <c r="N20" i="7" a="1"/>
  <c r="P20" i="7" a="1"/>
  <c r="Q20" i="7" a="1"/>
  <c r="O20" i="7" a="1"/>
  <c r="X20" i="7" a="1"/>
  <c r="W20" i="7" a="1"/>
  <c r="V20" i="7" a="1"/>
  <c r="U20" i="7" a="1"/>
  <c r="F21" i="7"/>
  <c r="M21" i="7"/>
  <c r="T21" i="7"/>
  <c r="B21" i="2"/>
  <c r="J21" i="7" l="1" a="1"/>
  <c r="H21" i="7" a="1"/>
  <c r="I21" i="7" a="1"/>
  <c r="G21" i="7" a="1"/>
  <c r="P21" i="7" a="1"/>
  <c r="O21" i="7" a="1"/>
  <c r="Q21" i="7" a="1"/>
  <c r="N21" i="7" a="1"/>
  <c r="X21" i="7" a="1"/>
  <c r="W21" i="7" a="1"/>
  <c r="V21" i="7" a="1"/>
  <c r="U21" i="7" a="1"/>
  <c r="F22" i="7"/>
  <c r="M22" i="7"/>
  <c r="T22" i="7"/>
  <c r="B22" i="2"/>
  <c r="H22" i="7" l="1" a="1"/>
  <c r="I22" i="7" a="1"/>
  <c r="G22" i="7" a="1"/>
  <c r="J22" i="7" a="1"/>
  <c r="N22" i="7" a="1"/>
  <c r="Q22" i="7" a="1"/>
  <c r="P22" i="7" a="1"/>
  <c r="O22" i="7" a="1"/>
  <c r="X22" i="7" a="1"/>
  <c r="W22" i="7" a="1"/>
  <c r="U22" i="7" a="1"/>
  <c r="V22" i="7" a="1"/>
  <c r="F23" i="7"/>
  <c r="M23" i="7"/>
  <c r="T23" i="7"/>
  <c r="B23" i="2"/>
  <c r="H23" i="7" l="1" a="1"/>
  <c r="J23" i="7" a="1"/>
  <c r="I23" i="7" a="1"/>
  <c r="G23" i="7" a="1"/>
  <c r="Q23" i="7" a="1"/>
  <c r="P23" i="7" a="1"/>
  <c r="O23" i="7" a="1"/>
  <c r="N23" i="7" a="1"/>
  <c r="W23" i="7" a="1"/>
  <c r="V23" i="7" a="1"/>
  <c r="X23" i="7" a="1"/>
  <c r="U23" i="7" a="1"/>
  <c r="F24" i="7"/>
  <c r="M24" i="7"/>
  <c r="T24" i="7"/>
  <c r="B24" i="2"/>
  <c r="G24" i="7" l="1" a="1"/>
  <c r="I24" i="7" a="1"/>
  <c r="J24" i="7" a="1"/>
  <c r="H24" i="7" a="1"/>
  <c r="Q24" i="7" a="1"/>
  <c r="O24" i="7" a="1"/>
  <c r="N24" i="7" a="1"/>
  <c r="P24" i="7" a="1"/>
  <c r="X24" i="7" a="1"/>
  <c r="V24" i="7" a="1"/>
  <c r="W24" i="7" a="1"/>
  <c r="U24" i="7" a="1"/>
  <c r="F25" i="7"/>
  <c r="M25" i="7"/>
  <c r="T25" i="7"/>
  <c r="B25" i="2"/>
  <c r="G25" i="7" l="1" a="1"/>
  <c r="H25" i="7" a="1"/>
  <c r="I25" i="7" a="1"/>
  <c r="J25" i="7" a="1"/>
  <c r="P25" i="7" a="1"/>
  <c r="Q25" i="7" a="1"/>
  <c r="O25" i="7" a="1"/>
  <c r="N25" i="7" a="1"/>
  <c r="V25" i="7" a="1"/>
  <c r="W25" i="7" a="1"/>
  <c r="U25" i="7" a="1"/>
  <c r="X25" i="7" a="1"/>
  <c r="F26" i="7"/>
  <c r="M26" i="7"/>
  <c r="T26" i="7"/>
  <c r="B26" i="2"/>
  <c r="G26" i="7" l="1" a="1"/>
  <c r="I26" i="7" a="1"/>
  <c r="J26" i="7" a="1"/>
  <c r="H26" i="7" a="1"/>
  <c r="N26" i="7" a="1"/>
  <c r="Q26" i="7" a="1"/>
  <c r="P26" i="7" a="1"/>
  <c r="O26" i="7" a="1"/>
  <c r="V26" i="7" a="1"/>
  <c r="X26" i="7" a="1"/>
  <c r="W26" i="7" a="1"/>
  <c r="U26" i="7" a="1"/>
  <c r="F27" i="7"/>
  <c r="M27" i="7"/>
  <c r="T27" i="7"/>
  <c r="B27" i="2"/>
  <c r="I27" i="7" l="1" a="1"/>
  <c r="H27" i="7" a="1"/>
  <c r="G27" i="7" a="1"/>
  <c r="J27" i="7" a="1"/>
  <c r="P27" i="7" a="1"/>
  <c r="N27" i="7" a="1"/>
  <c r="Q27" i="7" a="1"/>
  <c r="O27" i="7" a="1"/>
  <c r="V27" i="7" a="1"/>
  <c r="U27" i="7" a="1"/>
  <c r="W27" i="7" a="1"/>
  <c r="X27" i="7" a="1"/>
  <c r="F28" i="7"/>
  <c r="M28" i="7"/>
  <c r="T28" i="7"/>
  <c r="B28" i="2"/>
  <c r="H28" i="7" l="1" a="1"/>
  <c r="J28" i="7" a="1"/>
  <c r="G28" i="7" a="1"/>
  <c r="I28" i="7" a="1"/>
  <c r="N28" i="7" a="1"/>
  <c r="P28" i="7" a="1"/>
  <c r="Q28" i="7" a="1"/>
  <c r="O28" i="7" a="1"/>
  <c r="U28" i="7" a="1"/>
  <c r="X28" i="7" a="1"/>
  <c r="V28" i="7" a="1"/>
  <c r="W28" i="7" a="1"/>
  <c r="F29" i="7"/>
  <c r="M29" i="7"/>
  <c r="T29" i="7"/>
  <c r="B29" i="2"/>
  <c r="I29" i="7" l="1" a="1"/>
  <c r="H29" i="7" a="1"/>
  <c r="J29" i="7" a="1"/>
  <c r="G29" i="7" a="1"/>
  <c r="Q29" i="7" a="1"/>
  <c r="O29" i="7" a="1"/>
  <c r="P29" i="7" a="1"/>
  <c r="N29" i="7" a="1"/>
  <c r="W29" i="7" a="1"/>
  <c r="U29" i="7" a="1"/>
  <c r="X29" i="7" a="1"/>
  <c r="V29" i="7" a="1"/>
  <c r="F30" i="7"/>
  <c r="M30" i="7"/>
  <c r="T30" i="7"/>
  <c r="B30" i="2"/>
  <c r="G30" i="7" l="1" a="1"/>
  <c r="H30" i="7" a="1"/>
  <c r="I30" i="7" a="1"/>
  <c r="J30" i="7" a="1"/>
  <c r="Q30" i="7" a="1"/>
  <c r="O30" i="7" a="1"/>
  <c r="P30" i="7" a="1"/>
  <c r="N30" i="7" a="1"/>
  <c r="V30" i="7" a="1"/>
  <c r="W30" i="7" a="1"/>
  <c r="X30" i="7" a="1"/>
  <c r="U30" i="7" a="1"/>
  <c r="F31" i="7"/>
  <c r="M31" i="7"/>
  <c r="T31" i="7"/>
  <c r="B31" i="2"/>
  <c r="J31" i="7" l="1" a="1"/>
  <c r="I31" i="7" a="1"/>
  <c r="H31" i="7" a="1"/>
  <c r="G31" i="7" a="1"/>
  <c r="Q31" i="7" a="1"/>
  <c r="P31" i="7" a="1"/>
  <c r="O31" i="7" a="1"/>
  <c r="N31" i="7" a="1"/>
  <c r="U31" i="7" a="1"/>
  <c r="W31" i="7" a="1"/>
  <c r="V31" i="7" a="1"/>
  <c r="X31" i="7" a="1"/>
  <c r="F32" i="7"/>
  <c r="M32" i="7"/>
  <c r="T32" i="7"/>
  <c r="B32" i="2"/>
  <c r="I32" i="7" l="1" a="1"/>
  <c r="J32" i="7" a="1"/>
  <c r="H32" i="7" a="1"/>
  <c r="G32" i="7" a="1"/>
  <c r="Q32" i="7" a="1"/>
  <c r="P32" i="7" a="1"/>
  <c r="O32" i="7" a="1"/>
  <c r="N32" i="7" a="1"/>
  <c r="X32" i="7" a="1"/>
  <c r="V32" i="7" a="1"/>
  <c r="U32" i="7" a="1"/>
  <c r="W32" i="7" a="1"/>
  <c r="F33" i="7"/>
  <c r="M33" i="7"/>
  <c r="T33" i="7"/>
  <c r="B33" i="2"/>
  <c r="J33" i="7" l="1" a="1"/>
  <c r="I33" i="7" a="1"/>
  <c r="H33" i="7" a="1"/>
  <c r="G33" i="7" a="1"/>
  <c r="P33" i="7" a="1"/>
  <c r="Q33" i="7" a="1"/>
  <c r="O33" i="7" a="1"/>
  <c r="N33" i="7" a="1"/>
  <c r="U33" i="7" a="1"/>
  <c r="W33" i="7" a="1"/>
  <c r="V33" i="7" a="1"/>
  <c r="X33" i="7" a="1"/>
  <c r="F34" i="7"/>
  <c r="M34" i="7"/>
  <c r="T34" i="7"/>
  <c r="B34" i="2"/>
  <c r="J34" i="7" l="1" a="1"/>
  <c r="G34" i="7" a="1"/>
  <c r="I34" i="7" a="1"/>
  <c r="H34" i="7" a="1"/>
  <c r="P34" i="7" a="1"/>
  <c r="Q34" i="7" a="1"/>
  <c r="N34" i="7" a="1"/>
  <c r="O34" i="7" a="1"/>
  <c r="X34" i="7" a="1"/>
  <c r="W34" i="7" a="1"/>
  <c r="V34" i="7" a="1"/>
  <c r="U34" i="7" a="1"/>
  <c r="F35" i="7"/>
  <c r="M35" i="7"/>
  <c r="T35" i="7"/>
  <c r="B35" i="2"/>
  <c r="G35" i="7" l="1" a="1"/>
  <c r="I35" i="7" a="1"/>
  <c r="J35" i="7" a="1"/>
  <c r="H35" i="7" a="1"/>
  <c r="N35" i="7" a="1"/>
  <c r="P35" i="7" a="1"/>
  <c r="Q35" i="7" a="1"/>
  <c r="O35" i="7" a="1"/>
  <c r="V35" i="7" a="1"/>
  <c r="X35" i="7" a="1"/>
  <c r="W35" i="7" a="1"/>
  <c r="U35" i="7" a="1"/>
  <c r="F36" i="7"/>
  <c r="M36" i="7"/>
  <c r="T36" i="7"/>
  <c r="B36" i="2"/>
  <c r="G36" i="7" l="1" a="1"/>
  <c r="H36" i="7" a="1"/>
  <c r="J36" i="7" a="1"/>
  <c r="I36" i="7" a="1"/>
  <c r="N36" i="7" a="1"/>
  <c r="O36" i="7" a="1"/>
  <c r="Q36" i="7" a="1"/>
  <c r="P36" i="7" a="1"/>
  <c r="W36" i="7" a="1"/>
  <c r="U36" i="7" a="1"/>
  <c r="X36" i="7" a="1"/>
  <c r="V36" i="7" a="1"/>
  <c r="F37" i="7"/>
  <c r="M37" i="7"/>
  <c r="T37" i="7"/>
  <c r="B37" i="2"/>
  <c r="I37" i="7" l="1" a="1"/>
  <c r="G37" i="7" a="1"/>
  <c r="J37" i="7" a="1"/>
  <c r="H37" i="7" a="1"/>
  <c r="N37" i="7" a="1"/>
  <c r="Q37" i="7" a="1"/>
  <c r="O37" i="7" a="1"/>
  <c r="P37" i="7" a="1"/>
  <c r="X37" i="7" a="1"/>
  <c r="V37" i="7" a="1"/>
  <c r="W37" i="7" a="1"/>
  <c r="U37" i="7" a="1"/>
  <c r="F38" i="7"/>
  <c r="M38" i="7"/>
  <c r="T38" i="7"/>
  <c r="B38" i="2"/>
  <c r="H38" i="7" l="1" a="1"/>
  <c r="J38" i="7" a="1"/>
  <c r="G38" i="7" a="1"/>
  <c r="I38" i="7" a="1"/>
  <c r="Q38" i="7" a="1"/>
  <c r="P38" i="7" a="1"/>
  <c r="O38" i="7" a="1"/>
  <c r="N38" i="7" a="1"/>
  <c r="U38" i="7" a="1"/>
  <c r="X38" i="7" a="1"/>
  <c r="V38" i="7" a="1"/>
  <c r="W38" i="7" a="1"/>
  <c r="F39" i="7"/>
  <c r="M39" i="7"/>
  <c r="T39" i="7"/>
  <c r="B39" i="2"/>
  <c r="G39" i="7" l="1" a="1"/>
  <c r="H39" i="7" a="1"/>
  <c r="I39" i="7" a="1"/>
  <c r="J39" i="7" a="1"/>
  <c r="N39" i="7" a="1"/>
  <c r="Q39" i="7" a="1"/>
  <c r="O39" i="7" a="1"/>
  <c r="P39" i="7" a="1"/>
  <c r="X39" i="7" a="1"/>
  <c r="V39" i="7" a="1"/>
  <c r="U39" i="7" a="1"/>
  <c r="W39" i="7" a="1"/>
  <c r="F40" i="7"/>
  <c r="M40" i="7"/>
  <c r="T40" i="7"/>
  <c r="B40" i="2"/>
  <c r="H40" i="7" l="1" a="1"/>
  <c r="I40" i="7" a="1"/>
  <c r="J40" i="7" a="1"/>
  <c r="G40" i="7" a="1"/>
  <c r="Q40" i="7" a="1"/>
  <c r="P40" i="7" a="1"/>
  <c r="O40" i="7" a="1"/>
  <c r="N40" i="7" a="1"/>
  <c r="U40" i="7" a="1"/>
  <c r="V40" i="7" a="1"/>
  <c r="W40" i="7" a="1"/>
  <c r="X40" i="7" a="1"/>
  <c r="F41" i="7"/>
  <c r="M41" i="7"/>
  <c r="T41" i="7"/>
  <c r="B41" i="2"/>
  <c r="G41" i="7" l="1" a="1"/>
  <c r="J41" i="7" a="1"/>
  <c r="H41" i="7" a="1"/>
  <c r="I41" i="7" a="1"/>
  <c r="Q41" i="7" a="1"/>
  <c r="O41" i="7" a="1"/>
  <c r="P41" i="7" a="1"/>
  <c r="N41" i="7" a="1"/>
  <c r="U41" i="7" a="1"/>
  <c r="V41" i="7" a="1"/>
  <c r="X41" i="7" a="1"/>
  <c r="W41" i="7" a="1"/>
  <c r="F42" i="7"/>
  <c r="M42" i="7"/>
  <c r="T42" i="7"/>
  <c r="B42" i="2"/>
  <c r="G42" i="7" l="1" a="1"/>
  <c r="J42" i="7" a="1"/>
  <c r="I42" i="7" a="1"/>
  <c r="H42" i="7" a="1"/>
  <c r="Q42" i="7" a="1"/>
  <c r="N42" i="7" a="1"/>
  <c r="P42" i="7" a="1"/>
  <c r="O42" i="7" a="1"/>
  <c r="U42" i="7" a="1"/>
  <c r="V42" i="7" a="1"/>
  <c r="W42" i="7" a="1"/>
  <c r="X42" i="7" a="1"/>
  <c r="F43" i="7"/>
  <c r="M43" i="7"/>
  <c r="T43" i="7"/>
  <c r="B43" i="2"/>
  <c r="G43" i="7" l="1" a="1"/>
  <c r="J43" i="7" a="1"/>
  <c r="I43" i="7" a="1"/>
  <c r="H43" i="7" a="1"/>
  <c r="N43" i="7" a="1"/>
  <c r="Q43" i="7" a="1"/>
  <c r="P43" i="7" a="1"/>
  <c r="O43" i="7" a="1"/>
  <c r="V43" i="7" a="1"/>
  <c r="W43" i="7" a="1"/>
  <c r="X43" i="7" a="1"/>
  <c r="U43" i="7" a="1"/>
  <c r="F44" i="7"/>
  <c r="M44" i="7"/>
  <c r="T44" i="7"/>
  <c r="B44" i="2"/>
  <c r="I44" i="7" l="1" a="1"/>
  <c r="J44" i="7" a="1"/>
  <c r="G44" i="7" a="1"/>
  <c r="H44" i="7" a="1"/>
  <c r="N44" i="7" a="1"/>
  <c r="Q44" i="7" a="1"/>
  <c r="O44" i="7" a="1"/>
  <c r="P44" i="7" a="1"/>
  <c r="V44" i="7" a="1"/>
  <c r="U44" i="7" a="1"/>
  <c r="W44" i="7" a="1"/>
  <c r="X44" i="7" a="1"/>
  <c r="F45" i="7"/>
  <c r="M45" i="7"/>
  <c r="T45" i="7"/>
  <c r="B45" i="2"/>
  <c r="H45" i="7" l="1" a="1"/>
  <c r="J45" i="7" a="1"/>
  <c r="G45" i="7" a="1"/>
  <c r="I45" i="7" a="1"/>
  <c r="Q45" i="7" a="1"/>
  <c r="O45" i="7" a="1"/>
  <c r="P45" i="7" a="1"/>
  <c r="N45" i="7" a="1"/>
  <c r="W45" i="7" a="1"/>
  <c r="V45" i="7" a="1"/>
  <c r="U45" i="7" a="1"/>
  <c r="X45" i="7" a="1"/>
  <c r="F46" i="7"/>
  <c r="M46" i="7"/>
  <c r="T46" i="7"/>
  <c r="B46" i="2"/>
  <c r="G46" i="7" l="1" a="1"/>
  <c r="I46" i="7" a="1"/>
  <c r="J46" i="7" a="1"/>
  <c r="H46" i="7" a="1"/>
  <c r="Q46" i="7" a="1"/>
  <c r="O46" i="7" a="1"/>
  <c r="P46" i="7" a="1"/>
  <c r="N46" i="7" a="1"/>
  <c r="W46" i="7" a="1"/>
  <c r="X46" i="7" a="1"/>
  <c r="V46" i="7" a="1"/>
  <c r="U46" i="7" a="1"/>
  <c r="F47" i="7"/>
  <c r="M47" i="7"/>
  <c r="T47" i="7"/>
  <c r="B47" i="2"/>
  <c r="J47" i="7" l="1" a="1"/>
  <c r="H47" i="7" a="1"/>
  <c r="I47" i="7" a="1"/>
  <c r="G47" i="7" a="1"/>
  <c r="Q47" i="7" a="1"/>
  <c r="O47" i="7" a="1"/>
  <c r="P47" i="7" a="1"/>
  <c r="N47" i="7" a="1"/>
  <c r="U47" i="7" a="1"/>
  <c r="W47" i="7" a="1"/>
  <c r="V47" i="7" a="1"/>
  <c r="X47" i="7" a="1"/>
  <c r="F48" i="7"/>
  <c r="M48" i="7"/>
  <c r="T48" i="7"/>
  <c r="B48" i="2"/>
  <c r="J48" i="7" l="1" a="1"/>
  <c r="H48" i="7" a="1"/>
  <c r="I48" i="7" a="1"/>
  <c r="G48" i="7" a="1"/>
  <c r="Q48" i="7" a="1"/>
  <c r="O48" i="7" a="1"/>
  <c r="P48" i="7" a="1"/>
  <c r="N48" i="7" a="1"/>
  <c r="U48" i="7" a="1"/>
  <c r="V48" i="7" a="1"/>
  <c r="W48" i="7" a="1"/>
  <c r="X48" i="7" a="1"/>
  <c r="F49" i="7"/>
  <c r="M49" i="7"/>
  <c r="T49" i="7"/>
  <c r="B49" i="2"/>
  <c r="I49" i="7" l="1" a="1"/>
  <c r="G49" i="7" a="1"/>
  <c r="H49" i="7" a="1"/>
  <c r="J49" i="7" a="1"/>
  <c r="N49" i="7" a="1"/>
  <c r="Q49" i="7" a="1"/>
  <c r="O49" i="7" a="1"/>
  <c r="P49" i="7" a="1"/>
  <c r="V49" i="7" a="1"/>
  <c r="X49" i="7" a="1"/>
  <c r="U49" i="7" a="1"/>
  <c r="W49" i="7" a="1"/>
  <c r="F50" i="7"/>
  <c r="M50" i="7"/>
  <c r="T50" i="7"/>
  <c r="B50" i="2"/>
  <c r="H50" i="7" l="1" a="1"/>
  <c r="G50" i="7" a="1"/>
  <c r="J50" i="7" a="1"/>
  <c r="I50" i="7" a="1"/>
  <c r="N50" i="7" a="1"/>
  <c r="P50" i="7" a="1"/>
  <c r="O50" i="7" a="1"/>
  <c r="Q50" i="7" a="1"/>
  <c r="W50" i="7" a="1"/>
  <c r="X50" i="7" a="1"/>
  <c r="V50" i="7" a="1"/>
  <c r="U50" i="7" a="1"/>
  <c r="F51" i="7"/>
  <c r="M51" i="7"/>
  <c r="T51" i="7"/>
  <c r="B51" i="2"/>
  <c r="I51" i="7" l="1" a="1"/>
  <c r="H51" i="7" a="1"/>
  <c r="J51" i="7" a="1"/>
  <c r="G51" i="7" a="1"/>
  <c r="N51" i="7" a="1"/>
  <c r="Q51" i="7" a="1"/>
  <c r="O51" i="7" a="1"/>
  <c r="P51" i="7" a="1"/>
  <c r="U51" i="7" a="1"/>
  <c r="V51" i="7" a="1"/>
  <c r="X51" i="7" a="1"/>
  <c r="W51" i="7" a="1"/>
  <c r="F52" i="7"/>
  <c r="M52" i="7"/>
  <c r="T52" i="7"/>
  <c r="B52" i="2"/>
  <c r="G52" i="7" l="1" a="1"/>
  <c r="J52" i="7" a="1"/>
  <c r="I52" i="7" a="1"/>
  <c r="H52" i="7" a="1"/>
  <c r="Q52" i="7" a="1"/>
  <c r="P52" i="7" a="1"/>
  <c r="N52" i="7" a="1"/>
  <c r="O52" i="7" a="1"/>
  <c r="X52" i="7" a="1"/>
  <c r="W52" i="7" a="1"/>
  <c r="V52" i="7" a="1"/>
  <c r="U52" i="7" a="1"/>
  <c r="F53" i="7"/>
  <c r="M53" i="7"/>
  <c r="T53" i="7"/>
  <c r="B53" i="2"/>
  <c r="G53" i="7" l="1" a="1"/>
  <c r="H53" i="7" a="1"/>
  <c r="I53" i="7" a="1"/>
  <c r="J53" i="7" a="1"/>
  <c r="N53" i="7" a="1"/>
  <c r="Q53" i="7" a="1"/>
  <c r="P53" i="7" a="1"/>
  <c r="O53" i="7" a="1"/>
  <c r="X53" i="7" a="1"/>
  <c r="V53" i="7" a="1"/>
  <c r="U53" i="7" a="1"/>
  <c r="W53" i="7" a="1"/>
  <c r="F54" i="7"/>
  <c r="M54" i="7"/>
  <c r="T54" i="7"/>
  <c r="B54" i="2"/>
  <c r="H54" i="7" l="1" a="1"/>
  <c r="J54" i="7" a="1"/>
  <c r="I54" i="7" a="1"/>
  <c r="G54" i="7" a="1"/>
  <c r="Q54" i="7" a="1"/>
  <c r="P54" i="7" a="1"/>
  <c r="O54" i="7" a="1"/>
  <c r="N54" i="7" a="1"/>
  <c r="U54" i="7" a="1"/>
  <c r="V54" i="7" a="1"/>
  <c r="X54" i="7" a="1"/>
  <c r="W54" i="7" a="1"/>
  <c r="F55" i="7"/>
  <c r="M55" i="7"/>
  <c r="T55" i="7"/>
  <c r="B55" i="2"/>
  <c r="I55" i="7" l="1" a="1"/>
  <c r="J55" i="7" a="1"/>
  <c r="H55" i="7" a="1"/>
  <c r="G55" i="7" a="1"/>
  <c r="Q55" i="7" a="1"/>
  <c r="O55" i="7" a="1"/>
  <c r="P55" i="7" a="1"/>
  <c r="N55" i="7" a="1"/>
  <c r="V55" i="7" a="1"/>
  <c r="X55" i="7" a="1"/>
  <c r="W55" i="7" a="1"/>
  <c r="U55" i="7" a="1"/>
  <c r="F56" i="7"/>
  <c r="M56" i="7"/>
  <c r="T56" i="7"/>
  <c r="B56" i="2"/>
  <c r="G56" i="7" l="1" a="1"/>
  <c r="J56" i="7" a="1"/>
  <c r="H56" i="7" a="1"/>
  <c r="I56" i="7" a="1"/>
  <c r="Q56" i="7" a="1"/>
  <c r="O56" i="7" a="1"/>
  <c r="P56" i="7" a="1"/>
  <c r="N56" i="7" a="1"/>
  <c r="W56" i="7" a="1"/>
  <c r="U56" i="7" a="1"/>
  <c r="X56" i="7" a="1"/>
  <c r="V56" i="7" a="1"/>
  <c r="F57" i="7"/>
  <c r="M57" i="7"/>
  <c r="T57" i="7"/>
  <c r="B57" i="2"/>
  <c r="H57" i="7" l="1" a="1"/>
  <c r="J57" i="7" a="1"/>
  <c r="G57" i="7" a="1"/>
  <c r="I57" i="7" a="1"/>
  <c r="N57" i="7" a="1"/>
  <c r="Q57" i="7" a="1"/>
  <c r="P57" i="7" a="1"/>
  <c r="O57" i="7" a="1"/>
  <c r="U57" i="7" a="1"/>
  <c r="X57" i="7" a="1"/>
  <c r="V57" i="7" a="1"/>
  <c r="W57" i="7" a="1"/>
  <c r="F58" i="7"/>
  <c r="M58" i="7"/>
  <c r="T58" i="7"/>
  <c r="B58" i="2"/>
  <c r="G58" i="7" l="1" a="1"/>
  <c r="J58" i="7" a="1"/>
  <c r="H58" i="7" a="1"/>
  <c r="I58" i="7" a="1"/>
  <c r="Q58" i="7" a="1"/>
  <c r="O58" i="7" a="1"/>
  <c r="P58" i="7" a="1"/>
  <c r="N58" i="7" a="1"/>
  <c r="W58" i="7" a="1"/>
  <c r="V58" i="7" a="1"/>
  <c r="U58" i="7" a="1"/>
  <c r="X58" i="7" a="1"/>
  <c r="F59" i="7"/>
  <c r="M59" i="7"/>
  <c r="T59" i="7"/>
  <c r="B59" i="2"/>
  <c r="I59" i="7" l="1" a="1"/>
  <c r="G59" i="7" a="1"/>
  <c r="H59" i="7" a="1"/>
  <c r="J59" i="7" a="1"/>
  <c r="N59" i="7" a="1"/>
  <c r="Q59" i="7" a="1"/>
  <c r="O59" i="7" a="1"/>
  <c r="P59" i="7" a="1"/>
  <c r="W59" i="7" a="1"/>
  <c r="X59" i="7" a="1"/>
  <c r="U59" i="7" a="1"/>
  <c r="V59" i="7" a="1"/>
  <c r="F60" i="7"/>
  <c r="M60" i="7"/>
  <c r="T60" i="7"/>
  <c r="B60" i="2"/>
  <c r="J60" i="7" l="1" a="1"/>
  <c r="I60" i="7" a="1"/>
  <c r="G60" i="7" a="1"/>
  <c r="H60" i="7" a="1"/>
  <c r="Q60" i="7" a="1"/>
  <c r="P60" i="7" a="1"/>
  <c r="O60" i="7" a="1"/>
  <c r="N60" i="7" a="1"/>
  <c r="V60" i="7" a="1"/>
  <c r="U60" i="7" a="1"/>
  <c r="W60" i="7" a="1"/>
  <c r="X60" i="7" a="1"/>
  <c r="F61" i="7"/>
  <c r="M61" i="7"/>
  <c r="T61" i="7"/>
  <c r="B61" i="2"/>
  <c r="I61" i="7" l="1" a="1"/>
  <c r="G61" i="7" a="1"/>
  <c r="J61" i="7" a="1"/>
  <c r="H61" i="7" a="1"/>
  <c r="Q61" i="7" a="1"/>
  <c r="P61" i="7" a="1"/>
  <c r="O61" i="7" a="1"/>
  <c r="N61" i="7" a="1"/>
  <c r="V61" i="7" a="1"/>
  <c r="U61" i="7" a="1"/>
  <c r="W61" i="7" a="1"/>
  <c r="X61" i="7" a="1"/>
  <c r="F62" i="7"/>
  <c r="M62" i="7"/>
  <c r="T62" i="7"/>
  <c r="B62" i="2"/>
  <c r="G62" i="7" l="1" a="1"/>
  <c r="J62" i="7" a="1"/>
  <c r="I62" i="7" a="1"/>
  <c r="H62" i="7" a="1"/>
  <c r="Q62" i="7" a="1"/>
  <c r="O62" i="7" a="1"/>
  <c r="P62" i="7" a="1"/>
  <c r="N62" i="7" a="1"/>
  <c r="U62" i="7" a="1"/>
  <c r="V62" i="7" a="1"/>
  <c r="X62" i="7" a="1"/>
  <c r="W62" i="7" a="1"/>
  <c r="F63" i="7"/>
  <c r="M63" i="7"/>
  <c r="T63" i="7"/>
  <c r="B63" i="2"/>
  <c r="J63" i="7" l="1" a="1"/>
  <c r="H63" i="7" a="1"/>
  <c r="I63" i="7" a="1"/>
  <c r="G63" i="7" a="1"/>
  <c r="Q63" i="7" a="1"/>
  <c r="P63" i="7" a="1"/>
  <c r="O63" i="7" a="1"/>
  <c r="N63" i="7" a="1"/>
  <c r="V63" i="7" a="1"/>
  <c r="X63" i="7" a="1"/>
  <c r="W63" i="7" a="1"/>
  <c r="U63" i="7" a="1"/>
  <c r="F64" i="7"/>
  <c r="M64" i="7"/>
  <c r="T64" i="7"/>
  <c r="B64" i="2"/>
  <c r="H64" i="7" l="1" a="1"/>
  <c r="J64" i="7" a="1"/>
  <c r="G64" i="7" a="1"/>
  <c r="I64" i="7" a="1"/>
  <c r="Q64" i="7" a="1"/>
  <c r="O64" i="7" a="1"/>
  <c r="P64" i="7" a="1"/>
  <c r="N64" i="7" a="1"/>
  <c r="U64" i="7" a="1"/>
  <c r="V64" i="7" a="1"/>
  <c r="X64" i="7" a="1"/>
  <c r="W64" i="7" a="1"/>
  <c r="F65" i="7"/>
  <c r="M65" i="7"/>
  <c r="T65" i="7"/>
  <c r="B65" i="2"/>
  <c r="I65" i="7" l="1" a="1"/>
  <c r="G65" i="7" a="1"/>
  <c r="H65" i="7" a="1"/>
  <c r="J65" i="7" a="1"/>
  <c r="O65" i="7" a="1"/>
  <c r="Q65" i="7" a="1"/>
  <c r="P65" i="7" a="1"/>
  <c r="N65" i="7" a="1"/>
  <c r="W65" i="7" a="1"/>
  <c r="V65" i="7" a="1"/>
  <c r="X65" i="7" a="1"/>
  <c r="U65" i="7" a="1"/>
  <c r="F66" i="7"/>
  <c r="M66" i="7"/>
  <c r="T66" i="7"/>
  <c r="B66" i="2"/>
  <c r="J66" i="7" l="1" a="1"/>
  <c r="I66" i="7" a="1"/>
  <c r="H66" i="7" a="1"/>
  <c r="G66" i="7" a="1"/>
  <c r="Q66" i="7" a="1"/>
  <c r="O66" i="7" a="1"/>
  <c r="P66" i="7" a="1"/>
  <c r="N66" i="7" a="1"/>
  <c r="U66" i="7" a="1"/>
  <c r="X66" i="7" a="1"/>
  <c r="W66" i="7" a="1"/>
  <c r="V66" i="7" a="1"/>
  <c r="F67" i="7"/>
  <c r="M67" i="7"/>
  <c r="T67" i="7"/>
  <c r="B67" i="2"/>
  <c r="G67" i="7" l="1" a="1"/>
  <c r="J67" i="7" a="1"/>
  <c r="H67" i="7" a="1"/>
  <c r="I67" i="7" a="1"/>
  <c r="Q67" i="7" a="1"/>
  <c r="P67" i="7" a="1"/>
  <c r="O67" i="7" a="1"/>
  <c r="N67" i="7" a="1"/>
  <c r="U67" i="7" a="1"/>
  <c r="X67" i="7" a="1"/>
  <c r="V67" i="7" a="1"/>
  <c r="W67" i="7" a="1"/>
  <c r="F68" i="7"/>
  <c r="M68" i="7"/>
  <c r="T68" i="7"/>
  <c r="B68" i="2"/>
  <c r="I68" i="7" l="1" a="1"/>
  <c r="J68" i="7" a="1"/>
  <c r="H68" i="7" a="1"/>
  <c r="G68" i="7" a="1"/>
  <c r="Q68" i="7" a="1"/>
  <c r="P68" i="7" a="1"/>
  <c r="O68" i="7" a="1"/>
  <c r="N68" i="7" a="1"/>
  <c r="V68" i="7" a="1"/>
  <c r="W68" i="7" a="1"/>
  <c r="X68" i="7" a="1"/>
  <c r="U68" i="7" a="1"/>
  <c r="F69" i="7"/>
  <c r="M69" i="7"/>
  <c r="T69" i="7"/>
  <c r="B69" i="2"/>
  <c r="I69" i="7" l="1" a="1"/>
  <c r="J69" i="7" a="1"/>
  <c r="G69" i="7" a="1"/>
  <c r="H69" i="7" a="1"/>
  <c r="O69" i="7" a="1"/>
  <c r="N69" i="7" a="1"/>
  <c r="Q69" i="7" a="1"/>
  <c r="P69" i="7" a="1"/>
  <c r="X69" i="7" a="1"/>
  <c r="W69" i="7" a="1"/>
  <c r="U69" i="7" a="1"/>
  <c r="V69" i="7" a="1"/>
  <c r="F70" i="7"/>
  <c r="M70" i="7"/>
  <c r="T70" i="7"/>
  <c r="B70" i="2"/>
  <c r="G70" i="7" l="1" a="1"/>
  <c r="H70" i="7" a="1"/>
  <c r="I70" i="7" a="1"/>
  <c r="J70" i="7" a="1"/>
  <c r="Q70" i="7" a="1"/>
  <c r="P70" i="7" a="1"/>
  <c r="O70" i="7" a="1"/>
  <c r="N70" i="7" a="1"/>
  <c r="U70" i="7" a="1"/>
  <c r="W70" i="7" a="1"/>
  <c r="V70" i="7" a="1"/>
  <c r="X70" i="7" a="1"/>
  <c r="F71" i="7"/>
  <c r="M71" i="7"/>
  <c r="T71" i="7"/>
  <c r="B71" i="2"/>
  <c r="H71" i="7" l="1" a="1"/>
  <c r="J71" i="7" a="1"/>
  <c r="I71" i="7" a="1"/>
  <c r="G71" i="7" a="1"/>
  <c r="Q71" i="7" a="1"/>
  <c r="N71" i="7" a="1"/>
  <c r="O71" i="7" a="1"/>
  <c r="P71" i="7" a="1"/>
  <c r="W71" i="7" a="1"/>
  <c r="V71" i="7" a="1"/>
  <c r="X71" i="7" a="1"/>
  <c r="U71" i="7" a="1"/>
  <c r="F72" i="7"/>
  <c r="M72" i="7"/>
  <c r="T72" i="7"/>
  <c r="B72" i="2"/>
  <c r="H72" i="7" l="1" a="1"/>
  <c r="J72" i="7" a="1"/>
  <c r="I72" i="7" a="1"/>
  <c r="G72" i="7" a="1"/>
  <c r="Q72" i="7" a="1"/>
  <c r="P72" i="7" a="1"/>
  <c r="O72" i="7" a="1"/>
  <c r="N72" i="7" a="1"/>
  <c r="V72" i="7" a="1"/>
  <c r="U72" i="7" a="1"/>
  <c r="X72" i="7" a="1"/>
  <c r="W72" i="7" a="1"/>
  <c r="F73" i="7"/>
  <c r="M73" i="7"/>
  <c r="T73" i="7"/>
  <c r="B73" i="2"/>
  <c r="J73" i="7" l="1" a="1"/>
  <c r="H73" i="7" a="1"/>
  <c r="I73" i="7" a="1"/>
  <c r="G73" i="7" a="1"/>
  <c r="Q73" i="7" a="1"/>
  <c r="O73" i="7" a="1"/>
  <c r="P73" i="7" a="1"/>
  <c r="N73" i="7" a="1"/>
  <c r="X73" i="7" a="1"/>
  <c r="V73" i="7" a="1"/>
  <c r="U73" i="7" a="1"/>
  <c r="W73" i="7" a="1"/>
  <c r="F74" i="7"/>
  <c r="M74" i="7"/>
  <c r="T74" i="7"/>
  <c r="B74" i="2"/>
  <c r="H74" i="7" l="1" a="1"/>
  <c r="J74" i="7" a="1"/>
  <c r="G74" i="7" a="1"/>
  <c r="I74" i="7" a="1"/>
  <c r="Q74" i="7" a="1"/>
  <c r="P74" i="7" a="1"/>
  <c r="O74" i="7" a="1"/>
  <c r="N74" i="7" a="1"/>
  <c r="U74" i="7" a="1"/>
  <c r="W74" i="7" a="1"/>
  <c r="V74" i="7" a="1"/>
  <c r="X74" i="7" a="1"/>
  <c r="F75" i="7"/>
  <c r="M75" i="7"/>
  <c r="T75" i="7"/>
  <c r="B75" i="2"/>
  <c r="G75" i="7" l="1" a="1"/>
  <c r="J75" i="7" a="1"/>
  <c r="H75" i="7" a="1"/>
  <c r="I75" i="7" a="1"/>
  <c r="Q75" i="7" a="1"/>
  <c r="P75" i="7" a="1"/>
  <c r="O75" i="7" a="1"/>
  <c r="N75" i="7" a="1"/>
  <c r="V75" i="7" a="1"/>
  <c r="U75" i="7" a="1"/>
  <c r="W75" i="7" a="1"/>
  <c r="X75" i="7" a="1"/>
  <c r="F76" i="7"/>
  <c r="M76" i="7"/>
  <c r="T76" i="7"/>
  <c r="B76" i="2"/>
  <c r="I76" i="7" l="1" a="1"/>
  <c r="H76" i="7" a="1"/>
  <c r="G76" i="7" a="1"/>
  <c r="J76" i="7" a="1"/>
  <c r="Q76" i="7" a="1"/>
  <c r="O76" i="7" a="1"/>
  <c r="P76" i="7" a="1"/>
  <c r="N76" i="7" a="1"/>
  <c r="W76" i="7" a="1"/>
  <c r="V76" i="7" a="1"/>
  <c r="U76" i="7" a="1"/>
  <c r="X76" i="7" a="1"/>
  <c r="F77" i="7"/>
  <c r="M77" i="7"/>
  <c r="T77" i="7"/>
  <c r="B77" i="2"/>
  <c r="G77" i="7" l="1" a="1"/>
  <c r="J77" i="7" a="1"/>
  <c r="I77" i="7" a="1"/>
  <c r="H77" i="7" a="1"/>
  <c r="Q77" i="7" a="1"/>
  <c r="P77" i="7" a="1"/>
  <c r="N77" i="7" a="1"/>
  <c r="O77" i="7" a="1"/>
  <c r="W77" i="7" a="1"/>
  <c r="X77" i="7" a="1"/>
  <c r="U77" i="7" a="1"/>
  <c r="V77" i="7" a="1"/>
  <c r="F78" i="7"/>
  <c r="M78" i="7"/>
  <c r="T78" i="7"/>
  <c r="B78" i="2"/>
  <c r="G78" i="7" l="1" a="1"/>
  <c r="J78" i="7" a="1"/>
  <c r="I78" i="7" a="1"/>
  <c r="H78" i="7" a="1"/>
  <c r="Q78" i="7" a="1"/>
  <c r="P78" i="7" a="1"/>
  <c r="O78" i="7" a="1"/>
  <c r="N78" i="7" a="1"/>
  <c r="V78" i="7" a="1"/>
  <c r="X78" i="7" a="1"/>
  <c r="W78" i="7" a="1"/>
  <c r="U78" i="7" a="1"/>
  <c r="F79" i="7"/>
  <c r="M79" i="7"/>
  <c r="T79" i="7"/>
  <c r="B79" i="2"/>
  <c r="I79" i="7" l="1" a="1"/>
  <c r="J79" i="7" a="1"/>
  <c r="H79" i="7" a="1"/>
  <c r="G79" i="7" a="1"/>
  <c r="Q79" i="7" a="1"/>
  <c r="O79" i="7" a="1"/>
  <c r="P79" i="7" a="1"/>
  <c r="N79" i="7" a="1"/>
  <c r="U79" i="7" a="1"/>
  <c r="V79" i="7" a="1"/>
  <c r="X79" i="7" a="1"/>
  <c r="W79" i="7" a="1"/>
  <c r="F80" i="7"/>
  <c r="M80" i="7"/>
  <c r="T80" i="7"/>
  <c r="B80" i="2"/>
  <c r="I80" i="7" l="1" a="1"/>
  <c r="G80" i="7" a="1"/>
  <c r="J80" i="7" a="1"/>
  <c r="H80" i="7" a="1"/>
  <c r="Q80" i="7" a="1"/>
  <c r="N80" i="7" a="1"/>
  <c r="P80" i="7" a="1"/>
  <c r="O80" i="7" a="1"/>
  <c r="W80" i="7" a="1"/>
  <c r="X80" i="7" a="1"/>
  <c r="U80" i="7" a="1"/>
  <c r="V80" i="7" a="1"/>
  <c r="F81" i="7"/>
  <c r="M81" i="7"/>
  <c r="T81" i="7"/>
  <c r="B81" i="2"/>
  <c r="I81" i="7" l="1" a="1"/>
  <c r="J81" i="7" a="1"/>
  <c r="H81" i="7" a="1"/>
  <c r="G81" i="7" a="1"/>
  <c r="Q81" i="7" a="1"/>
  <c r="N81" i="7" a="1"/>
  <c r="O81" i="7" a="1"/>
  <c r="P81" i="7" a="1"/>
  <c r="X81" i="7" a="1"/>
  <c r="V81" i="7" a="1"/>
  <c r="W81" i="7" a="1"/>
  <c r="U81" i="7" a="1"/>
  <c r="F82" i="7"/>
  <c r="M82" i="7"/>
  <c r="T82" i="7"/>
  <c r="B82" i="2"/>
  <c r="G82" i="7" l="1" a="1"/>
  <c r="H82" i="7" a="1"/>
  <c r="J82" i="7" a="1"/>
  <c r="I82" i="7" a="1"/>
  <c r="Q82" i="7" a="1"/>
  <c r="N82" i="7" a="1"/>
  <c r="O82" i="7" a="1"/>
  <c r="P82" i="7" a="1"/>
  <c r="V82" i="7" a="1"/>
  <c r="X82" i="7" a="1"/>
  <c r="W82" i="7" a="1"/>
  <c r="U82" i="7" a="1"/>
  <c r="F83" i="7"/>
  <c r="M83" i="7"/>
  <c r="T83" i="7"/>
  <c r="B83" i="2"/>
  <c r="G83" i="7" l="1" a="1"/>
  <c r="I83" i="7" a="1"/>
  <c r="H83" i="7" a="1"/>
  <c r="J83" i="7" a="1"/>
  <c r="Q83" i="7" a="1"/>
  <c r="N83" i="7" a="1"/>
  <c r="P83" i="7" a="1"/>
  <c r="O83" i="7" a="1"/>
  <c r="W83" i="7" a="1"/>
  <c r="X83" i="7" a="1"/>
  <c r="V83" i="7" a="1"/>
  <c r="U83" i="7" a="1"/>
  <c r="F84" i="7"/>
  <c r="M84" i="7"/>
  <c r="T84" i="7"/>
  <c r="B84" i="2"/>
  <c r="G84" i="7" l="1" a="1"/>
  <c r="J84" i="7" a="1"/>
  <c r="I84" i="7" a="1"/>
  <c r="H84" i="7" a="1"/>
  <c r="Q84" i="7" a="1"/>
  <c r="N84" i="7" a="1"/>
  <c r="P84" i="7" a="1"/>
  <c r="O84" i="7" a="1"/>
  <c r="U84" i="7" a="1"/>
  <c r="X84" i="7" a="1"/>
  <c r="V84" i="7" a="1"/>
  <c r="W84" i="7" a="1"/>
  <c r="F85" i="7"/>
  <c r="M85" i="7"/>
  <c r="T85" i="7"/>
  <c r="B85" i="2"/>
  <c r="H85" i="7" l="1" a="1"/>
  <c r="G85" i="7" a="1"/>
  <c r="J85" i="7" a="1"/>
  <c r="I85" i="7" a="1"/>
  <c r="N85" i="7" a="1"/>
  <c r="Q85" i="7" a="1"/>
  <c r="P85" i="7" a="1"/>
  <c r="O85" i="7" a="1"/>
  <c r="V85" i="7" a="1"/>
  <c r="U85" i="7" a="1"/>
  <c r="W85" i="7" a="1"/>
  <c r="X85" i="7" a="1"/>
  <c r="F86" i="7"/>
  <c r="M86" i="7"/>
  <c r="T86" i="7"/>
  <c r="B86" i="2"/>
  <c r="H86" i="7" l="1" a="1"/>
  <c r="I86" i="7" a="1"/>
  <c r="J86" i="7" a="1"/>
  <c r="G86" i="7" a="1"/>
  <c r="Q86" i="7" a="1"/>
  <c r="O86" i="7" a="1"/>
  <c r="N86" i="7" a="1"/>
  <c r="P86" i="7" a="1"/>
  <c r="U86" i="7" a="1"/>
  <c r="W86" i="7" a="1"/>
  <c r="X86" i="7" a="1"/>
  <c r="V86" i="7" a="1"/>
  <c r="F87" i="7"/>
  <c r="M87" i="7"/>
  <c r="T87" i="7"/>
  <c r="B87" i="2"/>
  <c r="I87" i="7" l="1" a="1"/>
  <c r="G87" i="7" a="1"/>
  <c r="J87" i="7" a="1"/>
  <c r="H87" i="7" a="1"/>
  <c r="Q87" i="7" a="1"/>
  <c r="N87" i="7" a="1"/>
  <c r="P87" i="7" a="1"/>
  <c r="O87" i="7" a="1"/>
  <c r="X87" i="7" a="1"/>
  <c r="U87" i="7" a="1"/>
  <c r="V87" i="7" a="1"/>
  <c r="W87" i="7" a="1"/>
  <c r="F88" i="7"/>
  <c r="M88" i="7"/>
  <c r="T88" i="7"/>
  <c r="B88" i="2"/>
  <c r="J88" i="7" l="1" a="1"/>
  <c r="H88" i="7" a="1"/>
  <c r="I88" i="7" a="1"/>
  <c r="G88" i="7" a="1"/>
  <c r="Q88" i="7" a="1"/>
  <c r="N88" i="7" a="1"/>
  <c r="O88" i="7" a="1"/>
  <c r="P88" i="7" a="1"/>
  <c r="V88" i="7" a="1"/>
  <c r="U88" i="7" a="1"/>
  <c r="X88" i="7" a="1"/>
  <c r="W88" i="7" a="1"/>
  <c r="F89" i="7"/>
  <c r="M89" i="7"/>
  <c r="T89" i="7"/>
  <c r="B89" i="2"/>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65" i="2" s="1"/>
  <c r="B966" i="2" s="1"/>
  <c r="B967" i="2" s="1"/>
  <c r="B968" i="2" s="1"/>
  <c r="B969" i="2" s="1"/>
  <c r="B970" i="2" s="1"/>
  <c r="B971" i="2" s="1"/>
  <c r="B972" i="2" s="1"/>
  <c r="B973" i="2" s="1"/>
  <c r="B974" i="2" s="1"/>
  <c r="B975" i="2" s="1"/>
  <c r="B976" i="2" s="1"/>
  <c r="B977" i="2" s="1"/>
  <c r="B978" i="2" s="1"/>
  <c r="B979" i="2" s="1"/>
  <c r="B980" i="2" s="1"/>
  <c r="B981" i="2" s="1"/>
  <c r="B982" i="2" s="1"/>
  <c r="B983" i="2" s="1"/>
  <c r="B984" i="2" s="1"/>
  <c r="B985" i="2" s="1"/>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1007" i="2" s="1"/>
  <c r="B1008" i="2" s="1"/>
  <c r="B1009" i="2" s="1"/>
  <c r="B1010" i="2" s="1"/>
  <c r="B1011" i="2" s="1"/>
  <c r="B1012" i="2" s="1"/>
  <c r="B1013" i="2" s="1"/>
  <c r="B1014" i="2" s="1"/>
  <c r="B1015" i="2" s="1"/>
  <c r="B1016" i="2" s="1"/>
  <c r="B1017" i="2" s="1"/>
  <c r="B1018" i="2" s="1"/>
  <c r="B1019" i="2" s="1"/>
  <c r="B1020" i="2" s="1"/>
  <c r="B1021" i="2" s="1"/>
  <c r="B1022" i="2" s="1"/>
  <c r="B1023" i="2" s="1"/>
  <c r="B1024" i="2" s="1"/>
  <c r="G89" i="7" l="1" a="1"/>
  <c r="J89" i="7" a="1"/>
  <c r="H89" i="7" a="1"/>
  <c r="I89" i="7" a="1"/>
  <c r="Q89" i="7" a="1"/>
  <c r="N89" i="7" a="1"/>
  <c r="O89" i="7" a="1"/>
  <c r="P89" i="7" a="1"/>
  <c r="V89" i="7" a="1"/>
  <c r="U89" i="7" a="1"/>
  <c r="X89" i="7" a="1"/>
  <c r="W89" i="7"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<sst xmlns="http://schemas.openxmlformats.org/spreadsheetml/2006/main" count="298" uniqueCount="112">
  <si>
    <t>S.no</t>
  </si>
  <si>
    <t>Discipline</t>
  </si>
  <si>
    <t>Category</t>
  </si>
  <si>
    <t>DRG ID</t>
  </si>
  <si>
    <t>Responsible Person</t>
  </si>
  <si>
    <t>1st Submission Plan</t>
  </si>
  <si>
    <t>1st Submission
Plan (Before changes in scope)</t>
  </si>
  <si>
    <t>Actual Submission to Client</t>
  </si>
  <si>
    <t>Revised  Submission date (Plan)</t>
  </si>
  <si>
    <t>Actual Revised submission</t>
  </si>
  <si>
    <t>Planned Approval Date</t>
  </si>
  <si>
    <t>Actual  Approval Date</t>
  </si>
  <si>
    <t>Planned Hard copy Sub.dates</t>
  </si>
  <si>
    <t>Actual Hard copy sub.dates</t>
  </si>
  <si>
    <t>Dependency</t>
  </si>
  <si>
    <t>MEP</t>
  </si>
  <si>
    <t>Architecture</t>
  </si>
  <si>
    <t>1st Submission Plan_wk</t>
  </si>
  <si>
    <t>Actual Submission to Client_wk</t>
  </si>
  <si>
    <t>Planned Approval_wk</t>
  </si>
  <si>
    <t>Actual  Approval_wk</t>
  </si>
  <si>
    <t>1st Submission Plan_mth</t>
  </si>
  <si>
    <t>Actual Submission to Client_mth</t>
  </si>
  <si>
    <t>Planned Approval_mth</t>
  </si>
  <si>
    <t>Actual  Approval_mth</t>
  </si>
  <si>
    <t>Date</t>
  </si>
  <si>
    <t>Column Labels</t>
  </si>
  <si>
    <t>Description</t>
  </si>
  <si>
    <t xml:space="preserve"> MDL Title</t>
  </si>
  <si>
    <t>Structural</t>
  </si>
  <si>
    <t>Rpt_Week</t>
  </si>
  <si>
    <t>Rpt_Month</t>
  </si>
  <si>
    <t>Total DRG ID</t>
  </si>
  <si>
    <t>Submission_1 Plan</t>
  </si>
  <si>
    <t>Submission_1 Actuals</t>
  </si>
  <si>
    <t>Approval Plan</t>
  </si>
  <si>
    <t>Approval Actuals</t>
  </si>
  <si>
    <t>Row Labels</t>
  </si>
  <si>
    <t>Grand Total</t>
  </si>
  <si>
    <t xml:space="preserve"> Submission_1 Plan</t>
  </si>
  <si>
    <t xml:space="preserve"> Submission_1 Actuals</t>
  </si>
  <si>
    <t xml:space="preserve"> Approval Plan</t>
  </si>
  <si>
    <t xml:space="preserve"> Approval Actuals</t>
  </si>
  <si>
    <t>Total Drgs</t>
  </si>
  <si>
    <t>Submitted</t>
  </si>
  <si>
    <t>Approved</t>
  </si>
  <si>
    <t>Count of DRG ID</t>
  </si>
  <si>
    <t>Count of Actual Submission to Client</t>
  </si>
  <si>
    <t>Count of Actual  Approval Date</t>
  </si>
  <si>
    <t>Submission Status</t>
  </si>
  <si>
    <t>Approval Status</t>
  </si>
  <si>
    <t>Start</t>
  </si>
  <si>
    <t>Initial</t>
  </si>
  <si>
    <t>Mid</t>
  </si>
  <si>
    <t>End</t>
  </si>
  <si>
    <t>Max</t>
  </si>
  <si>
    <t>Speedometer</t>
  </si>
  <si>
    <t>Value</t>
  </si>
  <si>
    <t>Pointer</t>
  </si>
  <si>
    <t>Approval Code</t>
  </si>
  <si>
    <t>Desc</t>
  </si>
  <si>
    <t>R</t>
  </si>
  <si>
    <t>V</t>
  </si>
  <si>
    <t>Approved with comments</t>
  </si>
  <si>
    <t>Not Approved</t>
  </si>
  <si>
    <t>Retained for info</t>
  </si>
  <si>
    <t>Void</t>
  </si>
  <si>
    <t>STAAD ANALYSIS AND DESIGN</t>
  </si>
  <si>
    <t>Smita/Praful/Sonal</t>
  </si>
  <si>
    <t xml:space="preserve">LAYOUT AND R/F DETAILS OF FOUNDATION </t>
  </si>
  <si>
    <t xml:space="preserve">LAYOUT AND R/F DETAILS OF PEDESTAL AND ANCHOR BOLT </t>
  </si>
  <si>
    <t>LAYOUT AND R/F DETAILS OF PLINTH BEAM</t>
  </si>
  <si>
    <t xml:space="preserve">R/F DETAILS OF PLINTH BEAM </t>
  </si>
  <si>
    <t xml:space="preserve">G.A. AND R/F DETAIL OF STEEL COLUMNS </t>
  </si>
  <si>
    <t xml:space="preserve">CONNECTION DETAIL OF STEEL COLUMNS </t>
  </si>
  <si>
    <t>G.A. LAYOUT AND DETAILS OF STAIRS</t>
  </si>
  <si>
    <t>CONNECTION DETAILS OF STAIRS</t>
  </si>
  <si>
    <t xml:space="preserve">G.A. ELEVATION AND DETAILS OF GIRTS </t>
  </si>
  <si>
    <t>GROUND AND FIRST FLOOR PLAN @ E.L. 100.45 &amp; 104.65 (DOOR - WINDOW AND FINISHES SCHEDULE)</t>
  </si>
  <si>
    <t>Aakarsh</t>
  </si>
  <si>
    <t>ELEVATION</t>
  </si>
  <si>
    <t>(blank)</t>
  </si>
  <si>
    <t>Sum of Submission_1 Plan</t>
  </si>
  <si>
    <t>Sum of Submission_1 Actuals</t>
  </si>
  <si>
    <t>CV-192-STR-ABF-STD-0001</t>
  </si>
  <si>
    <t xml:space="preserve">CV-192-STR-ABF-DRW-0001 </t>
  </si>
  <si>
    <t>CV-192-STR-ABF-DRW-0002</t>
  </si>
  <si>
    <t>CV-192-STR-ABF-DRW-0003</t>
  </si>
  <si>
    <t>CV-192-STR-ABF-DRW-0004</t>
  </si>
  <si>
    <t>CV-192-STR-ABF-DRW-0005</t>
  </si>
  <si>
    <t>CV-192-STR-ABF-DRW-0006</t>
  </si>
  <si>
    <t>CV-192-STR-ABF-DRW-0007</t>
  </si>
  <si>
    <t>G.A. LAYOUT AND DETAILS OF FIRST FLOOR STEEL BEAMS AND SLAB @EL. 104.65 (T.O.C OF DECK SLAB)</t>
  </si>
  <si>
    <t>CV-192-STR-ABF-DRW-0008</t>
  </si>
  <si>
    <t>CONNECTION DETAILS OF FIRST FLOOR STEEL BEAMS AND SLAB @EL. 104.65 (T.O.C OF DECK SLAB)</t>
  </si>
  <si>
    <t>CV-192-STR-ABF-DRW-0009</t>
  </si>
  <si>
    <t>G.A. LAYOUT AND DETAILS OF 2nd FLOOR STEEL BEAMS AND SLAB @EL. 110.35 (T.O.C OF DECK SLAB)</t>
  </si>
  <si>
    <t>CV-192-STR-ABF-DRW-0010</t>
  </si>
  <si>
    <t>CONNECTION DETAILS OF 2nd FLOOR STEEL BEAMS AND SLAB @EL. 110.35 (T.O.C OF DECK SLAB)</t>
  </si>
  <si>
    <t>CV-192-STR-ABF-DRW-0011</t>
  </si>
  <si>
    <t>G.A. LAYOUT AND DETAILS OF OF ROOF STEEL BEAMS AND SLAB @EL. 116.95 &amp; @EL 119.9 (T.O.C OF DECK SLAB)</t>
  </si>
  <si>
    <t>CV-192-STR-ABF-DRW-0012</t>
  </si>
  <si>
    <t>CONNECTION DETAILS OF ROOF STEEL BEAMS AND SLAB @EL. 116.95 &amp; @EL 119.9 (T.O.C OF DECK SLAB)</t>
  </si>
  <si>
    <t>CV-192-STR-ABF-DRW-0013</t>
  </si>
  <si>
    <t>CV-192-STR-ABF-DRW-0014</t>
  </si>
  <si>
    <t>CV-192-STR-ABF-DRW-0015</t>
  </si>
  <si>
    <t>CV-192-ARC-ABF-DRW-0001</t>
  </si>
  <si>
    <t>CV-192-ARC-ABF-DRW-0002</t>
  </si>
  <si>
    <t>SECOND AND TERRACE FLOOR PLAN @ E.L. 110.35 &amp; 116.95</t>
  </si>
  <si>
    <t>CV-192-ARC-ABF-DRW-0003</t>
  </si>
  <si>
    <t>CV-192-ARC-ABF-DRW-0004</t>
  </si>
  <si>
    <t>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</si>
</sst>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dd/mm/yyyy;@"/>
    <numFmt numFmtId="165" formatCode="mmm/yyyy"/>
    <numFmt numFmtId="166" formatCode="0.0%"/>
    <numFmt numFmtId="167" formatCode="d/mm/yyyy;@"/>
  </numFmts>
  <fonts count="7">
    <font>
      <sz val="11"/>
      <color theme="1"/>
      <name val="Calibri"/>
      <family val="2"/>
      <scheme val="minor"/>
    </font>
    <font>
      <sz val="11"/>
      <color theme="1"/>
      <name val="Calibri"/>
      <family val="2"/>
      <scheme val="minor"/>
    </font>
    <font>
      <sz val="10"/>
      <name val="SAVE"/>
    </font>
    <font>
      <b/>
      <sz val="11"/>
      <color theme="1"/>
      <name val="Arial"/>
      <family val="2"/>
    </font>
    <font>
      <b/>
      <sz val="11"/>
      <color theme="1"/>
      <name val="Calibri"/>
      <family val="2"/>
      <scheme val="minor"/>
    </font>
    <font>
      <b/>
      <sz val="11"/>
      <color rgb="FF0000CC"/>
      <name val="Calibri"/>
      <family val="2"/>
      <scheme val="minor"/>
    </font>
    <font>
      <b/>
      <sz val="14"/>
      <color rgb="FF0000CC"/>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9" fontId="1" fillId="0" borderId="0" applyFont="0" applyFill="0" applyBorder="0" applyAlignment="0" applyProtection="0"/>
  </cellStyleXfs>
  <cellXfs count="39">
    <xf numFmtId="0" fontId="0" fillId="0" borderId="0" xfId="0"/>
    <xf numFmtId="0" fontId="1" fillId="0" borderId="0" xfId="0" applyFont="1"/>
    <xf numFmtId="0" fontId="1" fillId="0" borderId="1" xfId="0" applyFont="1" applyBorder="1" applyAlignment="1" applyProtection="1">
      <alignment wrapText="1"/>
      <protection locked="0"/>
    </xf>
    <xf numFmtId="0" fontId="1" fillId="3" borderId="1" xfId="0" applyFont="1" applyFill="1" applyBorder="1" applyAlignment="1" applyProtection="1">
      <alignment wrapText="1"/>
      <protection locked="0"/>
    </xf>
    <xf numFmtId="0" fontId="1" fillId="3" borderId="1" xfId="0" applyFont="1" applyFill="1" applyBorder="1" applyAlignment="1">
      <alignment wrapText="1"/>
    </xf>
    <xf numFmtId="0" fontId="1" fillId="0" borderId="1" xfId="0" applyFont="1" applyBorder="1" applyAlignment="1">
      <alignment wrapText="1"/>
    </xf>
    <xf numFmtId="49" fontId="3" fillId="5" borderId="1" xfId="1" applyNumberFormat="1" applyFont="1" applyFill="1" applyBorder="1" applyAlignment="1">
      <alignment horizontal="center" vertical="center" wrapText="1"/>
    </xf>
    <xf numFmtId="14" fontId="3" fillId="5" borderId="1" xfId="1" applyNumberFormat="1" applyFont="1" applyFill="1" applyBorder="1" applyAlignment="1">
      <alignment horizontal="center" vertical="center" wrapText="1"/>
    </xf>
    <xf numFmtId="49" fontId="3" fillId="6" borderId="1" xfId="1" applyNumberFormat="1" applyFont="1" applyFill="1" applyBorder="1" applyAlignment="1">
      <alignment horizontal="center" vertical="center" wrapText="1"/>
    </xf>
    <xf numFmtId="14" fontId="3" fillId="6" borderId="1" xfId="1" applyNumberFormat="1" applyFont="1" applyFill="1" applyBorder="1" applyAlignment="1">
      <alignment horizontal="center" vertical="center" wrapText="1"/>
    </xf>
    <xf numFmtId="164" fontId="0" fillId="0" borderId="0" xfId="0" applyNumberFormat="1"/>
    <xf numFmtId="0" fontId="4" fillId="0" borderId="0" xfId="0" applyFont="1"/>
    <xf numFmtId="0" fontId="4" fillId="0" borderId="1" xfId="0" applyFont="1" applyBorder="1"/>
    <xf numFmtId="0" fontId="0" fillId="0" borderId="1" xfId="0" applyBorder="1"/>
    <xf numFmtId="0" fontId="4" fillId="4" borderId="1" xfId="0" applyFont="1" applyFill="1" applyBorder="1"/>
    <xf numFmtId="49" fontId="3" fillId="2" borderId="1" xfId="1" applyNumberFormat="1" applyFont="1" applyFill="1" applyBorder="1" applyAlignment="1" applyProtection="1">
      <alignment horizontal="center" vertical="center" wrapText="1"/>
      <protection locked="0"/>
    </xf>
    <xf numFmtId="15" fontId="0" fillId="0" borderId="0" xfId="0" applyNumberFormat="1"/>
    <xf numFmtId="15" fontId="0" fillId="0" borderId="1" xfId="0" applyNumberFormat="1" applyBorder="1"/>
    <xf numFmtId="165" fontId="0" fillId="0" borderId="1" xfId="0" applyNumberFormat="1" applyBorder="1"/>
    <xf numFmtId="0" fontId="0" fillId="0" borderId="1" xfId="0" pivotButton="1" applyBorder="1"/>
    <xf numFmtId="0" fontId="0" fillId="0" borderId="1" xfId="0" applyBorder="1" applyAlignment="1">
      <alignment horizontal="center" vertical="center"/>
    </xf>
    <xf numFmtId="0" fontId="6" fillId="0" borderId="0" xfId="0" applyFont="1" applyAlignment="1">
      <alignment horizontal="center" vertical="center"/>
    </xf>
    <xf numFmtId="0" fontId="4" fillId="7" borderId="2" xfId="0" applyFont="1" applyFill="1" applyBorder="1" applyAlignment="1">
      <alignment horizontal="center" vertical="center"/>
    </xf>
    <xf numFmtId="166" fontId="0" fillId="0" borderId="1" xfId="2" applyNumberFormat="1" applyFont="1" applyBorder="1"/>
    <xf numFmtId="0" fontId="0" fillId="0" borderId="0" xfId="0" pivotButton="1"/>
    <xf numFmtId="15" fontId="0" fillId="0" borderId="0" xfId="0" applyNumberFormat="1" applyAlignment="1">
      <alignment horizontal="left"/>
    </xf>
    <xf numFmtId="0" fontId="0" fillId="0" borderId="0" xfId="0" applyAlignment="1">
      <alignment horizontal="left"/>
    </xf>
    <xf numFmtId="166" fontId="0" fillId="0" borderId="0" xfId="0" applyNumberFormat="1"/>
    <xf numFmtId="0" fontId="4" fillId="7" borderId="1" xfId="0" applyFont="1" applyFill="1" applyBorder="1" applyAlignment="1">
      <alignment horizontal="center" vertical="center"/>
    </xf>
    <xf numFmtId="0" fontId="6" fillId="0" borderId="1" xfId="0" applyFont="1" applyBorder="1" applyAlignment="1">
      <alignment horizontal="center" vertical="center"/>
    </xf>
    <xf numFmtId="165" fontId="0" fillId="0" borderId="0" xfId="0" applyNumberFormat="1" applyAlignment="1">
      <alignment horizontal="left"/>
    </xf>
    <xf numFmtId="9" fontId="0" fillId="0" borderId="0" xfId="2" applyFont="1"/>
    <xf numFmtId="1" fontId="0" fillId="0" borderId="0" xfId="0" applyNumberFormat="1" applyAlignment="1">
      <alignment horizontal="left"/>
    </xf>
    <xf numFmtId="167" fontId="0" fillId="0" borderId="1" xfId="0" applyNumberFormat="1" applyBorder="1"/>
    <xf numFmtId="167" fontId="0" fillId="0" borderId="0" xfId="0" applyNumberFormat="1"/>
    <xf numFmtId="0" fontId="0" fillId="0" borderId="3" xfId="0" applyBorder="1"/>
    <xf numFmtId="167" fontId="0" fillId="0" borderId="3" xfId="0" applyNumberFormat="1" applyBorder="1"/>
    <xf numFmtId="0" fontId="0" fillId="0" borderId="0" xfId="0" applyNumberFormat="1"/>
    <xf numFmtId="0" fontId="5" fillId="0" borderId="1" xfId="0" applyNumberFormat="1" applyFont="1" applyBorder="1" applyAlignment="1">
      <alignment horizontal="center" vertical="center"/>
    </xf>
  </cellXfs>
  <cellStyles count="3">
    <cellStyle name="Normal" xfId="0" builtinId="0"/>
    <cellStyle name="Normal_(ANX-08) Progress report" xfId="1" xr:uid="{6C5128B0-DA7A-4C3A-AD61-3F5EFD698605}"/>
    <cellStyle name="Percent" xfId="2" builtinId="5"/>
  </cellStyles>
  <dxfs count="42">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rgb="FF0000CC"/>
      </font>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rgb="FF0000CC"/>
      </font>
    </dxf>
    <dxf>
      <font>
        <color rgb="FF0000CC"/>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11/relationships/timelineCache" Target="timelineCaches/timelineCache6.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1/relationships/timelineCache" Target="timelineCaches/timelineCache5.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1/relationships/timelineCache" Target="timelineCaches/timelineCache4.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11/relationships/timelineCache" Target="timelineCaches/timelineCache3.xml"/><Relationship Id="rId28"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1/relationships/timelineCache" Target="timelineCaches/timelineCache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Room_Tracker.xlsx]Floor-wise!PivotTable4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Floor-wise</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'Floor-wise'!$B$1</c:f>
              <c:strCache>
                <c:ptCount val="1"/>
                <c:pt idx="0">
                  <c:v>Total Drgs</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'Floor-wise'!$A$2:$A$18</c:f>
              <c:strCache>
                <c:ptCount val="16"/>
                <c:pt idx="0">
                  <c:v>STAAD ANALYSIS AND DESIGN</c:v>
                </c:pt>
                <c:pt idx="1">
                  <c:v>LAYOUT AND R/F DETAILS OF FOUNDATION </c:v>
                </c:pt>
                <c:pt idx="2">
                  <c:v>LAYOUT AND R/F DETAILS OF PEDESTAL AND ANCHOR BOLT </c:v>
                </c:pt>
                <c:pt idx="3">
                  <c:v>LAYOUT AND R/F DETAILS OF PLINTH BEAM</c:v>
                </c:pt>
                <c:pt idx="4">
                  <c:v>R/F DETAILS OF PLINTH BEAM </c:v>
                </c:pt>
                <c:pt idx="5">
                  <c:v>G.A. AND R/F DETAIL OF STEEL COLUMNS </c:v>
                </c:pt>
                <c:pt idx="6">
                  <c:v>CONNECTION DETAIL OF STEEL COLUMNS </c:v>
                </c:pt>
                <c:pt idx="7">
                  <c:v>G.A. LAYOUT AND DETAILS OF STAIRS</c:v>
                </c:pt>
                <c:pt idx="8">
                  <c:v>CONNECTION DETAILS OF STAIRS</c:v>
                </c:pt>
                <c:pt idx="9">
                  <c:v>G.A. ELEVATION AND DETAILS OF GIRTS </c:v>
                </c:pt>
                <c:pt idx="10">
                  <c:v>G.A. LAYOUT AND DETAILS OF FIRST FLOOR STEEL BEAMS AND SLAB @EL. 104.65 (T.O.C OF DECK SLAB)</c:v>
                </c:pt>
                <c:pt idx="11">
                  <c:v>CONNECTION DETAILS OF FIRST FLOOR STEEL BEAMS AND SLAB @EL. 104.65 (T.O.C OF DECK SLAB)</c:v>
                </c:pt>
                <c:pt idx="12">
                  <c:v>G.A. LAYOUT AND DETAILS OF 2nd FLOOR STEEL BEAMS AND SLAB @EL. 110.35 (T.O.C OF DECK SLAB)</c:v>
                </c:pt>
                <c:pt idx="13">
                  <c:v>CONNECTION DETAILS OF 2nd FLOOR STEEL BEAMS AND SLAB @EL. 110.35 (T.O.C OF DECK SLAB)</c:v>
                </c:pt>
                <c:pt idx="14">
                  <c:v>G.A. LAYOUT AND DETAILS OF OF ROOF STEEL BEAMS AND SLAB @EL. 116.95 &amp; @EL 119.9 (T.O.C OF DECK SLAB)</c:v>
                </c:pt>
                <c:pt idx="15">
                  <c:v>CONNECTION DETAILS OF ROOF STEEL BEAMS AND SLAB @EL. 116.95 &amp; @EL 119.9 (T.O.C OF DECK SLAB)</c:v>
                </c:pt>
              </c:strCache>
            </c:strRef>
          </c:cat>
          <c:val>
            <c:numRef>
              <c:f>'Floor-wise'!$B$2:$B$18</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0-D4E8-478C-ABF1-5398EDBF22E9}"/>
            </c:ext>
          </c:extLst>
        </c:ser>
        <c:ser>
          <c:idx val="1"/>
          <c:order val="1"/>
          <c:tx>
            <c:strRef>
              <c:f>'Floor-wise'!$C$1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'Floor-wise'!$A$2:$A$18</c:f>
              <c:strCache>
                <c:ptCount val="16"/>
                <c:pt idx="0">
                  <c:v>STAAD ANALYSIS AND DESIGN</c:v>
                </c:pt>
                <c:pt idx="1">
                  <c:v>LAYOUT AND R/F DETAILS OF FOUNDATION </c:v>
                </c:pt>
                <c:pt idx="2">
                  <c:v>LAYOUT AND R/F DETAILS OF PEDESTAL AND ANCHOR BOLT </c:v>
                </c:pt>
                <c:pt idx="3">
                  <c:v>LAYOUT AND R/F DETAILS OF PLINTH BEAM</c:v>
                </c:pt>
                <c:pt idx="4">
                  <c:v>R/F DETAILS OF PLINTH BEAM </c:v>
                </c:pt>
                <c:pt idx="5">
                  <c:v>G.A. AND R/F DETAIL OF STEEL COLUMNS </c:v>
                </c:pt>
                <c:pt idx="6">
                  <c:v>CONNECTION DETAIL OF STEEL COLUMNS </c:v>
                </c:pt>
                <c:pt idx="7">
                  <c:v>G.A. LAYOUT AND DETAILS OF STAIRS</c:v>
                </c:pt>
                <c:pt idx="8">
                  <c:v>CONNECTION DETAILS OF STAIRS</c:v>
                </c:pt>
                <c:pt idx="9">
                  <c:v>G.A. ELEVATION AND DETAILS OF GIRTS </c:v>
                </c:pt>
                <c:pt idx="10">
                  <c:v>G.A. LAYOUT AND DETAILS OF FIRST FLOOR STEEL BEAMS AND SLAB @EL. 104.65 (T.O.C OF DECK SLAB)</c:v>
                </c:pt>
                <c:pt idx="11">
                  <c:v>CONNECTION DETAILS OF FIRST FLOOR STEEL BEAMS AND SLAB @EL. 104.65 (T.O.C OF DECK SLAB)</c:v>
                </c:pt>
                <c:pt idx="12">
                  <c:v>G.A. LAYOUT AND DETAILS OF 2nd FLOOR STEEL BEAMS AND SLAB @EL. 110.35 (T.O.C OF DECK SLAB)</c:v>
                </c:pt>
                <c:pt idx="13">
                  <c:v>CONNECTION DETAILS OF 2nd FLOOR STEEL BEAMS AND SLAB @EL. 110.35 (T.O.C OF DECK SLAB)</c:v>
                </c:pt>
                <c:pt idx="14">
                  <c:v>G.A. LAYOUT AND DETAILS OF OF ROOF STEEL BEAMS AND SLAB @EL. 116.95 &amp; @EL 119.9 (T.O.C OF DECK SLAB)</c:v>
                </c:pt>
                <c:pt idx="15">
                  <c:v>CONNECTION DETAILS OF ROOF STEEL BEAMS AND SLAB @EL. 116.95 &amp; @EL 119.9 (T.O.C OF DECK SLAB)</c:v>
                </c:pt>
              </c:strCache>
            </c:strRef>
          </c:cat>
          <c:val>
            <c:numRef>
              <c:f>'Floor-wise'!$C$2:$C$18</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2-D4E8-478C-ABF1-5398EDBF22E9}"/>
            </c:ext>
          </c:extLst>
        </c:ser>
        <c:ser>
          <c:idx val="2"/>
          <c:order val="2"/>
          <c:tx>
            <c:strRef>
              <c:f>'Floor-wise'!$D$1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'Floor-wise'!$A$2:$A$18</c:f>
              <c:strCache>
                <c:ptCount val="16"/>
                <c:pt idx="0">
                  <c:v>STAAD ANALYSIS AND DESIGN</c:v>
                </c:pt>
                <c:pt idx="1">
                  <c:v>LAYOUT AND R/F DETAILS OF FOUNDATION </c:v>
                </c:pt>
                <c:pt idx="2">
                  <c:v>LAYOUT AND R/F DETAILS OF PEDESTAL AND ANCHOR BOLT </c:v>
                </c:pt>
                <c:pt idx="3">
                  <c:v>LAYOUT AND R/F DETAILS OF PLINTH BEAM</c:v>
                </c:pt>
                <c:pt idx="4">
                  <c:v>R/F DETAILS OF PLINTH BEAM </c:v>
                </c:pt>
                <c:pt idx="5">
                  <c:v>G.A. AND R/F DETAIL OF STEEL COLUMNS </c:v>
                </c:pt>
                <c:pt idx="6">
                  <c:v>CONNECTION DETAIL OF STEEL COLUMNS </c:v>
                </c:pt>
                <c:pt idx="7">
                  <c:v>G.A. LAYOUT AND DETAILS OF STAIRS</c:v>
                </c:pt>
                <c:pt idx="8">
                  <c:v>CONNECTION DETAILS OF STAIRS</c:v>
                </c:pt>
                <c:pt idx="9">
                  <c:v>G.A. ELEVATION AND DETAILS OF GIRTS </c:v>
                </c:pt>
                <c:pt idx="10">
                  <c:v>G.A. LAYOUT AND DETAILS OF FIRST FLOOR STEEL BEAMS AND SLAB @EL. 104.65 (T.O.C OF DECK SLAB)</c:v>
                </c:pt>
                <c:pt idx="11">
                  <c:v>CONNECTION DETAILS OF FIRST FLOOR STEEL BEAMS AND SLAB @EL. 104.65 (T.O.C OF DECK SLAB)</c:v>
                </c:pt>
                <c:pt idx="12">
                  <c:v>G.A. LAYOUT AND DETAILS OF 2nd FLOOR STEEL BEAMS AND SLAB @EL. 110.35 (T.O.C OF DECK SLAB)</c:v>
                </c:pt>
                <c:pt idx="13">
                  <c:v>CONNECTION DETAILS OF 2nd FLOOR STEEL BEAMS AND SLAB @EL. 110.35 (T.O.C OF DECK SLAB)</c:v>
                </c:pt>
                <c:pt idx="14">
                  <c:v>G.A. LAYOUT AND DETAILS OF OF ROOF STEEL BEAMS AND SLAB @EL. 116.95 &amp; @EL 119.9 (T.O.C OF DECK SLAB)</c:v>
                </c:pt>
                <c:pt idx="15">
                  <c:v>CONNECTION DETAILS OF ROOF STEEL BEAMS AND SLAB @EL. 116.95 &amp; @EL 119.9 (T.O.C OF DECK SLAB)</c:v>
                </c:pt>
              </c:strCache>
            </c:strRef>
          </c:cat>
          <c:val>
            <c:numRef>
              <c:f>'Floor-wise'!$D$2:$D$18</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3-D4E8-478C-ABF1-5398EDBF22E9}"/>
            </c:ext>
          </c:extLst>
        </c:ser>
        <c:dLbls>
          <c:dLblPos val="outEnd"/>
          <c:showLegendKey val="0"/>
          <c:showVal val="1"/>
          <c:showCatName val="0"/>
          <c:showSerName val="0"/>
          <c:showPercent val="0"/>
          <c:showBubbleSize val="0"/>
        </c:dLbls>
        <c:gapWidth val="219"/>
        <c:overlap val="-27"/>
        <c:axId val="836176496"/>
        <c:axId val="843451152"/>
      </c:barChart>
      <c:catAx>
        <c:axId val="8361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3451152"/>
        <c:crosses val="autoZero"/>
        <c:auto val="1"/>
        <c:lblAlgn val="ctr"/>
        <c:lblOffset val="100"/>
        <c:noMultiLvlLbl val="0"/>
      </c:catAx>
      <c:valAx>
        <c:axId val="8434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7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Room_Tracker.xlsx]S-Curve Wkly!PivotTable1</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Structural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19050" cap="rnd">
            <a:solidFill>
              <a:schemeClr val="tx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19050" cap="rnd">
            <a:solidFill>
              <a:srgbClr val="00B050"/>
            </a:solidFill>
            <a:prstDash val="dash"/>
            <a:round/>
          </a:ln>
          <a:effectLst/>
        </c:spPr>
        <c:marker>
          <c:symbol val="none"/>
        </c:marker>
      </c:pivotFmt>
      <c:pivotFmt>
        <c:idx val="30"/>
        <c:spPr>
          <a:ln w="19050" cap="rnd">
            <a:solidFill>
              <a:srgbClr val="C00000"/>
            </a:solidFill>
            <a:prstDash val="dash"/>
            <a:round/>
          </a:ln>
          <a:effectLst/>
        </c:spPr>
        <c:marker>
          <c:symbol val="none"/>
        </c:marker>
      </c:pivotFmt>
      <c:pivotFmt>
        <c:idx val="31"/>
        <c:spPr>
          <a:ln w="19050" cap="rnd">
            <a:solidFill>
              <a:schemeClr val="tx1"/>
            </a:solidFill>
            <a:prstDash val="solid"/>
            <a:round/>
          </a:ln>
          <a:effectLst/>
        </c:spPr>
        <c:marker>
          <c:symbol val="none"/>
        </c:marker>
      </c:pivotFmt>
      <c:pivotFmt>
        <c:idx val="32"/>
        <c:spPr>
          <a:ln w="25400" cap="rnd">
            <a:solidFill>
              <a:srgbClr val="0000CC"/>
            </a:solidFill>
            <a:round/>
          </a:ln>
          <a:effectLst/>
        </c:spPr>
        <c:marker>
          <c:symbol val="none"/>
        </c:marker>
      </c:pivotFmt>
    </c:pivotFmts>
    <c:plotArea>
      <c:layout/>
      <c:lineChart>
        <c:grouping val="standard"/>
        <c:varyColors val="0"/>
        <c:ser>
          <c:idx val="0"/>
          <c:order val="0"/>
          <c:tx>
            <c:strRef>
              <c:f>'S-Curve Wkly'!$B$10</c:f>
              <c:strCache>
                <c:ptCount val="1"/>
                <c:pt idx="0">
                  <c:v> Submission_1 Plan</c:v>
                </c:pt>
              </c:strCache>
            </c:strRef>
          </c:tx>
          <c:spPr>
            <a:ln w="19050" cap="rnd">
              <a:solidFill>
                <a:srgbClr val="00B050"/>
              </a:solidFill>
              <a:prstDash val="dash"/>
              <a:round/>
            </a:ln>
            <a:effectLst/>
          </c:spPr>
          <c:marker>
            <c:symbol val="none"/>
          </c:marker>
          <c:dPt>
            <c:idx val="12"/>
            <c:marker>
              <c:symbol val="none"/>
            </c:marker>
            <c:bubble3D val="0"/>
            <c:spPr>
              <a:ln w="19050" cap="rnd">
                <a:solidFill>
                  <a:srgbClr val="00B050"/>
                </a:solidFill>
                <a:prstDash val="dash"/>
                <a:round/>
              </a:ln>
              <a:effectLst/>
            </c:spPr>
            <c:extLst>
              <c:ext xmlns:c16="http://schemas.microsoft.com/office/drawing/2014/chart" uri="{C3380CC4-5D6E-409C-BE32-E72D297353CC}">
                <c16:uniqueId val="{00000001-2849-406F-ADD4-BAE8B01C708E}"/>
              </c:ext>
            </c:extLst>
          </c:dPt>
          <c:dPt>
            <c:idx val="51"/>
            <c:marker>
              <c:symbol val="none"/>
            </c:marker>
            <c:bubble3D val="0"/>
            <c:extLst>
              <c:ext xmlns:c16="http://schemas.microsoft.com/office/drawing/2014/chart" uri="{C3380CC4-5D6E-409C-BE32-E72D297353CC}">
                <c16:uniqueId val="{0000001E-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Wkly'!$B$11:$B$33</c:f>
              <c:numCache>
                <c:formatCode>0.0%</c:formatCode>
                <c:ptCount val="22"/>
                <c:pt idx="0">
                  <c:v>0</c:v>
                </c:pt>
                <c:pt idx="1">
                  <c:v>0</c:v>
                </c:pt>
                <c:pt idx="2">
                  <c:v>0</c:v>
                </c:pt>
                <c:pt idx="3">
                  <c:v>0</c:v>
                </c:pt>
                <c:pt idx="4">
                  <c:v>6.25E-2</c:v>
                </c:pt>
                <c:pt idx="5">
                  <c:v>0.3125</c:v>
                </c:pt>
                <c:pt idx="6">
                  <c:v>0.4375</c:v>
                </c:pt>
                <c:pt idx="7">
                  <c:v>0.5625</c:v>
                </c:pt>
                <c:pt idx="8">
                  <c:v>0.6875</c:v>
                </c:pt>
                <c:pt idx="9">
                  <c:v>0.875</c:v>
                </c:pt>
                <c:pt idx="10">
                  <c:v>1</c:v>
                </c:pt>
                <c:pt idx="11">
                  <c:v>1</c:v>
                </c:pt>
                <c:pt idx="12">
                  <c:v>1</c:v>
                </c:pt>
                <c:pt idx="13">
                  <c:v>1</c:v>
                </c:pt>
                <c:pt idx="14">
                  <c:v>1</c:v>
                </c:pt>
                <c:pt idx="15">
                  <c:v>1</c:v>
                </c:pt>
                <c:pt idx="16">
                  <c:v>1</c:v>
                </c:pt>
                <c:pt idx="17">
                  <c:v>1</c:v>
                </c:pt>
                <c:pt idx="18">
                  <c:v>1</c:v>
                </c:pt>
                <c:pt idx="19">
                  <c:v>1</c:v>
                </c:pt>
                <c:pt idx="20">
                  <c:v>1</c:v>
                </c:pt>
                <c:pt idx="21">
                  <c:v>1</c:v>
                </c:pt>
              </c:numCache>
            </c:numRef>
          </c:val>
          <c:smooth val="1"/>
          <c:extLst>
            <c:ext xmlns:c16="http://schemas.microsoft.com/office/drawing/2014/chart" uri="{C3380CC4-5D6E-409C-BE32-E72D297353CC}">
              <c16:uniqueId val="{0000001A-CA51-4621-A5E4-C42E8ED1AF1B}"/>
            </c:ext>
          </c:extLst>
        </c:ser>
        <c:ser>
          <c:idx val="1"/>
          <c:order val="1"/>
          <c:tx>
            <c:strRef>
              <c:f>'S-Curve Wkly'!$C$10</c:f>
              <c:strCache>
                <c:ptCount val="1"/>
                <c:pt idx="0">
                  <c:v> Submission_1 Actuals</c:v>
                </c:pt>
              </c:strCache>
            </c:strRef>
          </c:tx>
          <c:spPr>
            <a:ln w="19050" cap="rnd">
              <a:solidFill>
                <a:srgbClr val="C00000"/>
              </a:solidFill>
              <a:prstDash val="dash"/>
              <a:round/>
            </a:ln>
            <a:effectLst/>
          </c:spPr>
          <c:marker>
            <c:symbol val="none"/>
          </c:marker>
          <c:dPt>
            <c:idx val="12"/>
            <c:marker>
              <c:symbol val="none"/>
            </c:marker>
            <c:bubble3D val="0"/>
            <c:spPr>
              <a:ln w="19050" cap="rnd">
                <a:solidFill>
                  <a:srgbClr val="C00000"/>
                </a:solidFill>
                <a:prstDash val="dash"/>
                <a:round/>
              </a:ln>
              <a:effectLst/>
            </c:spPr>
            <c:extLst>
              <c:ext xmlns:c16="http://schemas.microsoft.com/office/drawing/2014/chart" uri="{C3380CC4-5D6E-409C-BE32-E72D297353CC}">
                <c16:uniqueId val="{00000004-2849-406F-ADD4-BAE8B01C708E}"/>
              </c:ext>
            </c:extLst>
          </c:dPt>
          <c:dPt>
            <c:idx val="51"/>
            <c:marker>
              <c:symbol val="none"/>
            </c:marker>
            <c:bubble3D val="0"/>
            <c:extLst>
              <c:ext xmlns:c16="http://schemas.microsoft.com/office/drawing/2014/chart" uri="{C3380CC4-5D6E-409C-BE32-E72D297353CC}">
                <c16:uniqueId val="{0000001F-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Wkly'!$C$11:$C$33</c:f>
              <c:numCache>
                <c:formatCode>0.0%</c:formatCode>
                <c:ptCount val="22"/>
                <c:pt idx="0">
                  <c:v>0</c:v>
                </c:pt>
                <c:pt idx="1">
                  <c:v>0</c:v>
                </c:pt>
                <c:pt idx="2">
                  <c:v>0</c:v>
                </c:pt>
                <c:pt idx="3">
                  <c:v>6.25E-2</c:v>
                </c:pt>
                <c:pt idx="4">
                  <c:v>6.25E-2</c:v>
                </c:pt>
                <c:pt idx="5">
                  <c:v>6.25E-2</c:v>
                </c:pt>
                <c:pt idx="6">
                  <c:v>6.25E-2</c:v>
                </c:pt>
                <c:pt idx="7">
                  <c:v>0.3125</c:v>
                </c:pt>
                <c:pt idx="8">
                  <c:v>0.3125</c:v>
                </c:pt>
                <c:pt idx="9">
                  <c:v>0.3125</c:v>
                </c:pt>
                <c:pt idx="10">
                  <c:v>0.3125</c:v>
                </c:pt>
                <c:pt idx="11">
                  <c:v>0.3125</c:v>
                </c:pt>
                <c:pt idx="12">
                  <c:v>0.3125</c:v>
                </c:pt>
                <c:pt idx="13">
                  <c:v>0.3125</c:v>
                </c:pt>
                <c:pt idx="14">
                  <c:v>0.3125</c:v>
                </c:pt>
                <c:pt idx="15">
                  <c:v>0.3125</c:v>
                </c:pt>
                <c:pt idx="16">
                  <c:v>0.3125</c:v>
                </c:pt>
                <c:pt idx="17">
                  <c:v>0.3125</c:v>
                </c:pt>
                <c:pt idx="18">
                  <c:v>1</c:v>
                </c:pt>
                <c:pt idx="19">
                  <c:v>1</c:v>
                </c:pt>
                <c:pt idx="20">
                  <c:v>1</c:v>
                </c:pt>
                <c:pt idx="21">
                  <c:v>1</c:v>
                </c:pt>
              </c:numCache>
            </c:numRef>
          </c:val>
          <c:smooth val="1"/>
          <c:extLst>
            <c:ext xmlns:c16="http://schemas.microsoft.com/office/drawing/2014/chart" uri="{C3380CC4-5D6E-409C-BE32-E72D297353CC}">
              <c16:uniqueId val="{0000001B-CA51-4621-A5E4-C42E8ED1AF1B}"/>
            </c:ext>
          </c:extLst>
        </c:ser>
        <c:ser>
          <c:idx val="2"/>
          <c:order val="2"/>
          <c:tx>
            <c:strRef>
              <c:f>'S-Curve Wkly'!$D$10</c:f>
              <c:strCache>
                <c:ptCount val="1"/>
                <c:pt idx="0">
                  <c:v> Approval Plan</c:v>
                </c:pt>
              </c:strCache>
            </c:strRef>
          </c:tx>
          <c:spPr>
            <a:ln w="19050" cap="rnd">
              <a:solidFill>
                <a:schemeClr val="tx1"/>
              </a:solidFill>
              <a:prstDash val="solid"/>
              <a:round/>
            </a:ln>
            <a:effectLst/>
          </c:spPr>
          <c:marker>
            <c:symbol val="none"/>
          </c:marker>
          <c:dPt>
            <c:idx val="12"/>
            <c:marker>
              <c:symbol val="none"/>
            </c:marker>
            <c:bubble3D val="0"/>
            <c:spPr>
              <a:ln w="19050" cap="rnd">
                <a:solidFill>
                  <a:schemeClr val="tx1"/>
                </a:solidFill>
                <a:prstDash val="solid"/>
                <a:round/>
              </a:ln>
              <a:effectLst/>
            </c:spPr>
            <c:extLst>
              <c:ext xmlns:c16="http://schemas.microsoft.com/office/drawing/2014/chart" uri="{C3380CC4-5D6E-409C-BE32-E72D297353CC}">
                <c16:uniqueId val="{00000007-2849-406F-ADD4-BAE8B01C708E}"/>
              </c:ext>
            </c:extLst>
          </c:dPt>
          <c:dPt>
            <c:idx val="51"/>
            <c:marker>
              <c:symbol val="none"/>
            </c:marker>
            <c:bubble3D val="0"/>
            <c:extLst>
              <c:ext xmlns:c16="http://schemas.microsoft.com/office/drawing/2014/chart" uri="{C3380CC4-5D6E-409C-BE32-E72D297353CC}">
                <c16:uniqueId val="{00000020-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Wkly'!$D$11:$D$33</c:f>
              <c:numCache>
                <c:formatCode>0.0%</c:formatCode>
                <c:ptCount val="22"/>
                <c:pt idx="0">
                  <c:v>0</c:v>
                </c:pt>
                <c:pt idx="1">
                  <c:v>0</c:v>
                </c:pt>
                <c:pt idx="2">
                  <c:v>0</c:v>
                </c:pt>
                <c:pt idx="3">
                  <c:v>0</c:v>
                </c:pt>
                <c:pt idx="4">
                  <c:v>0</c:v>
                </c:pt>
                <c:pt idx="5">
                  <c:v>6.25E-2</c:v>
                </c:pt>
                <c:pt idx="6">
                  <c:v>0.3125</c:v>
                </c:pt>
                <c:pt idx="7">
                  <c:v>0.5</c:v>
                </c:pt>
                <c:pt idx="8">
                  <c:v>0.625</c:v>
                </c:pt>
                <c:pt idx="9">
                  <c:v>0.75</c:v>
                </c:pt>
                <c:pt idx="10">
                  <c:v>0.9375</c:v>
                </c:pt>
                <c:pt idx="11">
                  <c:v>1</c:v>
                </c:pt>
                <c:pt idx="12">
                  <c:v>1</c:v>
                </c:pt>
                <c:pt idx="13">
                  <c:v>1</c:v>
                </c:pt>
                <c:pt idx="14">
                  <c:v>1</c:v>
                </c:pt>
                <c:pt idx="15">
                  <c:v>1</c:v>
                </c:pt>
                <c:pt idx="16">
                  <c:v>1</c:v>
                </c:pt>
                <c:pt idx="17">
                  <c:v>1</c:v>
                </c:pt>
                <c:pt idx="18">
                  <c:v>1</c:v>
                </c:pt>
                <c:pt idx="19">
                  <c:v>1</c:v>
                </c:pt>
                <c:pt idx="20">
                  <c:v>1</c:v>
                </c:pt>
                <c:pt idx="21">
                  <c:v>1</c:v>
                </c:pt>
              </c:numCache>
            </c:numRef>
          </c:val>
          <c:smooth val="1"/>
          <c:extLst>
            <c:ext xmlns:c16="http://schemas.microsoft.com/office/drawing/2014/chart" uri="{C3380CC4-5D6E-409C-BE32-E72D297353CC}">
              <c16:uniqueId val="{0000001C-CA51-4621-A5E4-C42E8ED1AF1B}"/>
            </c:ext>
          </c:extLst>
        </c:ser>
        <c:ser>
          <c:idx val="3"/>
          <c:order val="3"/>
          <c:tx>
            <c:strRef>
              <c:f>'S-Curve Wkly'!$E$10</c:f>
              <c:strCache>
                <c:ptCount val="1"/>
                <c:pt idx="0">
                  <c:v> Approval Actuals</c:v>
                </c:pt>
              </c:strCache>
            </c:strRef>
          </c:tx>
          <c:spPr>
            <a:ln w="25400" cap="rnd">
              <a:solidFill>
                <a:srgbClr val="0000CC"/>
              </a:solidFill>
              <a:round/>
            </a:ln>
            <a:effectLst/>
          </c:spPr>
          <c:marker>
            <c:symbol val="none"/>
          </c:marker>
          <c:dPt>
            <c:idx val="12"/>
            <c:marker>
              <c:symbol val="none"/>
            </c:marker>
            <c:bubble3D val="0"/>
            <c:spPr>
              <a:ln w="25400" cap="rnd">
                <a:solidFill>
                  <a:srgbClr val="0000CC"/>
                </a:solidFill>
                <a:round/>
              </a:ln>
              <a:effectLst/>
            </c:spPr>
            <c:extLst>
              <c:ext xmlns:c16="http://schemas.microsoft.com/office/drawing/2014/chart" uri="{C3380CC4-5D6E-409C-BE32-E72D297353CC}">
                <c16:uniqueId val="{0000000A-2849-406F-ADD4-BAE8B01C708E}"/>
              </c:ext>
            </c:extLst>
          </c:dPt>
          <c:dPt>
            <c:idx val="51"/>
            <c:marker>
              <c:symbol val="none"/>
            </c:marker>
            <c:bubble3D val="0"/>
            <c:extLst>
              <c:ext xmlns:c16="http://schemas.microsoft.com/office/drawing/2014/chart" uri="{C3380CC4-5D6E-409C-BE32-E72D297353CC}">
                <c16:uniqueId val="{00000021-CA51-4621-A5E4-C42E8ED1AF1B}"/>
              </c:ext>
            </c:extLst>
          </c:dPt>
          <c:cat>
            <c:strRef>
              <c:f>'S-Curve Wkly'!$A$11:$A$33</c:f>
              <c:strCache>
                <c:ptCount val="22"/>
                <c:pt idx="0">
                  <c:v>01-Dec-25</c:v>
                </c:pt>
                <c:pt idx="1">
                  <c:v>08-Dec-25</c:v>
                </c:pt>
                <c:pt idx="2">
                  <c:v>15-Dec-25</c:v>
                </c:pt>
                <c:pt idx="3">
                  <c:v>22-Dec-25</c:v>
                </c:pt>
                <c:pt idx="4">
                  <c:v>29-Dec-25</c:v>
                </c:pt>
                <c:pt idx="5">
                  <c:v>05-Jan-26</c:v>
                </c:pt>
                <c:pt idx="6">
                  <c:v>12-Jan-26</c:v>
                </c:pt>
                <c:pt idx="7">
                  <c:v>19-Jan-26</c:v>
                </c:pt>
                <c:pt idx="8">
                  <c:v>26-Jan-26</c:v>
                </c:pt>
                <c:pt idx="9">
                  <c:v>02-Feb-26</c:v>
                </c:pt>
                <c:pt idx="10">
                  <c:v>09-Feb-26</c:v>
                </c:pt>
                <c:pt idx="11">
                  <c:v>16-Feb-26</c:v>
                </c:pt>
                <c:pt idx="12">
                  <c:v>23-Feb-26</c:v>
                </c:pt>
                <c:pt idx="13">
                  <c:v>02-Mar-26</c:v>
                </c:pt>
                <c:pt idx="14">
                  <c:v>09-Mar-26</c:v>
                </c:pt>
                <c:pt idx="15">
                  <c:v>16-Mar-26</c:v>
                </c:pt>
                <c:pt idx="16">
                  <c:v>23-Mar-26</c:v>
                </c:pt>
                <c:pt idx="17">
                  <c:v>30-Mar-26</c:v>
                </c:pt>
                <c:pt idx="18">
                  <c:v>06-Apr-26</c:v>
                </c:pt>
                <c:pt idx="19">
                  <c:v>13-Apr-26</c:v>
                </c:pt>
                <c:pt idx="20">
                  <c:v>20-Apr-26</c:v>
                </c:pt>
                <c:pt idx="21">
                  <c:v>27-Apr-26</c:v>
                </c:pt>
              </c:strCache>
            </c:strRef>
          </c:cat>
          <c:val>
            <c:numRef>
              <c:f>'S-Curve Wkly'!$E$11:$E$33</c:f>
              <c:numCache>
                <c:formatCode>0.0%</c:formatCode>
                <c:ptCount val="22"/>
                <c:pt idx="0">
                  <c:v>0</c:v>
                </c:pt>
                <c:pt idx="1">
                  <c:v>0</c:v>
                </c:pt>
                <c:pt idx="2">
                  <c:v>0</c:v>
                </c:pt>
                <c:pt idx="3">
                  <c:v>0</c:v>
                </c:pt>
                <c:pt idx="4">
                  <c:v>6.25E-2</c:v>
                </c:pt>
                <c:pt idx="5">
                  <c:v>6.25E-2</c:v>
                </c:pt>
                <c:pt idx="6">
                  <c:v>6.25E-2</c:v>
                </c:pt>
                <c:pt idx="7">
                  <c:v>6.25E-2</c:v>
                </c:pt>
                <c:pt idx="8">
                  <c:v>6.25E-2</c:v>
                </c:pt>
                <c:pt idx="9">
                  <c:v>0.3125</c:v>
                </c:pt>
                <c:pt idx="10">
                  <c:v>0.3125</c:v>
                </c:pt>
                <c:pt idx="11">
                  <c:v>0.3125</c:v>
                </c:pt>
                <c:pt idx="12">
                  <c:v>0.3125</c:v>
                </c:pt>
                <c:pt idx="13">
                  <c:v>0.3125</c:v>
                </c:pt>
                <c:pt idx="14">
                  <c:v>0.3125</c:v>
                </c:pt>
                <c:pt idx="15">
                  <c:v>0.3125</c:v>
                </c:pt>
                <c:pt idx="16">
                  <c:v>0.3125</c:v>
                </c:pt>
                <c:pt idx="17">
                  <c:v>0.3125</c:v>
                </c:pt>
                <c:pt idx="18">
                  <c:v>0.3125</c:v>
                </c:pt>
                <c:pt idx="19">
                  <c:v>0.3125</c:v>
                </c:pt>
                <c:pt idx="20">
                  <c:v>1</c:v>
                </c:pt>
                <c:pt idx="21">
                  <c:v>1</c:v>
                </c:pt>
              </c:numCache>
            </c:numRef>
          </c:val>
          <c:smooth val="1"/>
          <c:extLst>
            <c:ext xmlns:c16="http://schemas.microsoft.com/office/drawing/2014/chart" uri="{C3380CC4-5D6E-409C-BE32-E72D297353CC}">
              <c16:uniqueId val="{0000001D-CA51-4621-A5E4-C42E8ED1AF1B}"/>
            </c:ext>
          </c:extLst>
        </c:ser>
        <c:dLbls>
          <c:showLegendKey val="0"/>
          <c:showVal val="0"/>
          <c:showCatName val="0"/>
          <c:showSerName val="0"/>
          <c:showPercent val="0"/>
          <c:showBubbleSize val="0"/>
        </c:dLbls>
        <c:smooth val="0"/>
        <c:axId val="176985536"/>
        <c:axId val="93893488"/>
      </c:lineChart>
      <c:catAx>
        <c:axId val="1769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dk1"/>
                </a:solidFill>
                <a:latin typeface="+mn-lt"/>
                <a:ea typeface="+mn-ea"/>
                <a:cs typeface="+mn-cs"/>
              </a:defRPr>
            </a:pPr>
            <a:endParaRPr lang="en-US"/>
          </a:p>
        </c:txPr>
        <c:crossAx val="93893488"/>
        <c:crosses val="autoZero"/>
        <c:auto val="1"/>
        <c:lblAlgn val="ctr"/>
        <c:lblOffset val="100"/>
        <c:noMultiLvlLbl val="0"/>
      </c:catAx>
      <c:valAx>
        <c:axId val="938934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985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Room_Tracker.xlsx]S-Curve Wkly!PivotTable2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Architecture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Wkly'!$AJ$10</c:f>
              <c:strCache>
                <c:ptCount val="1"/>
                <c:pt idx="0">
                  <c:v> Submission_1 Plan</c:v>
                </c:pt>
              </c:strCache>
            </c:strRef>
          </c:tx>
          <c:spPr>
            <a:ln w="19050" cap="rnd">
              <a:solidFill>
                <a:srgbClr val="00B050"/>
              </a:solidFill>
              <a:prstDash val="dash"/>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Wkly'!$AJ$11:$AJ$32</c:f>
              <c:numCache>
                <c:formatCode>0.0%</c:formatCode>
                <c:ptCount val="21"/>
                <c:pt idx="0">
                  <c:v>0</c:v>
                </c:pt>
                <c:pt idx="1">
                  <c:v>0</c:v>
                </c:pt>
                <c:pt idx="2">
                  <c:v>0.25</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mooth val="1"/>
          <c:extLst>
            <c:ext xmlns:c16="http://schemas.microsoft.com/office/drawing/2014/chart" uri="{C3380CC4-5D6E-409C-BE32-E72D297353CC}">
              <c16:uniqueId val="{00000000-E309-4F39-BD0E-F798DB80203F}"/>
            </c:ext>
          </c:extLst>
        </c:ser>
        <c:ser>
          <c:idx val="1"/>
          <c:order val="1"/>
          <c:tx>
            <c:strRef>
              <c:f>'S-Curve Wkly'!$AK$10</c:f>
              <c:strCache>
                <c:ptCount val="1"/>
                <c:pt idx="0">
                  <c:v> Submission_1 Actuals</c:v>
                </c:pt>
              </c:strCache>
            </c:strRef>
          </c:tx>
          <c:spPr>
            <a:ln w="19050" cap="rnd">
              <a:solidFill>
                <a:srgbClr val="C00000"/>
              </a:solidFill>
              <a:prstDash val="dash"/>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Wkly'!$AK$11:$AK$32</c:f>
              <c:numCache>
                <c:formatCode>0.0%</c:formatCode>
                <c:ptCount val="21"/>
              </c:numCache>
            </c:numRef>
          </c:val>
          <c:smooth val="1"/>
          <c:extLst>
            <c:ext xmlns:c16="http://schemas.microsoft.com/office/drawing/2014/chart" uri="{C3380CC4-5D6E-409C-BE32-E72D297353CC}">
              <c16:uniqueId val="{00000002-E309-4F39-BD0E-F798DB80203F}"/>
            </c:ext>
          </c:extLst>
        </c:ser>
        <c:ser>
          <c:idx val="2"/>
          <c:order val="2"/>
          <c:tx>
            <c:strRef>
              <c:f>'S-Curve Wkly'!$AL$10</c:f>
              <c:strCache>
                <c:ptCount val="1"/>
                <c:pt idx="0">
                  <c:v> Approval Plan</c:v>
                </c:pt>
              </c:strCache>
            </c:strRef>
          </c:tx>
          <c:spPr>
            <a:ln w="25400" cap="rnd">
              <a:solidFill>
                <a:schemeClr val="tx1"/>
              </a:solidFill>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Wkly'!$AL$11:$AL$32</c:f>
              <c:numCache>
                <c:formatCode>0.0%</c:formatCode>
                <c:ptCount val="21"/>
                <c:pt idx="0">
                  <c:v>0</c:v>
                </c:pt>
                <c:pt idx="1">
                  <c:v>0</c:v>
                </c:pt>
                <c:pt idx="2">
                  <c:v>0</c:v>
                </c:pt>
                <c:pt idx="3">
                  <c:v>0.5</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mooth val="1"/>
          <c:extLst>
            <c:ext xmlns:c16="http://schemas.microsoft.com/office/drawing/2014/chart" uri="{C3380CC4-5D6E-409C-BE32-E72D297353CC}">
              <c16:uniqueId val="{00000003-E309-4F39-BD0E-F798DB80203F}"/>
            </c:ext>
          </c:extLst>
        </c:ser>
        <c:ser>
          <c:idx val="3"/>
          <c:order val="3"/>
          <c:tx>
            <c:strRef>
              <c:f>'S-Curve Wkly'!$AM$10</c:f>
              <c:strCache>
                <c:ptCount val="1"/>
                <c:pt idx="0">
                  <c:v> Approval Actuals</c:v>
                </c:pt>
              </c:strCache>
            </c:strRef>
          </c:tx>
          <c:spPr>
            <a:ln w="25400" cap="rnd">
              <a:solidFill>
                <a:srgbClr val="0000CC"/>
              </a:solidFill>
              <a:round/>
            </a:ln>
            <a:effectLst/>
          </c:spPr>
          <c:marker>
            <c:symbol val="none"/>
          </c:marker>
          <c:cat>
            <c:strRef>
              <c:f>'S-Curve Wkly'!$AI$11:$AI$32</c:f>
              <c:strCache>
                <c:ptCount val="21"/>
                <c:pt idx="0">
                  <c:v>05-Jan-26</c:v>
                </c:pt>
                <c:pt idx="1">
                  <c:v>12-Jan-26</c:v>
                </c:pt>
                <c:pt idx="2">
                  <c:v>19-Jan-26</c:v>
                </c:pt>
                <c:pt idx="3">
                  <c:v>26-Jan-26</c:v>
                </c:pt>
                <c:pt idx="4">
                  <c:v>02-Feb-26</c:v>
                </c:pt>
                <c:pt idx="5">
                  <c:v>09-Feb-26</c:v>
                </c:pt>
                <c:pt idx="6">
                  <c:v>16-Feb-26</c:v>
                </c:pt>
                <c:pt idx="7">
                  <c:v>23-Feb-26</c:v>
                </c:pt>
                <c:pt idx="8">
                  <c:v>02-Mar-26</c:v>
                </c:pt>
                <c:pt idx="9">
                  <c:v>09-Mar-26</c:v>
                </c:pt>
                <c:pt idx="10">
                  <c:v>16-Mar-26</c:v>
                </c:pt>
                <c:pt idx="11">
                  <c:v>23-Mar-26</c:v>
                </c:pt>
                <c:pt idx="12">
                  <c:v>30-Mar-26</c:v>
                </c:pt>
                <c:pt idx="13">
                  <c:v>06-Apr-26</c:v>
                </c:pt>
                <c:pt idx="14">
                  <c:v>13-Apr-26</c:v>
                </c:pt>
                <c:pt idx="15">
                  <c:v>20-Apr-26</c:v>
                </c:pt>
                <c:pt idx="16">
                  <c:v>27-Apr-26</c:v>
                </c:pt>
                <c:pt idx="17">
                  <c:v>04-May-26</c:v>
                </c:pt>
                <c:pt idx="18">
                  <c:v>11-May-26</c:v>
                </c:pt>
                <c:pt idx="19">
                  <c:v>18-May-26</c:v>
                </c:pt>
                <c:pt idx="20">
                  <c:v>25-May-26</c:v>
                </c:pt>
              </c:strCache>
            </c:strRef>
          </c:cat>
          <c:val>
            <c:numRef>
              <c:f>'S-Curve Wkly'!$AM$11:$AM$32</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1</c:v>
                </c:pt>
                <c:pt idx="19">
                  <c:v>1</c:v>
                </c:pt>
                <c:pt idx="20">
                  <c:v>1</c:v>
                </c:pt>
              </c:numCache>
            </c:numRef>
          </c:val>
          <c:smooth val="1"/>
          <c:extLst>
            <c:ext xmlns:c16="http://schemas.microsoft.com/office/drawing/2014/chart" uri="{C3380CC4-5D6E-409C-BE32-E72D297353CC}">
              <c16:uniqueId val="{00000004-E309-4F39-BD0E-F798DB80203F}"/>
            </c:ext>
          </c:extLst>
        </c:ser>
        <c:dLbls>
          <c:showLegendKey val="0"/>
          <c:showVal val="0"/>
          <c:showCatName val="0"/>
          <c:showSerName val="0"/>
          <c:showPercent val="0"/>
          <c:showBubbleSize val="0"/>
        </c:dLbls>
        <c:smooth val="0"/>
        <c:axId val="840905743"/>
        <c:axId val="749321967"/>
      </c:lineChart>
      <c:catAx>
        <c:axId val="84090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1967"/>
        <c:crosses val="autoZero"/>
        <c:auto val="1"/>
        <c:lblAlgn val="ctr"/>
        <c:lblOffset val="100"/>
        <c:noMultiLvlLbl val="0"/>
      </c:catAx>
      <c:valAx>
        <c:axId val="7493219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0905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Room_Tracker.xlsx]S-Curve Wkly!PivotTable3</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sz="1400" b="1" i="0" u="none" strike="noStrike" kern="1200" spc="0" baseline="0">
                <a:solidFill>
                  <a:schemeClr val="tx1"/>
                </a:solidFill>
              </a:rPr>
              <a:t>MEP S-Curve (Weekly)</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Wkly'!$BJ$9</c:f>
              <c:strCache>
                <c:ptCount val="1"/>
                <c:pt idx="0">
                  <c:v> Submission_1 Plan</c:v>
                </c:pt>
              </c:strCache>
            </c:strRef>
          </c:tx>
          <c:spPr>
            <a:ln w="25400" cap="rnd">
              <a:solidFill>
                <a:srgbClr val="00B05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Wkly'!$BJ$10:$BJ$62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0-695B-49D0-8A9F-E13A62DC64EC}"/>
            </c:ext>
          </c:extLst>
        </c:ser>
        <c:ser>
          <c:idx val="1"/>
          <c:order val="1"/>
          <c:tx>
            <c:strRef>
              <c:f>'S-Curve Wkly'!$BK$9</c:f>
              <c:strCache>
                <c:ptCount val="1"/>
                <c:pt idx="0">
                  <c:v> Submission_1 Actuals</c:v>
                </c:pt>
              </c:strCache>
            </c:strRef>
          </c:tx>
          <c:spPr>
            <a:ln w="25400" cap="rnd">
              <a:solidFill>
                <a:srgbClr val="C0000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Wkly'!$BK$10:$BK$62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1-695B-49D0-8A9F-E13A62DC64EC}"/>
            </c:ext>
          </c:extLst>
        </c:ser>
        <c:ser>
          <c:idx val="2"/>
          <c:order val="2"/>
          <c:tx>
            <c:strRef>
              <c:f>'S-Curve Wkly'!$BL$9</c:f>
              <c:strCache>
                <c:ptCount val="1"/>
                <c:pt idx="0">
                  <c:v> Approval Plan</c:v>
                </c:pt>
              </c:strCache>
            </c:strRef>
          </c:tx>
          <c:spPr>
            <a:ln w="25400" cap="rnd">
              <a:solidFill>
                <a:schemeClr val="tx1"/>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Wkly'!$BL$10:$BL$62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2-695B-49D0-8A9F-E13A62DC64EC}"/>
            </c:ext>
          </c:extLst>
        </c:ser>
        <c:ser>
          <c:idx val="3"/>
          <c:order val="3"/>
          <c:tx>
            <c:strRef>
              <c:f>'S-Curve Wkly'!$BM$9</c:f>
              <c:strCache>
                <c:ptCount val="1"/>
                <c:pt idx="0">
                  <c:v> Approval Actuals</c:v>
                </c:pt>
              </c:strCache>
            </c:strRef>
          </c:tx>
          <c:spPr>
            <a:ln w="25400" cap="rnd">
              <a:solidFill>
                <a:srgbClr val="0000CC"/>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Wkly'!$BM$10:$BM$62</c:f>
              <c:numCache>
                <c:formatCode>0.0%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1"/>
          <c:extLst>
            <c:ext xmlns:c16="http://schemas.microsoft.com/office/drawing/2014/chart" uri="{C3380CC4-5D6E-409C-BE32-E72D297353CC}">
              <c16:uniqueId val="{00000003-695B-49D0-8A9F-E13A62DC64EC}"/>
            </c:ext>
          </c:extLst>
        </c:ser>
        <c:dLbls>
          <c:showLegendKey val="0"/>
          <c:showVal val="0"/>
          <c:showCatName val="0"/>
          <c:showSerName val="0"/>
          <c:showPercent val="0"/>
          <c:showBubbleSize val="0"/>
        </c:dLbls>
        <c:smooth val="0"/>
        <c:axId val="1381593871"/>
        <c:axId val="749329167"/>
      </c:lineChart>
      <c:catAx>
        <c:axId val="13815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9167"/>
        <c:crosses val="autoZero"/>
        <c:auto val="1"/>
        <c:lblAlgn val="ctr"/>
        <c:lblOffset val="100"/>
        <c:noMultiLvlLbl val="0"/>
      </c:catAx>
      <c:valAx>
        <c:axId val="74932916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1593871"/>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Room_Tracker.xlsx]S-Curve Monthly!PivotTable2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Architecture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C0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Monthly'!$AB$1</c:f>
              <c:strCache>
                <c:ptCount val="1"/>
                <c:pt idx="0">
                  <c:v> Submission_1 Plan</c:v>
                </c:pt>
              </c:strCache>
            </c:strRef>
          </c:tx>
          <c:spPr>
            <a:ln w="19050" cap="rnd">
              <a:solidFill>
                <a:srgbClr val="00B050"/>
              </a:solidFill>
              <a:prstDash val="dash"/>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Monthly'!$AB$2:$AB$10</c:f>
              <c:numCache>
                <c:formatCode>0.0%</c:formatCode>
                <c:ptCount val="8"/>
                <c:pt idx="0">
                  <c:v>0</c:v>
                </c:pt>
                <c:pt idx="1">
                  <c:v>0</c:v>
                </c:pt>
                <c:pt idx="2">
                  <c:v>1</c:v>
                </c:pt>
                <c:pt idx="3">
                  <c:v>1</c:v>
                </c:pt>
                <c:pt idx="4">
                  <c:v>1</c:v>
                </c:pt>
                <c:pt idx="5">
                  <c:v>1</c:v>
                </c:pt>
                <c:pt idx="6">
                  <c:v>1</c:v>
                </c:pt>
                <c:pt idx="7">
                  <c:v>1</c:v>
                </c:pt>
              </c:numCache>
            </c:numRef>
          </c:val>
          <c:smooth val="0"/>
          <c:extLst>
            <c:ext xmlns:c16="http://schemas.microsoft.com/office/drawing/2014/chart" uri="{C3380CC4-5D6E-409C-BE32-E72D297353CC}">
              <c16:uniqueId val="{00000000-ED0A-4DE8-94EA-29D965A4A93F}"/>
            </c:ext>
          </c:extLst>
        </c:ser>
        <c:ser>
          <c:idx val="1"/>
          <c:order val="1"/>
          <c:tx>
            <c:strRef>
              <c:f>'S-Curve Monthly'!$AC$1</c:f>
              <c:strCache>
                <c:ptCount val="1"/>
                <c:pt idx="0">
                  <c:v> Submission_1 Actuals</c:v>
                </c:pt>
              </c:strCache>
            </c:strRef>
          </c:tx>
          <c:spPr>
            <a:ln w="19050" cap="rnd">
              <a:solidFill>
                <a:srgbClr val="C00000"/>
              </a:solidFill>
              <a:prstDash val="dash"/>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Monthly'!$AC$2:$AC$10</c:f>
              <c:numCache>
                <c:formatCode>0.0%</c:formatCode>
                <c:ptCount val="8"/>
                <c:pt idx="0">
                  <c:v>0</c:v>
                </c:pt>
                <c:pt idx="1">
                  <c:v>0</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2-ED0A-4DE8-94EA-29D965A4A93F}"/>
            </c:ext>
          </c:extLst>
        </c:ser>
        <c:ser>
          <c:idx val="2"/>
          <c:order val="2"/>
          <c:tx>
            <c:strRef>
              <c:f>'S-Curve Monthly'!$AD$1</c:f>
              <c:strCache>
                <c:ptCount val="1"/>
                <c:pt idx="0">
                  <c:v> Approval Plan</c:v>
                </c:pt>
              </c:strCache>
            </c:strRef>
          </c:tx>
          <c:spPr>
            <a:ln w="25400" cap="rnd">
              <a:solidFill>
                <a:schemeClr val="tx1"/>
              </a:solidFill>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Monthly'!$AD$2:$AD$10</c:f>
              <c:numCache>
                <c:formatCode>0.0%</c:formatCode>
                <c:ptCount val="8"/>
                <c:pt idx="0">
                  <c:v>0</c:v>
                </c:pt>
                <c:pt idx="1">
                  <c:v>0</c:v>
                </c:pt>
                <c:pt idx="2">
                  <c:v>0.5</c:v>
                </c:pt>
                <c:pt idx="3">
                  <c:v>1</c:v>
                </c:pt>
                <c:pt idx="4">
                  <c:v>1</c:v>
                </c:pt>
                <c:pt idx="5">
                  <c:v>1</c:v>
                </c:pt>
                <c:pt idx="6">
                  <c:v>1</c:v>
                </c:pt>
                <c:pt idx="7">
                  <c:v>1</c:v>
                </c:pt>
              </c:numCache>
            </c:numRef>
          </c:val>
          <c:smooth val="1"/>
          <c:extLst>
            <c:ext xmlns:c16="http://schemas.microsoft.com/office/drawing/2014/chart" uri="{C3380CC4-5D6E-409C-BE32-E72D297353CC}">
              <c16:uniqueId val="{00000003-ED0A-4DE8-94EA-29D965A4A93F}"/>
            </c:ext>
          </c:extLst>
        </c:ser>
        <c:ser>
          <c:idx val="3"/>
          <c:order val="3"/>
          <c:tx>
            <c:strRef>
              <c:f>'S-Curve Monthly'!$AE$1</c:f>
              <c:strCache>
                <c:ptCount val="1"/>
                <c:pt idx="0">
                  <c:v> Approval Actuals</c:v>
                </c:pt>
              </c:strCache>
            </c:strRef>
          </c:tx>
          <c:spPr>
            <a:ln w="25400" cap="rnd">
              <a:solidFill>
                <a:srgbClr val="0000CC"/>
              </a:solidFill>
              <a:round/>
            </a:ln>
            <a:effectLst/>
          </c:spPr>
          <c:marker>
            <c:symbol val="none"/>
          </c:marker>
          <c:cat>
            <c:strRef>
              <c:f>'S-Curve Monthly'!$AA$2:$AA$10</c:f>
              <c:strCache>
                <c:ptCount val="8"/>
                <c:pt idx="0">
                  <c:v>Nov-2025</c:v>
                </c:pt>
                <c:pt idx="1">
                  <c:v>Dec-2025</c:v>
                </c:pt>
                <c:pt idx="2">
                  <c:v>Jan-2026</c:v>
                </c:pt>
                <c:pt idx="3">
                  <c:v>Feb-2026</c:v>
                </c:pt>
                <c:pt idx="4">
                  <c:v>Mar-2026</c:v>
                </c:pt>
                <c:pt idx="5">
                  <c:v>Apr-2026</c:v>
                </c:pt>
                <c:pt idx="6">
                  <c:v>May-2026</c:v>
                </c:pt>
                <c:pt idx="7">
                  <c:v>Jun-2026</c:v>
                </c:pt>
              </c:strCache>
            </c:strRef>
          </c:cat>
          <c:val>
            <c:numRef>
              <c:f>'S-Curve Monthly'!$AE$2:$AE$10</c:f>
              <c:numCache>
                <c:formatCode>0.0%</c:formatCode>
                <c:ptCount val="8"/>
                <c:pt idx="0">
                  <c:v>0</c:v>
                </c:pt>
                <c:pt idx="1">
                  <c:v>0</c:v>
                </c:pt>
                <c:pt idx="2">
                  <c:v>0</c:v>
                </c:pt>
                <c:pt idx="3">
                  <c:v>0</c:v>
                </c:pt>
                <c:pt idx="4">
                  <c:v>0</c:v>
                </c:pt>
                <c:pt idx="5">
                  <c:v>0</c:v>
                </c:pt>
                <c:pt idx="6">
                  <c:v>1</c:v>
                </c:pt>
                <c:pt idx="7">
                  <c:v>1</c:v>
                </c:pt>
              </c:numCache>
            </c:numRef>
          </c:val>
          <c:smooth val="1"/>
          <c:extLst>
            <c:ext xmlns:c16="http://schemas.microsoft.com/office/drawing/2014/chart" uri="{C3380CC4-5D6E-409C-BE32-E72D297353CC}">
              <c16:uniqueId val="{00000004-ED0A-4DE8-94EA-29D965A4A93F}"/>
            </c:ext>
          </c:extLst>
        </c:ser>
        <c:dLbls>
          <c:showLegendKey val="0"/>
          <c:showVal val="0"/>
          <c:showCatName val="0"/>
          <c:showSerName val="0"/>
          <c:showPercent val="0"/>
          <c:showBubbleSize val="0"/>
        </c:dLbls>
        <c:smooth val="0"/>
        <c:axId val="1640960864"/>
        <c:axId val="865335888"/>
      </c:lineChart>
      <c:catAx>
        <c:axId val="164096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335888"/>
        <c:crosses val="autoZero"/>
        <c:auto val="1"/>
        <c:lblAlgn val="ctr"/>
        <c:lblOffset val="100"/>
        <c:noMultiLvlLbl val="0"/>
      </c:catAx>
      <c:valAx>
        <c:axId val="865335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Room_Tracker.xlsx]S-Curve Monthly!PivotTable3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MEP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Monthly'!$BB$1</c:f>
              <c:strCache>
                <c:ptCount val="1"/>
                <c:pt idx="0">
                  <c:v> Submission_1 Plan</c:v>
                </c:pt>
              </c:strCache>
            </c:strRef>
          </c:tx>
          <c:spPr>
            <a:ln w="25400" cap="rnd">
              <a:solidFill>
                <a:srgbClr val="00B05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Monthly'!$BB$2:$BB$13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0-44C5-4EC5-B2DD-06306094C6AE}"/>
            </c:ext>
          </c:extLst>
        </c:ser>
        <c:ser>
          <c:idx val="1"/>
          <c:order val="1"/>
          <c:tx>
            <c:strRef>
              <c:f>'S-Curve Monthly'!$BC$1</c:f>
              <c:strCache>
                <c:ptCount val="1"/>
                <c:pt idx="0">
                  <c:v> Submission_1 Actuals</c:v>
                </c:pt>
              </c:strCache>
            </c:strRef>
          </c:tx>
          <c:spPr>
            <a:ln w="25400" cap="rnd">
              <a:solidFill>
                <a:srgbClr val="C0000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Monthly'!$BC$2:$BC$13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2-44C5-4EC5-B2DD-06306094C6AE}"/>
            </c:ext>
          </c:extLst>
        </c:ser>
        <c:ser>
          <c:idx val="2"/>
          <c:order val="2"/>
          <c:tx>
            <c:strRef>
              <c:f>'S-Curve Monthly'!$BD$1</c:f>
              <c:strCache>
                <c:ptCount val="1"/>
                <c:pt idx="0">
                  <c:v> Approval Plan</c:v>
                </c:pt>
              </c:strCache>
            </c:strRef>
          </c:tx>
          <c:spPr>
            <a:ln w="25400" cap="rnd">
              <a:solidFill>
                <a:schemeClr val="tx1"/>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Monthly'!$BD$2:$BD$13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3-44C5-4EC5-B2DD-06306094C6AE}"/>
            </c:ext>
          </c:extLst>
        </c:ser>
        <c:ser>
          <c:idx val="3"/>
          <c:order val="3"/>
          <c:tx>
            <c:strRef>
              <c:f>'S-Curve Monthly'!$BE$1</c:f>
              <c:strCache>
                <c:ptCount val="1"/>
                <c:pt idx="0">
                  <c:v> Approval Actuals</c:v>
                </c:pt>
              </c:strCache>
            </c:strRef>
          </c:tx>
          <c:spPr>
            <a:ln w="25400" cap="rnd">
              <a:solidFill>
                <a:srgbClr val="0000CC"/>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Monthly'!$BE$2:$BE$13</c:f>
              <c:numCache>
                <c:formatCode>0.0%</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1"/>
          <c:extLst>
            <c:ext xmlns:c16="http://schemas.microsoft.com/office/drawing/2014/chart" uri="{C3380CC4-5D6E-409C-BE32-E72D297353CC}">
              <c16:uniqueId val="{00000004-44C5-4EC5-B2DD-06306094C6AE}"/>
            </c:ext>
          </c:extLst>
        </c:ser>
        <c:dLbls>
          <c:showLegendKey val="0"/>
          <c:showVal val="0"/>
          <c:showCatName val="0"/>
          <c:showSerName val="0"/>
          <c:showPercent val="0"/>
          <c:showBubbleSize val="0"/>
        </c:dLbls>
        <c:smooth val="0"/>
        <c:axId val="1640964112"/>
        <c:axId val="865242288"/>
      </c:lineChart>
      <c:catAx>
        <c:axId val="164096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242288"/>
        <c:crosses val="autoZero"/>
        <c:auto val="1"/>
        <c:lblAlgn val="ctr"/>
        <c:lblOffset val="100"/>
        <c:noMultiLvlLbl val="0"/>
      </c:catAx>
      <c:valAx>
        <c:axId val="865242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4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Room_Tracker.xlsx]S-Curve Monthly!PivotTable4</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Structural S-Curve (Monthly)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ln w="19050" cap="rnd">
            <a:solidFill>
              <a:srgbClr val="00B05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FF000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rgbClr val="0000CC"/>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Monthly'!$B$1</c:f>
              <c:strCache>
                <c:ptCount val="1"/>
                <c:pt idx="0">
                  <c:v> Submission_1 Plan</c:v>
                </c:pt>
              </c:strCache>
            </c:strRef>
          </c:tx>
          <c:spPr>
            <a:ln w="19050" cap="rnd">
              <a:solidFill>
                <a:srgbClr val="00B050"/>
              </a:solidFill>
              <a:prstDash val="dash"/>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Monthly'!$B$2:$B$8</c:f>
              <c:numCache>
                <c:formatCode>0.0%</c:formatCode>
                <c:ptCount val="6"/>
                <c:pt idx="0">
                  <c:v>0</c:v>
                </c:pt>
                <c:pt idx="1">
                  <c:v>6.25E-2</c:v>
                </c:pt>
                <c:pt idx="2">
                  <c:v>0.6875</c:v>
                </c:pt>
                <c:pt idx="3">
                  <c:v>1</c:v>
                </c:pt>
                <c:pt idx="4">
                  <c:v>1</c:v>
                </c:pt>
                <c:pt idx="5">
                  <c:v>1</c:v>
                </c:pt>
              </c:numCache>
            </c:numRef>
          </c:val>
          <c:smooth val="1"/>
          <c:extLst>
            <c:ext xmlns:c16="http://schemas.microsoft.com/office/drawing/2014/chart" uri="{C3380CC4-5D6E-409C-BE32-E72D297353CC}">
              <c16:uniqueId val="{00000000-018A-4208-86B3-6DEC9AB24A89}"/>
            </c:ext>
          </c:extLst>
        </c:ser>
        <c:ser>
          <c:idx val="1"/>
          <c:order val="1"/>
          <c:tx>
            <c:strRef>
              <c:f>'S-Curve Monthly'!$C$1</c:f>
              <c:strCache>
                <c:ptCount val="1"/>
                <c:pt idx="0">
                  <c:v> Submission_1 Actuals</c:v>
                </c:pt>
              </c:strCache>
            </c:strRef>
          </c:tx>
          <c:spPr>
            <a:ln w="19050" cap="rnd">
              <a:solidFill>
                <a:srgbClr val="FF0000"/>
              </a:solidFill>
              <a:prstDash val="dash"/>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Monthly'!$C$2:$C$8</c:f>
              <c:numCache>
                <c:formatCode>0.0%</c:formatCode>
                <c:ptCount val="6"/>
                <c:pt idx="0">
                  <c:v>0</c:v>
                </c:pt>
                <c:pt idx="1">
                  <c:v>6.25E-2</c:v>
                </c:pt>
                <c:pt idx="2">
                  <c:v>0.3125</c:v>
                </c:pt>
                <c:pt idx="3">
                  <c:v>0.3125</c:v>
                </c:pt>
                <c:pt idx="4">
                  <c:v>0.3125</c:v>
                </c:pt>
                <c:pt idx="5">
                  <c:v>1</c:v>
                </c:pt>
              </c:numCache>
            </c:numRef>
          </c:val>
          <c:smooth val="1"/>
          <c:extLst>
            <c:ext xmlns:c16="http://schemas.microsoft.com/office/drawing/2014/chart" uri="{C3380CC4-5D6E-409C-BE32-E72D297353CC}">
              <c16:uniqueId val="{00000002-018A-4208-86B3-6DEC9AB24A89}"/>
            </c:ext>
          </c:extLst>
        </c:ser>
        <c:ser>
          <c:idx val="2"/>
          <c:order val="2"/>
          <c:tx>
            <c:strRef>
              <c:f>'S-Curve Monthly'!$D$1</c:f>
              <c:strCache>
                <c:ptCount val="1"/>
                <c:pt idx="0">
                  <c:v> Approval Plan</c:v>
                </c:pt>
              </c:strCache>
            </c:strRef>
          </c:tx>
          <c:spPr>
            <a:ln w="19050" cap="rnd">
              <a:solidFill>
                <a:schemeClr val="tx1"/>
              </a:solidFill>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Monthly'!$D$2:$D$8</c:f>
              <c:numCache>
                <c:formatCode>0.0%</c:formatCode>
                <c:ptCount val="6"/>
                <c:pt idx="0">
                  <c:v>0</c:v>
                </c:pt>
                <c:pt idx="1">
                  <c:v>0</c:v>
                </c:pt>
                <c:pt idx="2">
                  <c:v>0.625</c:v>
                </c:pt>
                <c:pt idx="3">
                  <c:v>1</c:v>
                </c:pt>
                <c:pt idx="4">
                  <c:v>1</c:v>
                </c:pt>
                <c:pt idx="5">
                  <c:v>1</c:v>
                </c:pt>
              </c:numCache>
            </c:numRef>
          </c:val>
          <c:smooth val="1"/>
          <c:extLst>
            <c:ext xmlns:c16="http://schemas.microsoft.com/office/drawing/2014/chart" uri="{C3380CC4-5D6E-409C-BE32-E72D297353CC}">
              <c16:uniqueId val="{00000006-018A-4208-86B3-6DEC9AB24A89}"/>
            </c:ext>
          </c:extLst>
        </c:ser>
        <c:ser>
          <c:idx val="3"/>
          <c:order val="3"/>
          <c:tx>
            <c:strRef>
              <c:f>'S-Curve Monthly'!$E$1</c:f>
              <c:strCache>
                <c:ptCount val="1"/>
                <c:pt idx="0">
                  <c:v> Approval Actuals</c:v>
                </c:pt>
              </c:strCache>
            </c:strRef>
          </c:tx>
          <c:spPr>
            <a:ln w="22225" cap="rnd">
              <a:solidFill>
                <a:srgbClr val="0000CC"/>
              </a:solidFill>
              <a:prstDash val="solid"/>
              <a:round/>
            </a:ln>
            <a:effectLst/>
          </c:spPr>
          <c:marker>
            <c:symbol val="none"/>
          </c:marker>
          <c:cat>
            <c:strRef>
              <c:f>'S-Curve Monthly'!$A$2:$A$8</c:f>
              <c:strCache>
                <c:ptCount val="6"/>
                <c:pt idx="0">
                  <c:v>Nov-2025</c:v>
                </c:pt>
                <c:pt idx="1">
                  <c:v>Dec-2025</c:v>
                </c:pt>
                <c:pt idx="2">
                  <c:v>Jan-2026</c:v>
                </c:pt>
                <c:pt idx="3">
                  <c:v>Feb-2026</c:v>
                </c:pt>
                <c:pt idx="4">
                  <c:v>Mar-2026</c:v>
                </c:pt>
                <c:pt idx="5">
                  <c:v>Apr-2026</c:v>
                </c:pt>
              </c:strCache>
            </c:strRef>
          </c:cat>
          <c:val>
            <c:numRef>
              <c:f>'S-Curve Monthly'!$E$2:$E$8</c:f>
              <c:numCache>
                <c:formatCode>0.0%</c:formatCode>
                <c:ptCount val="6"/>
                <c:pt idx="0">
                  <c:v>0</c:v>
                </c:pt>
                <c:pt idx="1">
                  <c:v>0</c:v>
                </c:pt>
                <c:pt idx="2">
                  <c:v>6.25E-2</c:v>
                </c:pt>
                <c:pt idx="3">
                  <c:v>0.3125</c:v>
                </c:pt>
                <c:pt idx="4">
                  <c:v>0.3125</c:v>
                </c:pt>
                <c:pt idx="5">
                  <c:v>1</c:v>
                </c:pt>
              </c:numCache>
            </c:numRef>
          </c:val>
          <c:smooth val="0"/>
          <c:extLst>
            <c:ext xmlns:c16="http://schemas.microsoft.com/office/drawing/2014/chart" uri="{C3380CC4-5D6E-409C-BE32-E72D297353CC}">
              <c16:uniqueId val="{00000007-018A-4208-86B3-6DEC9AB24A89}"/>
            </c:ext>
          </c:extLst>
        </c:ser>
        <c:dLbls>
          <c:showLegendKey val="0"/>
          <c:showVal val="0"/>
          <c:showCatName val="0"/>
          <c:showSerName val="0"/>
          <c:showPercent val="0"/>
          <c:showBubbleSize val="0"/>
        </c:dLbls>
        <c:smooth val="0"/>
        <c:axId val="102088528"/>
        <c:axId val="2008520176"/>
      </c:lineChart>
      <c:catAx>
        <c:axId val="10208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8520176"/>
        <c:crosses val="autoZero"/>
        <c:auto val="1"/>
        <c:lblAlgn val="ctr"/>
        <c:lblOffset val="100"/>
        <c:noMultiLvlLbl val="0"/>
      </c:catAx>
      <c:valAx>
        <c:axId val="2008520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0885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Room_Tracker.xlsx]DB!PivotTable6</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Overall Project Drawings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0000CC"/>
          </a:solidFill>
          <a:ln w="19050">
            <a:solidFill>
              <a:schemeClr val="lt1"/>
            </a:solidFill>
          </a:ln>
          <a:effectLst/>
        </c:spPr>
        <c:dLbl>
          <c:idx val="0"/>
          <c:layout>
            <c:manualLayout>
              <c:x val="-1.735357917570499E-2"/>
              <c:y val="1.388888888888893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1.0845986984815618E-2"/>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5.6399132321041212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DB!$B$1</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3-E3DE-46D4-979C-088BF64DEF38}"/>
              </c:ext>
            </c:extLst>
          </c:dPt>
          <c:dPt>
            <c:idx val="1"/>
            <c:bubble3D val="0"/>
            <c:spPr>
              <a:solidFill>
                <a:srgbClr val="0000CC"/>
              </a:solidFill>
              <a:ln w="19050">
                <a:solidFill>
                  <a:schemeClr val="lt1"/>
                </a:solidFill>
              </a:ln>
              <a:effectLst/>
            </c:spPr>
            <c:extLst>
              <c:ext xmlns:c16="http://schemas.microsoft.com/office/drawing/2014/chart" uri="{C3380CC4-5D6E-409C-BE32-E72D297353CC}">
                <c16:uniqueId val="{00000004-E3DE-46D4-979C-088BF64DEF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3DE-46D4-979C-088BF64DEF38}"/>
              </c:ext>
            </c:extLst>
          </c:dPt>
          <c:dLbls>
            <c:dLbl>
              <c:idx val="0"/>
              <c:layout>
                <c:manualLayout>
                  <c:x val="1.0845986984815618E-2"/>
                  <c:y val="4.166666666666666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3DE-46D4-979C-088BF64DEF38}"/>
                </c:ext>
              </c:extLst>
            </c:dLbl>
            <c:dLbl>
              <c:idx val="1"/>
              <c:layout>
                <c:manualLayout>
                  <c:x val="-1.735357917570499E-2"/>
                  <c:y val="1.388888888888893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E3DE-46D4-979C-088BF64DEF38}"/>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DB!$A$2:$A$5</c:f>
              <c:strCache>
                <c:ptCount val="3"/>
                <c:pt idx="0">
                  <c:v>Architecture</c:v>
                </c:pt>
                <c:pt idx="1">
                  <c:v>Structural</c:v>
                </c:pt>
                <c:pt idx="2">
                  <c:v>(blank)</c:v>
                </c:pt>
              </c:strCache>
            </c:strRef>
          </c:cat>
          <c:val>
            <c:numRef>
              <c:f>DB!$B$2:$B$5</c:f>
              <c:numCache>
                <c:formatCode>General</c:formatCode>
                <c:ptCount val="3"/>
                <c:pt idx="0">
                  <c:v>4</c:v>
                </c:pt>
                <c:pt idx="1">
                  <c:v>16</c:v>
                </c:pt>
              </c:numCache>
            </c:numRef>
          </c:val>
          <c:extLst>
            <c:ext xmlns:c16="http://schemas.microsoft.com/office/drawing/2014/chart" uri="{C3380CC4-5D6E-409C-BE32-E72D297353CC}">
              <c16:uniqueId val="{00000000-E3DE-46D4-979C-088BF64DEF3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Discipline-wise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DB!$G$24</c:f>
              <c:strCache>
                <c:ptCount val="1"/>
                <c:pt idx="0">
                  <c:v>Submission Status</c:v>
                </c:pt>
              </c:strCache>
            </c:strRef>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Structural</c:v>
                </c:pt>
                <c:pt idx="2">
                  <c:v>Grand Total</c:v>
                </c:pt>
              </c:strCache>
            </c:strRef>
          </c:cat>
          <c:val>
            <c:numRef>
              <c:f>DB!$G$25:$G$27</c:f>
              <c:numCache>
                <c:formatCode>0%</c:formatCode>
                <c:ptCount val="3"/>
                <c:pt idx="0">
                  <c:v>1</c:v>
                </c:pt>
                <c:pt idx="1">
                  <c:v>1</c:v>
                </c:pt>
                <c:pt idx="2">
                  <c:v>1</c:v>
                </c:pt>
              </c:numCache>
            </c:numRef>
          </c:val>
          <c:extLst>
            <c:ext xmlns:c16="http://schemas.microsoft.com/office/drawing/2014/chart" uri="{C3380CC4-5D6E-409C-BE32-E72D297353CC}">
              <c16:uniqueId val="{00000000-0C95-4EBD-8690-67A212E40B4A}"/>
            </c:ext>
          </c:extLst>
        </c:ser>
        <c:ser>
          <c:idx val="1"/>
          <c:order val="1"/>
          <c:tx>
            <c:strRef>
              <c:f>DB!$H$24</c:f>
              <c:strCache>
                <c:ptCount val="1"/>
                <c:pt idx="0">
                  <c:v>Approval Status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Structural</c:v>
                </c:pt>
                <c:pt idx="2">
                  <c:v>Grand Total</c:v>
                </c:pt>
              </c:strCache>
            </c:strRef>
          </c:cat>
          <c:val>
            <c:numRef>
              <c:f>DB!$H$25:$H$27</c:f>
              <c:numCache>
                <c:formatCode>0%</c:formatCode>
                <c:ptCount val="3"/>
                <c:pt idx="0">
                  <c:v>1</c:v>
                </c:pt>
                <c:pt idx="1">
                  <c:v>1</c:v>
                </c:pt>
                <c:pt idx="2">
                  <c:v>1</c:v>
                </c:pt>
              </c:numCache>
            </c:numRef>
          </c:val>
          <c:extLst>
            <c:ext xmlns:c16="http://schemas.microsoft.com/office/drawing/2014/chart" uri="{C3380CC4-5D6E-409C-BE32-E72D297353CC}">
              <c16:uniqueId val="{00000001-0C95-4EBD-8690-67A212E40B4A}"/>
            </c:ext>
          </c:extLst>
        </c:ser>
        <c:dLbls>
          <c:dLblPos val="outEnd"/>
          <c:showLegendKey val="0"/>
          <c:showVal val="1"/>
          <c:showCatName val="0"/>
          <c:showSerName val="0"/>
          <c:showPercent val="0"/>
          <c:showBubbleSize val="0"/>
        </c:dLbls>
        <c:gapWidth val="219"/>
        <c:overlap val="-27"/>
        <c:axId val="1616814896"/>
        <c:axId val="865228368"/>
      </c:barChart>
      <c:catAx>
        <c:axId val="16168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65228368"/>
        <c:crosses val="autoZero"/>
        <c:auto val="1"/>
        <c:lblAlgn val="ctr"/>
        <c:lblOffset val="100"/>
        <c:noMultiLvlLbl val="0"/>
      </c:catAx>
      <c:valAx>
        <c:axId val="86522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681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0">
                <a:solidFill>
                  <a:schemeClr val="tx1"/>
                </a:solidFill>
              </a:rPr>
              <a:t>Overall Structural Approval Status</a:t>
            </a:r>
          </a:p>
        </c:rich>
      </c:tx>
      <c:overlay val="0"/>
      <c:spPr>
        <a:noFill/>
        <a:ln>
          <a:noFill/>
        </a:ln>
        <a:effectLst/>
      </c:spPr>
    </c:title>
    <c:autoTitleDeleted val="0"/>
    <c:plotArea>
      <c:layout>
        <c:manualLayout>
          <c:layoutTarget val="inner"/>
          <c:xMode val="edge"/>
          <c:yMode val="edge"/>
          <c:x val="0.2343801652892562"/>
          <c:y val="0.13315352697095437"/>
          <c:w val="0.53123966942148759"/>
          <c:h val="0.8460995850622407"/>
        </c:manualLayout>
      </c:layout>
      <c:doughnutChart>
        <c:varyColors val="1"/>
        <c:ser>
          <c:idx val="0"/>
          <c:order val="0"/>
          <c:tx>
            <c:strRef>
              <c:f>DB!$A$39</c:f>
              <c:strCache>
                <c:ptCount val="1"/>
                <c:pt idx="0">
                  <c:v>Speedometer</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4F6-4C0D-B01E-4E5C8B325E05}"/>
              </c:ext>
            </c:extLst>
          </c:dPt>
          <c:dPt>
            <c:idx val="1"/>
            <c:bubble3D val="0"/>
            <c:spPr>
              <a:solidFill>
                <a:srgbClr val="FF0000"/>
              </a:solidFill>
              <a:ln w="19050">
                <a:noFill/>
              </a:ln>
              <a:effectLst/>
            </c:spPr>
            <c:extLst>
              <c:ext xmlns:c16="http://schemas.microsoft.com/office/drawing/2014/chart" uri="{C3380CC4-5D6E-409C-BE32-E72D297353CC}">
                <c16:uniqueId val="{00000005-127B-4CB2-8BC7-8FD4839447D5}"/>
              </c:ext>
            </c:extLst>
          </c:dPt>
          <c:dPt>
            <c:idx val="2"/>
            <c:bubble3D val="0"/>
            <c:spPr>
              <a:solidFill>
                <a:srgbClr val="FFC000"/>
              </a:solidFill>
              <a:ln w="19050">
                <a:noFill/>
              </a:ln>
              <a:effectLst/>
            </c:spPr>
            <c:extLst>
              <c:ext xmlns:c16="http://schemas.microsoft.com/office/drawing/2014/chart" uri="{C3380CC4-5D6E-409C-BE32-E72D297353CC}">
                <c16:uniqueId val="{00000006-127B-4CB2-8BC7-8FD4839447D5}"/>
              </c:ext>
            </c:extLst>
          </c:dPt>
          <c:dPt>
            <c:idx val="3"/>
            <c:bubble3D val="0"/>
            <c:spPr>
              <a:solidFill>
                <a:srgbClr val="00B050"/>
              </a:solidFill>
              <a:ln w="19050">
                <a:noFill/>
              </a:ln>
              <a:effectLst/>
            </c:spPr>
            <c:extLst>
              <c:ext xmlns:c16="http://schemas.microsoft.com/office/drawing/2014/chart" uri="{C3380CC4-5D6E-409C-BE32-E72D297353CC}">
                <c16:uniqueId val="{00000007-127B-4CB2-8BC7-8FD4839447D5}"/>
              </c:ext>
            </c:extLst>
          </c:dPt>
          <c:dPt>
            <c:idx val="4"/>
            <c:bubble3D val="0"/>
            <c:spPr>
              <a:noFill/>
              <a:ln w="19050">
                <a:noFill/>
              </a:ln>
              <a:effectLst/>
            </c:spPr>
            <c:extLst>
              <c:ext xmlns:c16="http://schemas.microsoft.com/office/drawing/2014/chart" uri="{C3380CC4-5D6E-409C-BE32-E72D297353CC}">
                <c16:uniqueId val="{00000004-127B-4CB2-8BC7-8FD4839447D5}"/>
              </c:ext>
            </c:extLst>
          </c:dPt>
          <c:val>
            <c:numRef>
              <c:f>DB!$B$40:$B$44</c:f>
              <c:numCache>
                <c:formatCode>General</c:formatCode>
                <c:ptCount val="5"/>
                <c:pt idx="0">
                  <c:v>0</c:v>
                </c:pt>
                <c:pt idx="1">
                  <c:v>30</c:v>
                </c:pt>
                <c:pt idx="2">
                  <c:v>40</c:v>
                </c:pt>
                <c:pt idx="3">
                  <c:v>30</c:v>
                </c:pt>
                <c:pt idx="4">
                  <c:v>100</c:v>
                </c:pt>
              </c:numCache>
            </c:numRef>
          </c:val>
          <c:extLst>
            <c:ext xmlns:c16="http://schemas.microsoft.com/office/drawing/2014/chart" uri="{C3380CC4-5D6E-409C-BE32-E72D297353CC}">
              <c16:uniqueId val="{00000003-127B-4CB2-8BC7-8FD4839447D5}"/>
            </c:ext>
          </c:extLst>
        </c:ser>
        <c:dLbls>
          <c:showLegendKey val="0"/>
          <c:showVal val="0"/>
          <c:showCatName val="0"/>
          <c:showSerName val="0"/>
          <c:showPercent val="0"/>
          <c:showBubbleSize val="0"/>
          <c:showLeaderLines val="1"/>
        </c:dLbls>
        <c:firstSliceAng val="270"/>
        <c:holeSize val="50"/>
      </c:doughnutChart>
      <c:pieChart>
        <c:varyColors val="1"/>
        <c:ser>
          <c:idx val="1"/>
          <c:order val="1"/>
          <c:tx>
            <c:strRef>
              <c:f>DB!$C$39</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A-127B-4CB2-8BC7-8FD4839447D5}"/>
              </c:ext>
            </c:extLst>
          </c:dPt>
          <c:dPt>
            <c:idx val="1"/>
            <c:bubble3D val="0"/>
            <c:spPr>
              <a:solidFill>
                <a:schemeClr val="tx1"/>
              </a:solidFill>
              <a:ln w="19050">
                <a:noFill/>
              </a:ln>
              <a:effectLst/>
            </c:spPr>
            <c:extLst>
              <c:ext xmlns:c16="http://schemas.microsoft.com/office/drawing/2014/chart" uri="{C3380CC4-5D6E-409C-BE32-E72D297353CC}">
                <c16:uniqueId val="{0000000B-127B-4CB2-8BC7-8FD4839447D5}"/>
              </c:ext>
            </c:extLst>
          </c:dPt>
          <c:dPt>
            <c:idx val="2"/>
            <c:bubble3D val="0"/>
            <c:spPr>
              <a:noFill/>
              <a:ln w="19050">
                <a:noFill/>
              </a:ln>
              <a:effectLst/>
            </c:spPr>
            <c:extLst>
              <c:ext xmlns:c16="http://schemas.microsoft.com/office/drawing/2014/chart" uri="{C3380CC4-5D6E-409C-BE32-E72D297353CC}">
                <c16:uniqueId val="{00000009-127B-4CB2-8BC7-8FD4839447D5}"/>
              </c:ext>
            </c:extLst>
          </c:dPt>
          <c:val>
            <c:numRef>
              <c:f>DB!$D$40:$D$42</c:f>
              <c:numCache>
                <c:formatCode>General</c:formatCode>
                <c:ptCount val="3"/>
                <c:pt idx="0" formatCode="0">
                  <c:v>100</c:v>
                </c:pt>
                <c:pt idx="1">
                  <c:v>2</c:v>
                </c:pt>
                <c:pt idx="2" formatCode="0">
                  <c:v>98</c:v>
                </c:pt>
              </c:numCache>
            </c:numRef>
          </c:val>
          <c:extLst>
            <c:ext xmlns:c16="http://schemas.microsoft.com/office/drawing/2014/chart" uri="{C3380CC4-5D6E-409C-BE32-E72D297353CC}">
              <c16:uniqueId val="{00000008-127B-4CB2-8BC7-8FD4839447D5}"/>
            </c:ext>
          </c:extLst>
        </c:ser>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Room_Tracker.xlsx]DB!PivotTable16</c:name>
    <c:fmtId val="0"/>
  </c:pivotSource>
  <c:chart>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DB!$B$71</c:f>
              <c:strCache>
                <c:ptCount val="1"/>
                <c:pt idx="0">
                  <c:v>Total DRG ID</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DB!$B$72:$B$73</c:f>
              <c:numCache>
                <c:formatCode>General</c:formatCode>
                <c:ptCount val="1"/>
                <c:pt idx="0">
                  <c:v>16</c:v>
                </c:pt>
              </c:numCache>
            </c:numRef>
          </c:val>
          <c:extLst>
            <c:ext xmlns:c16="http://schemas.microsoft.com/office/drawing/2014/chart" uri="{C3380CC4-5D6E-409C-BE32-E72D297353CC}">
              <c16:uniqueId val="{00000000-1098-40F4-BDB1-E7CB05A144E0}"/>
            </c:ext>
          </c:extLst>
        </c:ser>
        <c:ser>
          <c:idx val="1"/>
          <c:order val="1"/>
          <c:tx>
            <c:strRef>
              <c:f>DB!$C$71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DB!$C$72:$C$73</c:f>
              <c:numCache>
                <c:formatCode>General</c:formatCode>
                <c:ptCount val="1"/>
                <c:pt idx="0">
                  <c:v>16</c:v>
                </c:pt>
              </c:numCache>
            </c:numRef>
          </c:val>
          <c:extLst>
            <c:ext xmlns:c16="http://schemas.microsoft.com/office/drawing/2014/chart" uri="{C3380CC4-5D6E-409C-BE32-E72D297353CC}">
              <c16:uniqueId val="{00000002-1098-40F4-BDB1-E7CB05A144E0}"/>
            </c:ext>
          </c:extLst>
        </c:ser>
        <c:ser>
          <c:idx val="2"/>
          <c:order val="2"/>
          <c:tx>
            <c:strRef>
              <c:f>DB!$D$71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DB!$A$72:$A$73</c:f>
              <c:strCache>
                <c:ptCount val="1"/>
                <c:pt idx="0">
                  <c:v>Structural</c:v>
                </c:pt>
              </c:strCache>
            </c:strRef>
          </c:cat>
          <c:val>
            <c:numRef>
              <c:f>DB!$D$72:$D$73</c:f>
              <c:numCache>
                <c:formatCode>General</c:formatCode>
                <c:ptCount val="1"/>
                <c:pt idx="0">
                  <c:v>16</c:v>
                </c:pt>
              </c:numCache>
            </c:numRef>
          </c:val>
          <c:extLst>
            <c:ext xmlns:c16="http://schemas.microsoft.com/office/drawing/2014/chart" uri="{C3380CC4-5D6E-409C-BE32-E72D297353CC}">
              <c16:uniqueId val="{00000003-1098-40F4-BDB1-E7CB05A144E0}"/>
            </c:ext>
          </c:extLst>
        </c:ser>
        <c:dLbls>
          <c:dLblPos val="outEnd"/>
          <c:showLegendKey val="0"/>
          <c:showVal val="1"/>
          <c:showCatName val="0"/>
          <c:showSerName val="0"/>
          <c:showPercent val="0"/>
          <c:showBubbleSize val="0"/>
        </c:dLbls>
        <c:gapWidth val="219"/>
        <c:overlap val="-27"/>
        <c:axId val="1616809328"/>
        <c:axId val="865265808"/>
      </c:barChart>
      <c:catAx>
        <c:axId val="16168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265808"/>
        <c:crosses val="autoZero"/>
        <c:auto val="1"/>
        <c:lblAlgn val="ctr"/>
        <c:lblOffset val="100"/>
        <c:noMultiLvlLbl val="0"/>
      </c:catAx>
      <c:valAx>
        <c:axId val="86526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6809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[ABF Substation &amp; Control Room_Tracker.xlsx]Sheet3!PivotTable3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Sum of Submission_1 Plan</c:v>
                </c:pt>
              </c:strCache>
            </c:strRef>
          </c:tx>
          <c:spPr>
            <a:ln w="28575" cap="rnd">
              <a:solidFill>
                <a:schemeClr val="accent1"/>
              </a:solidFill>
              <a:round/>
            </a:ln>
            <a:effectLst/>
          </c:spPr>
          <c:marker>
            <c:symbol val="none"/>
          </c:marker>
          <c:cat>
            <c:strRef>
              <c:f>Sheet3!$A$2:$A$8</c:f>
              <c:strCache>
                <c:ptCount val="6"/>
                <c:pt idx="0">
                  <c:v>Nov-2025</c:v>
                </c:pt>
                <c:pt idx="1">
                  <c:v>Dec-2025</c:v>
                </c:pt>
                <c:pt idx="2">
                  <c:v>Jan-2026</c:v>
                </c:pt>
                <c:pt idx="3">
                  <c:v>Feb-2026</c:v>
                </c:pt>
                <c:pt idx="4">
                  <c:v>Mar-2026</c:v>
                </c:pt>
                <c:pt idx="5">
                  <c:v>Apr-2026</c:v>
                </c:pt>
              </c:strCache>
            </c:strRef>
          </c:cat>
          <c:val>
            <c:numRef>
              <c:f>Sheet3!$B$2:$B$8</c:f>
              <c:numCache>
                <c:formatCode>0.0%</c:formatCode>
                <c:ptCount val="6"/>
                <c:pt idx="0">
                  <c:v>0</c:v>
                </c:pt>
                <c:pt idx="1">
                  <c:v>6.25E-2</c:v>
                </c:pt>
                <c:pt idx="2">
                  <c:v>0.6875</c:v>
                </c:pt>
                <c:pt idx="3">
                  <c:v>1</c:v>
                </c:pt>
                <c:pt idx="4">
                  <c:v>1</c:v>
                </c:pt>
                <c:pt idx="5">
                  <c:v>1</c:v>
                </c:pt>
              </c:numCache>
            </c:numRef>
          </c:val>
          <c:smooth val="0"/>
          <c:extLst>
            <c:ext xmlns:c16="http://schemas.microsoft.com/office/drawing/2014/chart" uri="{C3380CC4-5D6E-409C-BE32-E72D297353CC}">
              <c16:uniqueId val="{00000000-04C7-4161-A759-76E4B70D94EF}"/>
            </c:ext>
          </c:extLst>
        </c:ser>
        <c:ser>
          <c:idx val="1"/>
          <c:order val="1"/>
          <c:tx>
            <c:strRef>
              <c:f>Sheet3!$C$1</c:f>
              <c:strCache>
                <c:ptCount val="1"/>
                <c:pt idx="0">
                  <c:v>Sum of Submission_1 Actuals</c:v>
                </c:pt>
              </c:strCache>
            </c:strRef>
          </c:tx>
          <c:spPr>
            <a:ln w="28575" cap="rnd">
              <a:solidFill>
                <a:schemeClr val="accent2"/>
              </a:solidFill>
              <a:round/>
            </a:ln>
            <a:effectLst/>
          </c:spPr>
          <c:marker>
            <c:symbol val="none"/>
          </c:marker>
          <c:cat>
            <c:strRef>
              <c:f>Sheet3!$A$2:$A$8</c:f>
              <c:strCache>
                <c:ptCount val="6"/>
                <c:pt idx="0">
                  <c:v>Nov-2025</c:v>
                </c:pt>
                <c:pt idx="1">
                  <c:v>Dec-2025</c:v>
                </c:pt>
                <c:pt idx="2">
                  <c:v>Jan-2026</c:v>
                </c:pt>
                <c:pt idx="3">
                  <c:v>Feb-2026</c:v>
                </c:pt>
                <c:pt idx="4">
                  <c:v>Mar-2026</c:v>
                </c:pt>
                <c:pt idx="5">
                  <c:v>Apr-2026</c:v>
                </c:pt>
              </c:strCache>
            </c:strRef>
          </c:cat>
          <c:val>
            <c:numRef>
              <c:f>Sheet3!$C$2:$C$8</c:f>
              <c:numCache>
                <c:formatCode>0.0%</c:formatCode>
                <c:ptCount val="6"/>
                <c:pt idx="0">
                  <c:v>0</c:v>
                </c:pt>
                <c:pt idx="1">
                  <c:v>6.25E-2</c:v>
                </c:pt>
                <c:pt idx="2">
                  <c:v>0.3125</c:v>
                </c:pt>
                <c:pt idx="3">
                  <c:v>0.3125</c:v>
                </c:pt>
                <c:pt idx="4">
                  <c:v>0.3125</c:v>
                </c:pt>
                <c:pt idx="5">
                  <c:v>1</c:v>
                </c:pt>
              </c:numCache>
            </c:numRef>
          </c:val>
          <c:smooth val="0"/>
          <c:extLst>
            <c:ext xmlns:c16="http://schemas.microsoft.com/office/drawing/2014/chart" uri="{C3380CC4-5D6E-409C-BE32-E72D297353CC}">
              <c16:uniqueId val="{00000002-04C7-4161-A759-76E4B70D94EF}"/>
            </c:ext>
          </c:extLst>
        </c:ser>
        <c:dLbls>
          <c:showLegendKey val="0"/>
          <c:showVal val="0"/>
          <c:showCatName val="0"/>
          <c:showSerName val="0"/>
          <c:showPercent val="0"/>
          <c:showBubbleSize val="0"/>
        </c:dLbls>
        <c:smooth val="0"/>
        <c:axId val="102129360"/>
        <c:axId val="2008552816"/>
      </c:lineChart>
      <c:catAx>
        <c:axId val="10212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552816"/>
        <c:crosses val="autoZero"/>
        <c:auto val="1"/>
        <c:lblAlgn val="ctr"/>
        <c:lblOffset val="100"/>
        <c:noMultiLvlLbl val="0"/>
      </c:catAx>
      <c:valAx>
        <c:axId val="200855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9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57150</xdr:colOff>
      <xdr:row>7</xdr:row>
      <xdr:rowOff>177800</xdr:rowOff>
    </xdr:from>
    <xdr:to>
      <xdr:col>24</xdr:col>
      <xdr:colOff>139700</xdr:colOff>
      <xdr:row>28</xdr:row>
      <xdr:rowOff>127000</xdr:rowOff>
    </xdr:to>
    <xdr:graphicFrame macro="">
      <xdr:nvGraphicFramePr>
        <xdr:cNvPr id="2" name="Chart 1">
          <a:extLst>
            <a:ext uri="{FF2B5EF4-FFF2-40B4-BE49-F238E27FC236}">
              <a16:creationId xmlns:a16="http://schemas.microsoft.com/office/drawing/2014/main" id="{4265885B-8499-99C2-828D-C695F3D9C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38101</xdr:rowOff>
    </xdr:from>
    <xdr:to>
      <xdr:col>9</xdr:col>
      <xdr:colOff>38100</xdr:colOff>
      <xdr:row>7</xdr:row>
      <xdr:rowOff>88901</xdr:rowOff>
    </xdr:to>
    <mc:AlternateContent xmlns:mc="http://schemas.openxmlformats.org/markup-compatibility/2006" xmlns:a14="http://schemas.microsoft.com/office/drawing/2010/main">
      <mc:Choice Requires="a14">
        <xdr:graphicFrame macro="">
          <xdr:nvGraphicFramePr>
            <xdr:cNvPr id="3" name="Discipline">
              <a:extLst>
                <a:ext uri="{FF2B5EF4-FFF2-40B4-BE49-F238E27FC236}">
                  <a16:creationId xmlns:a16="http://schemas.microsoft.com/office/drawing/2014/main" id="{36EB0DD7-20C6-48A3-D6C8-22908AF5B216}"/>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mlns="">
        <xdr:sp macro="" textlink="">
          <xdr:nvSpPr>
            <xdr:cNvPr id="0" name=""/>
            <xdr:cNvSpPr>
              <a:spLocks noTextEdit="1"/>
            </xdr:cNvSpPr>
          </xdr:nvSpPr>
          <xdr:spPr>
            <a:xfrm>
              <a:off x="38100" y="38101"/>
              <a:ext cx="1828800" cy="133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142873</xdr:colOff>
      <xdr:row>8</xdr:row>
      <xdr:rowOff>57150</xdr:rowOff>
    </xdr:from>
    <xdr:to>
      <xdr:col>27</xdr:col>
      <xdr:colOff>9944</xdr:colOff>
      <xdr:row>27</xdr:row>
      <xdr:rowOff>122958</xdr:rowOff>
    </xdr:to>
    <xdr:graphicFrame macro="">
      <xdr:nvGraphicFramePr>
        <xdr:cNvPr id="2" name="Chart 1">
          <a:extLst>
            <a:ext uri="{FF2B5EF4-FFF2-40B4-BE49-F238E27FC236}">
              <a16:creationId xmlns:a16="http://schemas.microsoft.com/office/drawing/2014/main" id="{43B54BAD-0994-5601-5743-6B67D510B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152593</xdr:colOff>
      <xdr:row>1</xdr:row>
      <xdr:rowOff>127449</xdr:rowOff>
    </xdr:from>
    <xdr:to>
      <xdr:col>27</xdr:col>
      <xdr:colOff>19664</xdr:colOff>
      <xdr:row>7</xdr:row>
      <xdr:rowOff>91388</xdr:rowOff>
    </xdr:to>
    <mc:AlternateContent xmlns:mc="http://schemas.openxmlformats.org/markup-compatibility/2006" xmlns:tsle="http://schemas.microsoft.com/office/drawing/2012/timeslicer">
      <mc:Choice Requires="tsle">
        <xdr:graphicFrame macro="">
          <xdr:nvGraphicFramePr>
            <xdr:cNvPr id="4" name="Rpt_Week">
              <a:extLst>
                <a:ext uri="{FF2B5EF4-FFF2-40B4-BE49-F238E27FC236}">
                  <a16:creationId xmlns:a16="http://schemas.microsoft.com/office/drawing/2014/main" id="{C48A2215-7C80-CA1D-7284-ACA824A2168E}"/>
                </a:ext>
              </a:extLst>
            </xdr:cNvPr>
            <xdr:cNvGraphicFramePr/>
          </xdr:nvGraphicFramePr>
          <xdr:xfrm>
            <a:off x="0" y="0"/>
            <a:ext cx="0" cy="0"/>
          </xdr:xfrm>
          <a:graphic>
            <a:graphicData uri="http://schemas.microsoft.com/office/drawing/2012/timeslicer">
              <tsle:timeslicer name="Rpt_Week"/>
            </a:graphicData>
          </a:graphic>
        </xdr:graphicFrame>
      </mc:Choice>
      <mc:Fallback xmlns="">
        <xdr:sp macro="" textlink="">
          <xdr:nvSpPr>
            <xdr:cNvPr id="0" name=""/>
            <xdr:cNvSpPr>
              <a:spLocks noTextEdit="1"/>
            </xdr:cNvSpPr>
          </xdr:nvSpPr>
          <xdr:spPr>
            <a:xfrm>
              <a:off x="152593" y="313459"/>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40</xdr:col>
      <xdr:colOff>590101</xdr:colOff>
      <xdr:row>8</xdr:row>
      <xdr:rowOff>65168</xdr:rowOff>
    </xdr:from>
    <xdr:to>
      <xdr:col>56</xdr:col>
      <xdr:colOff>200606</xdr:colOff>
      <xdr:row>27</xdr:row>
      <xdr:rowOff>130976</xdr:rowOff>
    </xdr:to>
    <xdr:graphicFrame macro="">
      <xdr:nvGraphicFramePr>
        <xdr:cNvPr id="3" name="Chart 2">
          <a:extLst>
            <a:ext uri="{FF2B5EF4-FFF2-40B4-BE49-F238E27FC236}">
              <a16:creationId xmlns:a16="http://schemas.microsoft.com/office/drawing/2014/main" id="{AF228C2A-AE25-8F19-D75D-B32B69092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40</xdr:col>
      <xdr:colOff>598501</xdr:colOff>
      <xdr:row>1</xdr:row>
      <xdr:rowOff>161444</xdr:rowOff>
    </xdr:from>
    <xdr:to>
      <xdr:col>56</xdr:col>
      <xdr:colOff>121868</xdr:colOff>
      <xdr:row>7</xdr:row>
      <xdr:rowOff>125383</xdr:rowOff>
    </xdr:to>
    <mc:AlternateContent xmlns:mc="http://schemas.openxmlformats.org/markup-compatibility/2006" xmlns:tsle="http://schemas.microsoft.com/office/drawing/2012/timeslicer">
      <mc:Choice Requires="tsle">
        <xdr:graphicFrame macro="">
          <xdr:nvGraphicFramePr>
            <xdr:cNvPr id="5" name="Rpt_Week 1">
              <a:extLst>
                <a:ext uri="{FF2B5EF4-FFF2-40B4-BE49-F238E27FC236}">
                  <a16:creationId xmlns:a16="http://schemas.microsoft.com/office/drawing/2014/main" id="{AD8D3CEF-3515-C626-70F3-0F0249D55C06}"/>
                </a:ext>
              </a:extLst>
            </xdr:cNvPr>
            <xdr:cNvGraphicFramePr/>
          </xdr:nvGraphicFramePr>
          <xdr:xfrm>
            <a:off x="0" y="0"/>
            <a:ext cx="0" cy="0"/>
          </xdr:xfrm>
          <a:graphic>
            <a:graphicData uri="http://schemas.microsoft.com/office/drawing/2012/timeslicer">
              <tsle:timeslicer name="Rpt_Week 1"/>
            </a:graphicData>
          </a:graphic>
        </xdr:graphicFrame>
      </mc:Choice>
      <mc:Fallback xmlns="">
        <xdr:sp macro="" textlink="">
          <xdr:nvSpPr>
            <xdr:cNvPr id="0" name=""/>
            <xdr:cNvSpPr>
              <a:spLocks noTextEdit="1"/>
            </xdr:cNvSpPr>
          </xdr:nvSpPr>
          <xdr:spPr>
            <a:xfrm>
              <a:off x="11425572" y="347454"/>
              <a:ext cx="9272862"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68</xdr:col>
      <xdr:colOff>23088</xdr:colOff>
      <xdr:row>8</xdr:row>
      <xdr:rowOff>26682</xdr:rowOff>
    </xdr:from>
    <xdr:to>
      <xdr:col>83</xdr:col>
      <xdr:colOff>242937</xdr:colOff>
      <xdr:row>27</xdr:row>
      <xdr:rowOff>92490</xdr:rowOff>
    </xdr:to>
    <xdr:graphicFrame macro="">
      <xdr:nvGraphicFramePr>
        <xdr:cNvPr id="6" name="Chart 5">
          <a:extLst>
            <a:ext uri="{FF2B5EF4-FFF2-40B4-BE49-F238E27FC236}">
              <a16:creationId xmlns:a16="http://schemas.microsoft.com/office/drawing/2014/main" id="{A97EB4FD-D595-C8CC-9D05-3CB9129F0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68</xdr:col>
      <xdr:colOff>17958</xdr:colOff>
      <xdr:row>1</xdr:row>
      <xdr:rowOff>170553</xdr:rowOff>
    </xdr:from>
    <xdr:to>
      <xdr:col>83</xdr:col>
      <xdr:colOff>237807</xdr:colOff>
      <xdr:row>7</xdr:row>
      <xdr:rowOff>134492</xdr:rowOff>
    </xdr:to>
    <mc:AlternateContent xmlns:mc="http://schemas.openxmlformats.org/markup-compatibility/2006" xmlns:tsle="http://schemas.microsoft.com/office/drawing/2012/timeslicer">
      <mc:Choice Requires="tsle">
        <xdr:graphicFrame macro="">
          <xdr:nvGraphicFramePr>
            <xdr:cNvPr id="7" name="Rpt_Week 2">
              <a:extLst>
                <a:ext uri="{FF2B5EF4-FFF2-40B4-BE49-F238E27FC236}">
                  <a16:creationId xmlns:a16="http://schemas.microsoft.com/office/drawing/2014/main" id="{832DB11C-1BFE-B946-5463-9EE7E5048183}"/>
                </a:ext>
              </a:extLst>
            </xdr:cNvPr>
            <xdr:cNvGraphicFramePr/>
          </xdr:nvGraphicFramePr>
          <xdr:xfrm>
            <a:off x="0" y="0"/>
            <a:ext cx="0" cy="0"/>
          </xdr:xfrm>
          <a:graphic>
            <a:graphicData uri="http://schemas.microsoft.com/office/drawing/2012/timeslicer">
              <tsle:timeslicer name="Rpt_Week 2"/>
            </a:graphicData>
          </a:graphic>
        </xdr:graphicFrame>
      </mc:Choice>
      <mc:Fallback xmlns="">
        <xdr:sp macro="" textlink="">
          <xdr:nvSpPr>
            <xdr:cNvPr id="0" name=""/>
            <xdr:cNvSpPr>
              <a:spLocks noTextEdit="1"/>
            </xdr:cNvSpPr>
          </xdr:nvSpPr>
          <xdr:spPr>
            <a:xfrm>
              <a:off x="22422554" y="356563"/>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33</xdr:col>
      <xdr:colOff>25400</xdr:colOff>
      <xdr:row>8</xdr:row>
      <xdr:rowOff>38100</xdr:rowOff>
    </xdr:from>
    <xdr:to>
      <xdr:col>48</xdr:col>
      <xdr:colOff>241400</xdr:colOff>
      <xdr:row>27</xdr:row>
      <xdr:rowOff>139250</xdr:rowOff>
    </xdr:to>
    <xdr:graphicFrame macro="">
      <xdr:nvGraphicFramePr>
        <xdr:cNvPr id="4" name="Chart 3">
          <a:extLst>
            <a:ext uri="{FF2B5EF4-FFF2-40B4-BE49-F238E27FC236}">
              <a16:creationId xmlns:a16="http://schemas.microsoft.com/office/drawing/2014/main" id="{D0715753-3D80-6937-57DE-51389D1BE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33</xdr:col>
      <xdr:colOff>25400</xdr:colOff>
      <xdr:row>0</xdr:row>
      <xdr:rowOff>57150</xdr:rowOff>
    </xdr:from>
    <xdr:to>
      <xdr:col>48</xdr:col>
      <xdr:colOff>241400</xdr:colOff>
      <xdr:row>7</xdr:row>
      <xdr:rowOff>139700</xdr:rowOff>
    </xdr:to>
    <mc:AlternateContent xmlns:mc="http://schemas.openxmlformats.org/markup-compatibility/2006" xmlns:tsle="http://schemas.microsoft.com/office/drawing/2012/timeslicer">
      <mc:Choice Requires="tsle">
        <xdr:graphicFrame macro="">
          <xdr:nvGraphicFramePr>
            <xdr:cNvPr id="5" name="Rpt_Month 1">
              <a:extLst>
                <a:ext uri="{FF2B5EF4-FFF2-40B4-BE49-F238E27FC236}">
                  <a16:creationId xmlns:a16="http://schemas.microsoft.com/office/drawing/2014/main" id="{B0D9A79B-12DF-2D7B-A3F6-7169FC1F869F}"/>
                </a:ext>
              </a:extLst>
            </xdr:cNvPr>
            <xdr:cNvGraphicFramePr/>
          </xdr:nvGraphicFramePr>
          <xdr:xfrm>
            <a:off x="0" y="0"/>
            <a:ext cx="0" cy="0"/>
          </xdr:xfrm>
          <a:graphic>
            <a:graphicData uri="http://schemas.microsoft.com/office/drawing/2012/timeslicer">
              <tsle:timeslicer name="Rpt_Month 1"/>
            </a:graphicData>
          </a:graphic>
        </xdr:graphicFrame>
      </mc:Choice>
      <mc:Fallback xmlns="">
        <xdr:sp macro="" textlink="">
          <xdr:nvSpPr>
            <xdr:cNvPr id="0" name=""/>
            <xdr:cNvSpPr>
              <a:spLocks noTextEdit="1"/>
            </xdr:cNvSpPr>
          </xdr:nvSpPr>
          <xdr:spPr>
            <a:xfrm>
              <a:off x="12217400" y="5715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60</xdr:col>
      <xdr:colOff>9525</xdr:colOff>
      <xdr:row>8</xdr:row>
      <xdr:rowOff>19050</xdr:rowOff>
    </xdr:from>
    <xdr:to>
      <xdr:col>75</xdr:col>
      <xdr:colOff>225525</xdr:colOff>
      <xdr:row>27</xdr:row>
      <xdr:rowOff>120200</xdr:rowOff>
    </xdr:to>
    <xdr:graphicFrame macro="">
      <xdr:nvGraphicFramePr>
        <xdr:cNvPr id="6" name="Chart 5">
          <a:extLst>
            <a:ext uri="{FF2B5EF4-FFF2-40B4-BE49-F238E27FC236}">
              <a16:creationId xmlns:a16="http://schemas.microsoft.com/office/drawing/2014/main" id="{622DA1A6-8077-A808-87D8-0AB723BDE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60</xdr:col>
      <xdr:colOff>19050</xdr:colOff>
      <xdr:row>0</xdr:row>
      <xdr:rowOff>50800</xdr:rowOff>
    </xdr:from>
    <xdr:to>
      <xdr:col>75</xdr:col>
      <xdr:colOff>235050</xdr:colOff>
      <xdr:row>7</xdr:row>
      <xdr:rowOff>133350</xdr:rowOff>
    </xdr:to>
    <mc:AlternateContent xmlns:mc="http://schemas.openxmlformats.org/markup-compatibility/2006" xmlns:tsle="http://schemas.microsoft.com/office/drawing/2012/timeslicer">
      <mc:Choice Requires="tsle">
        <xdr:graphicFrame macro="">
          <xdr:nvGraphicFramePr>
            <xdr:cNvPr id="7" name="Rpt_Month 2">
              <a:extLst>
                <a:ext uri="{FF2B5EF4-FFF2-40B4-BE49-F238E27FC236}">
                  <a16:creationId xmlns:a16="http://schemas.microsoft.com/office/drawing/2014/main" id="{8CA6BF61-82E6-79B7-01BD-E2226A4726CD}"/>
                </a:ext>
              </a:extLst>
            </xdr:cNvPr>
            <xdr:cNvGraphicFramePr/>
          </xdr:nvGraphicFramePr>
          <xdr:xfrm>
            <a:off x="0" y="0"/>
            <a:ext cx="0" cy="0"/>
          </xdr:xfrm>
          <a:graphic>
            <a:graphicData uri="http://schemas.microsoft.com/office/drawing/2012/timeslicer">
              <tsle:timeslicer name="Rpt_Month 2"/>
            </a:graphicData>
          </a:graphic>
        </xdr:graphicFrame>
      </mc:Choice>
      <mc:Fallback xmlns="">
        <xdr:sp macro="" textlink="">
          <xdr:nvSpPr>
            <xdr:cNvPr id="0" name=""/>
            <xdr:cNvSpPr>
              <a:spLocks noTextEdit="1"/>
            </xdr:cNvSpPr>
          </xdr:nvSpPr>
          <xdr:spPr>
            <a:xfrm>
              <a:off x="23183850" y="5080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596900</xdr:colOff>
      <xdr:row>9</xdr:row>
      <xdr:rowOff>0</xdr:rowOff>
    </xdr:from>
    <xdr:to>
      <xdr:col>22</xdr:col>
      <xdr:colOff>203300</xdr:colOff>
      <xdr:row>28</xdr:row>
      <xdr:rowOff>101150</xdr:rowOff>
    </xdr:to>
    <xdr:graphicFrame macro="">
      <xdr:nvGraphicFramePr>
        <xdr:cNvPr id="8" name="Chart 7">
          <a:extLst>
            <a:ext uri="{FF2B5EF4-FFF2-40B4-BE49-F238E27FC236}">
              <a16:creationId xmlns:a16="http://schemas.microsoft.com/office/drawing/2014/main" id="{6BEA80D5-B971-EDA0-DA01-01FA54269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25400</xdr:colOff>
      <xdr:row>0</xdr:row>
      <xdr:rowOff>50800</xdr:rowOff>
    </xdr:from>
    <xdr:to>
      <xdr:col>20</xdr:col>
      <xdr:colOff>311150</xdr:colOff>
      <xdr:row>7</xdr:row>
      <xdr:rowOff>133350</xdr:rowOff>
    </xdr:to>
    <mc:AlternateContent xmlns:mc="http://schemas.openxmlformats.org/markup-compatibility/2006" xmlns:tsle="http://schemas.microsoft.com/office/drawing/2012/timeslicer">
      <mc:Choice Requires="tsle">
        <xdr:graphicFrame macro="">
          <xdr:nvGraphicFramePr>
            <xdr:cNvPr id="9" name="Rpt_Month">
              <a:extLst>
                <a:ext uri="{FF2B5EF4-FFF2-40B4-BE49-F238E27FC236}">
                  <a16:creationId xmlns:a16="http://schemas.microsoft.com/office/drawing/2014/main" id="{0C88CAC9-0EFE-E9F5-ADFE-6D57EED82E0B}"/>
                </a:ext>
              </a:extLst>
            </xdr:cNvPr>
            <xdr:cNvGraphicFramePr/>
          </xdr:nvGraphicFramePr>
          <xdr:xfrm>
            <a:off x="0" y="0"/>
            <a:ext cx="0" cy="0"/>
          </xdr:xfrm>
          <a:graphic>
            <a:graphicData uri="http://schemas.microsoft.com/office/drawing/2012/timeslicer">
              <tsle:timeslicer name="Rpt_Month"/>
            </a:graphicData>
          </a:graphic>
        </xdr:graphicFrame>
      </mc:Choice>
      <mc:Fallback xmlns="">
        <xdr:sp macro="" textlink="">
          <xdr:nvSpPr>
            <xdr:cNvPr id="0" name=""/>
            <xdr:cNvSpPr>
              <a:spLocks noTextEdit="1"/>
            </xdr:cNvSpPr>
          </xdr:nvSpPr>
          <xdr:spPr>
            <a:xfrm>
              <a:off x="7473950" y="50800"/>
              <a:ext cx="82105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73025</xdr:colOff>
      <xdr:row>0</xdr:row>
      <xdr:rowOff>158750</xdr:rowOff>
    </xdr:from>
    <xdr:to>
      <xdr:col>5</xdr:col>
      <xdr:colOff>812800</xdr:colOff>
      <xdr:row>15</xdr:row>
      <xdr:rowOff>139700</xdr:rowOff>
    </xdr:to>
    <xdr:graphicFrame macro="">
      <xdr:nvGraphicFramePr>
        <xdr:cNvPr id="4" name="Chart 3">
          <a:extLst>
            <a:ext uri="{FF2B5EF4-FFF2-40B4-BE49-F238E27FC236}">
              <a16:creationId xmlns:a16="http://schemas.microsoft.com/office/drawing/2014/main" id="{0C3AA101-C577-E596-CA1A-B0A6762FD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358775</xdr:colOff>
      <xdr:row>17</xdr:row>
      <xdr:rowOff>127000</xdr:rowOff>
    </xdr:from>
    <xdr:to>
      <xdr:col>11</xdr:col>
      <xdr:colOff>1657350</xdr:colOff>
      <xdr:row>32</xdr:row>
      <xdr:rowOff>107950</xdr:rowOff>
    </xdr:to>
    <xdr:graphicFrame macro="">
      <xdr:nvGraphicFramePr>
        <xdr:cNvPr id="5" name="Chart 4">
          <a:extLst>
            <a:ext uri="{FF2B5EF4-FFF2-40B4-BE49-F238E27FC236}">
              <a16:creationId xmlns:a16="http://schemas.microsoft.com/office/drawing/2014/main" id="{8A20BB34-330D-8729-A72C-A4B80C5E0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1079501</xdr:colOff>
      <xdr:row>35</xdr:row>
      <xdr:rowOff>50800</xdr:rowOff>
    </xdr:from>
    <xdr:to>
      <xdr:col>5</xdr:col>
      <xdr:colOff>1962150</xdr:colOff>
      <xdr:row>51</xdr:row>
      <xdr:rowOff>165100</xdr:rowOff>
    </xdr:to>
    <xdr:graphicFrame macro="">
      <xdr:nvGraphicFramePr>
        <xdr:cNvPr id="10" name="Chart 9">
          <a:extLst>
            <a:ext uri="{FF2B5EF4-FFF2-40B4-BE49-F238E27FC236}">
              <a16:creationId xmlns:a16="http://schemas.microsoft.com/office/drawing/2014/main" id="{69411CD2-1433-BF41-983A-ECFA4B4A7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254000</xdr:colOff>
      <xdr:row>68</xdr:row>
      <xdr:rowOff>88900</xdr:rowOff>
    </xdr:from>
    <xdr:to>
      <xdr:col>7</xdr:col>
      <xdr:colOff>1104900</xdr:colOff>
      <xdr:row>85</xdr:row>
      <xdr:rowOff>31750</xdr:rowOff>
    </xdr:to>
    <xdr:graphicFrame macro="">
      <xdr:nvGraphicFramePr>
        <xdr:cNvPr id="11" name="Chart 10">
          <a:extLst>
            <a:ext uri="{FF2B5EF4-FFF2-40B4-BE49-F238E27FC236}">
              <a16:creationId xmlns:a16="http://schemas.microsoft.com/office/drawing/2014/main" id="{D611843F-5258-2734-6A51-440BCE986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266700</xdr:colOff>
      <xdr:row>61</xdr:row>
      <xdr:rowOff>76201</xdr:rowOff>
    </xdr:from>
    <xdr:to>
      <xdr:col>4</xdr:col>
      <xdr:colOff>2178050</xdr:colOff>
      <xdr:row>68</xdr:row>
      <xdr:rowOff>12701</xdr:rowOff>
    </xdr:to>
    <mc:AlternateContent xmlns:mc="http://schemas.openxmlformats.org/markup-compatibility/2006" xmlns:a14="http://schemas.microsoft.com/office/drawing/2010/main">
      <mc:Choice Requires="a14">
        <xdr:graphicFrame macro="">
          <xdr:nvGraphicFramePr>
            <xdr:cNvPr id="12" name="Discipline 1">
              <a:extLst>
                <a:ext uri="{FF2B5EF4-FFF2-40B4-BE49-F238E27FC236}">
                  <a16:creationId xmlns:a16="http://schemas.microsoft.com/office/drawing/2014/main" id="{F90F6FED-220E-30E4-7E84-9EDB32A4A593}"/>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mlns="">
        <xdr:sp macro="" textlink="">
          <xdr:nvSpPr>
            <xdr:cNvPr id="0" name=""/>
            <xdr:cNvSpPr>
              <a:spLocks noTextEdit="1"/>
            </xdr:cNvSpPr>
          </xdr:nvSpPr>
          <xdr:spPr>
            <a:xfrm>
              <a:off x="3359150" y="11309351"/>
              <a:ext cx="191135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4ED4089E-21BB-4E91-AFDD-377644807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5578705" createdVersion="8" refreshedVersion="8" minRefreshableVersion="3" recordCount="20" xr:uid="{AD53665C-26C6-45B2-9201-F4C84F872D37}">
  <cacheSource type="worksheet">
    <worksheetSource ref="AA2:AE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625"/>
    </cacheField>
    <cacheField name="Submission_1 Actuals" numFmtId="166">
      <sharedItems containsSemiMixedTypes="0" containsString="0" containsNumber="1" minValue="0" maxValue="0.6875"/>
    </cacheField>
    <cacheField name="Approval Plan" numFmtId="166">
      <sharedItems containsSemiMixedTypes="0" containsString="0" containsNumber="1" minValue="0" maxValue="0.625"/>
    </cacheField>
    <cacheField name="Approval Actuals" numFmtId="166">
      <sharedItems containsSemiMixedTypes="0" containsString="0" containsNumber="1" minValue="0" maxValue="0.6875"/>
    </cacheField>
  </cacheFields>
  <extLst>
    <ext xmlns:x14="http://schemas.microsoft.com/office/spreadsheetml/2009/9/main" uri="{725AE2AE-9491-48be-B2B4-4EB974FC3084}">
      <x14:pivotCacheDefinition pivotCacheId="15908940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5810182" createdVersion="8" refreshedVersion="8" minRefreshableVersion="3" recordCount="20" xr:uid="{005B7A79-A2D8-4CC7-8C7B-37418B186C0B}">
  <cacheSource type="worksheet">
    <worksheetSource ref="AA2:AC22" sheet="S_Curve_Data"/>
  </cacheSource>
  <cacheFields count="3">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625"/>
    </cacheField>
    <cacheField name="Submission_1 Actuals" numFmtId="166">
      <sharedItems containsSemiMixedTypes="0" containsString="0" containsNumber="1" minValue="0" maxValue="0.68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6041667" createdVersion="8" refreshedVersion="8" minRefreshableVersion="3" recordCount="87" xr:uid="{2D3B3A98-1DEA-4FDC-9B31-4736E2971F7C}">
  <cacheSource type="worksheet">
    <worksheetSource ref="T2:X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acheField>
    <cacheField name="Submission_1 Actuals" numFmtId="166">
      <sharedItems/>
    </cacheField>
    <cacheField name="Approval Plan" numFmtId="166">
      <sharedItems/>
    </cacheField>
    <cacheField name="Approval Actuals" numFmtId="166">
      <sharedItems/>
    </cacheField>
  </cacheFields>
  <extLst>
    <ext xmlns:x14="http://schemas.microsoft.com/office/spreadsheetml/2009/9/main" uri="{725AE2AE-9491-48be-B2B4-4EB974FC3084}">
      <x14:pivotCacheDefinition pivotCacheId="113339911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6851852" createdVersion="8" refreshedVersion="8" minRefreshableVersion="3" recordCount="87" xr:uid="{F0564C24-B454-4266-B7EC-11AA78FAB3DB}">
  <cacheSource type="worksheet">
    <worksheetSource ref="M2:Q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75"/>
    </cacheField>
    <cacheField name="Submission_1 Actuals" numFmtId="166">
      <sharedItems containsSemiMixedTypes="0" containsString="0" containsNumber="1" containsInteger="1" minValue="0" maxValue="1"/>
    </cacheField>
    <cacheField name="Approval Plan" numFmtId="166">
      <sharedItems containsSemiMixedTypes="0" containsString="0" containsNumber="1" minValue="0" maxValue="0.5"/>
    </cacheField>
    <cacheField name="Approval Actuals" numFmtId="166">
      <sharedItems containsSemiMixedTypes="0" containsString="0" containsNumber="1" containsInteger="1" minValue="0" maxValue="1"/>
    </cacheField>
  </cacheFields>
  <extLst>
    <ext xmlns:x14="http://schemas.microsoft.com/office/spreadsheetml/2009/9/main" uri="{725AE2AE-9491-48be-B2B4-4EB974FC3084}">
      <x14:pivotCacheDefinition pivotCacheId="186046571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7199075" createdVersion="8" refreshedVersion="8" minRefreshableVersion="3" recordCount="542" xr:uid="{22AC8883-69CE-4047-A950-7E02DD626781}">
  <cacheSource type="worksheet">
    <worksheetSource ref="A1:Q543" sheet="Master_Data"/>
  </cacheSource>
  <cacheFields count="17">
    <cacheField name="S.no" numFmtId="0">
      <sharedItems containsString="0" containsBlank="1" containsNumber="1" containsInteger="1" minValue="1" maxValue="20"/>
    </cacheField>
    <cacheField name="Discipline" numFmtId="0">
      <sharedItems containsBlank="1" count="4">
        <s v="Structural"/>
        <s v="Architecture"/>
        <m/>
        <s v="MEP" u="1"/>
      </sharedItems>
    </cacheField>
    <cacheField name="Category" numFmtId="0">
      <sharedItems containsBlank="1" count="11">
        <s v="Structural"/>
        <s v="Architecture"/>
        <m/>
        <s v="PHE" u="1"/>
        <s v="Electrical" u="1"/>
        <s v="ELV" u="1"/>
        <s v="Fire" u="1"/>
        <s v="HVAC" u="1"/>
        <s v="MEP" u="1"/>
        <s v="New Building" u="1"/>
        <s v="Existing Building" u="1"/>
      </sharedItems>
    </cacheField>
    <cacheField name="DRG ID" numFmtId="0">
      <sharedItems containsBlank="1"/>
    </cacheField>
    <cacheField name="Description" numFmtId="0">
      <sharedItems containsBlank="1" count="50">
        <s v="STAAD ANALYSIS AND DESIGN"/>
        <s v="LAYOUT AND R/F DETAILS OF FOUNDATION "/>
        <s v="LAYOUT AND R/F DETAILS OF PEDESTAL AND ANCHOR BOLT "/>
        <s v="LAYOUT AND R/F DETAILS OF PLINTH BEAM"/>
        <s v="R/F DETAILS OF PLINTH BEAM "/>
        <s v="G.A. AND R/F DETAIL OF STEEL COLUMNS "/>
        <s v="CONNECTION DETAIL OF STEEL COLUMNS "/>
        <s v="G.A. LAYOUT AND DETAILS OF FIRST FLOOR STEEL BEAMS AND SLAB @EL. 104.65 (T.O.C OF DECK SLAB)"/>
        <s v="CONNECTION DETAILS OF FIRST FLOOR STEEL BEAMS AND SLAB @EL. 104.65 (T.O.C OF DECK SLAB)"/>
        <s v="G.A. LAYOUT AND DETAILS OF 2nd FLOOR STEEL BEAMS AND SLAB @EL. 110.35 (T.O.C OF DECK SLAB)"/>
        <s v="CONNECTION DETAILS OF 2nd FLOOR STEEL BEAMS AND SLAB @EL. 110.35 (T.O.C OF DECK SLAB)"/>
        <s v="G.A. LAYOUT AND DETAILS OF OF ROOF STEEL BEAMS AND SLAB @EL. 116.95 &amp; @EL 119.9 (T.O.C OF DECK SLAB)"/>
        <s v="CONNECTION DETAILS OF ROOF STEEL BEAMS AND SLAB @EL. 116.95 &amp; @EL 119.9 (T.O.C OF DECK SLAB)"/>
        <s v="G.A. LAYOUT AND DETAILS OF STAIRS"/>
        <s v="CONNECTION DETAILS OF STAIRS"/>
        <s v="G.A. ELEVATION AND DETAILS OF GIRTS "/>
        <s v="GROUND AND FIRST FLOOR PLAN @ E.L. 100.45 &amp; 104.65 (DOOR - WINDOW AND FINISHES SCHEDULE)"/>
        <s v="SECOND AND TERRACE FLOOR PLAN @ E.L. 110.35 &amp; 116.95"/>
        <s v="ELEVATION"/>
        <s v="SECTION"/>
        <m/>
        <s v="CV-192-STR-GTC-DRW-0002-SHEET2" u="1"/>
        <s v="G.A. LAYOUT AND DETAILS OF FIRST FLOOR STEEL BEAMS AND SLAB @EL. 104.65  (T.O.C OF DECK SLAB)" u="1"/>
        <s v="CONNECTION DETAILS OF FIRST FLOOR STEEL BEAMS AND SLAB @EL. 104.65  (T.O.C OF DECK SLAB)" u="1"/>
        <s v="G.A. LAYOUT AND DETAILS OF 2nd FLOOR STEEL BEAMS AND SLAB @EL. 111.55 (T.O.C OF DECK SLAB)" u="1"/>
        <s v="CONNECTION DETAILS OF 2nd FLOOR STEEL BEAMS AND SLAB @EL. 111.55 (T.O.C OF DECK SLAB)" u="1"/>
        <s v="G.A. LAYOUT AND DETAILS OF OF ROOF STEEL BEAMS AND SLAB @EL. 118.3 (T.O.C OF DECK SLAB)" u="1"/>
        <s v="CONNECTION DETAILS OF ROOF STEEL BEAMS AND SLAB @EL. 118.3 (T.O.C OF DECK SLAB)" u="1"/>
        <s v="SECOND AND TERRACE FLOOR PLAN @ E.L. 111.55 &amp; 118.30" u="1"/>
        <s v="SECTIONS  " u="1"/>
        <s v="Basement" u="1"/>
        <s v="Ground Floor" u="1"/>
        <s v="First Floor" u="1"/>
        <s v="Second Floor" u="1"/>
        <s v="Third Floor" u="1"/>
        <s v="Fourth Floor" u="1"/>
        <s v="Fifth Floor" u="1"/>
        <s v="Sixth Floor" u="1"/>
        <s v="Seventh Floor" u="1"/>
        <s v="Eighth Floor" u="1"/>
        <s v="Ninth floor" u="1"/>
        <s v="Tenth Floor" u="1"/>
        <s v="Terrace floor" u="1"/>
        <s v="External" u="1"/>
        <s v="Common" u="1"/>
        <s v="Above Roof" u="1"/>
        <s v="Detail Drawings" u="1"/>
        <s v="Roof Floor" u="1"/>
        <s v="Overall Plan, Elevations &amp; Sections" u="1"/>
        <s v="Existing Building" u="1"/>
      </sharedItems>
    </cacheField>
    <cacheField name=" MDL Title" numFmtId="0">
      <sharedItems containsBlank="1"/>
    </cacheField>
    <cacheField name="Responsible Person" numFmtId="0">
      <sharedItems containsBlank="1"/>
    </cacheField>
    <cacheField name="1st Submission Plan" numFmtId="167">
      <sharedItems containsNonDate="0" containsDate="1" containsString="0" containsBlank="1" minDate="2025-12-31T00:00:00" maxDate="2026-02-13T00:00:00"/>
    </cacheField>
    <cacheField name="1st Submission_x000a_Plan (Before changes in scope)" numFmtId="167">
      <sharedItems containsNonDate="0" containsString="0" containsBlank="1"/>
    </cacheField>
    <cacheField name="Actual Submission to Client" numFmtId="167">
      <sharedItems containsNonDate="0" containsDate="1" containsString="0" containsBlank="1" minDate="2025-12-26T00:00:00" maxDate="2026-06-11T00:00:00"/>
    </cacheField>
    <cacheField name="Revised  Submission date (Plan)" numFmtId="167">
      <sharedItems containsNonDate="0" containsString="0" containsBlank="1"/>
    </cacheField>
    <cacheField name="Actual Revised submission" numFmtId="167">
      <sharedItems containsNonDate="0" containsString="0" containsBlank="1"/>
    </cacheField>
    <cacheField name="Planned Approval Date" numFmtId="167">
      <sharedItems containsNonDate="0" containsDate="1" containsString="0" containsBlank="1" minDate="2026-01-06T00:00:00" maxDate="2026-02-18T00:00:00"/>
    </cacheField>
    <cacheField name="Actual  Approval Date" numFmtId="167">
      <sharedItems containsNonDate="0" containsDate="1" containsString="0" containsBlank="1" minDate="2026-01-02T00:00:00" maxDate="2026-05-06T00:00:00"/>
    </cacheField>
    <cacheField name="Planned Hard copy Sub.dates" numFmtId="167">
      <sharedItems containsNonDate="0" containsString="0" containsBlank="1"/>
    </cacheField>
    <cacheField name="Actual Hard copy sub.dates" numFmtId="167">
      <sharedItems containsNonDate="0" containsString="0" containsBlank="1"/>
    </cacheField>
    <cacheField name="Dependency" numFmtId="0">
      <sharedItems containsNonDate="0" containsString="0" containsBlank="1"/>
    </cacheField>
  </cacheFields>
  <extLst>
    <ext xmlns:x14="http://schemas.microsoft.com/office/spreadsheetml/2009/9/main" uri="{725AE2AE-9491-48be-B2B4-4EB974FC3084}">
      <x14:pivotCacheDefinition pivotCacheId="2053257070"/>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800926" createdVersion="8" refreshedVersion="8" minRefreshableVersion="3" recordCount="87" xr:uid="{D8F19D0D-63C6-4124-A75B-4131B4409C87}">
  <cacheSource type="worksheet">
    <worksheetSource ref="F2:J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25"/>
    </cacheField>
    <cacheField name="Submission_1 Actuals" numFmtId="166">
      <sharedItems containsSemiMixedTypes="0" containsString="0" containsNumber="1" minValue="0" maxValue="0.6875"/>
    </cacheField>
    <cacheField name="Approval Plan" numFmtId="166">
      <sharedItems containsSemiMixedTypes="0" containsString="0" containsNumber="1" minValue="0" maxValue="0.25"/>
    </cacheField>
    <cacheField name="Approval Actuals" numFmtId="166">
      <sharedItems containsSemiMixedTypes="0" containsString="0" containsNumber="1" minValue="0" maxValue="0.6875"/>
    </cacheField>
  </cacheFields>
  <extLst>
    <ext xmlns:x14="http://schemas.microsoft.com/office/spreadsheetml/2009/9/main" uri="{725AE2AE-9491-48be-B2B4-4EB974FC3084}">
      <x14:pivotCacheDefinition pivotCacheId="2107340054"/>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8240738" createdVersion="8" refreshedVersion="8" minRefreshableVersion="3" recordCount="543" xr:uid="{2B550729-E7C8-467A-AAF4-CF5FBB360F7E}">
  <cacheSource type="worksheet">
    <worksheetSource ref="A1:J1048576" sheet="DRG_Status"/>
  </cacheSource>
  <cacheFields count="10">
    <cacheField name="DRG ID" numFmtId="0">
      <sharedItems containsBlank="1"/>
    </cacheField>
    <cacheField name="Discipline" numFmtId="0">
      <sharedItems containsBlank="1" containsMixedTypes="1" containsNumber="1" containsInteger="1" minValue="0" maxValue="0" count="4">
        <s v="Structural"/>
        <s v="Architecture"/>
        <m/>
        <n v="0" u="1"/>
      </sharedItems>
    </cacheField>
    <cacheField name="1st Submission Plan_wk" numFmtId="0">
      <sharedItems containsNonDate="0" containsDate="1" containsString="0" containsBlank="1" minDate="2025-12-29T00:00:00" maxDate="2026-02-10T00:00:00"/>
    </cacheField>
    <cacheField name="Actual Submission to Client_wk" numFmtId="0">
      <sharedItems containsNonDate="0" containsDate="1" containsString="0" containsBlank="1" minDate="2025-12-22T00:00:00" maxDate="2026-06-09T00:00:00"/>
    </cacheField>
    <cacheField name="Planned Approval_wk" numFmtId="0">
      <sharedItems containsNonDate="0" containsDate="1" containsString="0" containsBlank="1" minDate="2026-01-05T00:00:00" maxDate="2026-02-17T00:00:00"/>
    </cacheField>
    <cacheField name="Actual  Approval_wk" numFmtId="0">
      <sharedItems containsNonDate="0" containsDate="1" containsString="0" containsBlank="1" minDate="2025-12-29T00:00:00" maxDate="2026-05-05T00:00:00"/>
    </cacheField>
    <cacheField name="1st Submission Plan_mth" numFmtId="0">
      <sharedItems containsNonDate="0" containsDate="1" containsString="0" containsBlank="1" minDate="2025-12-01T00:00:00" maxDate="2026-02-02T00:00:00"/>
    </cacheField>
    <cacheField name="Actual Submission to Client_mth" numFmtId="0">
      <sharedItems containsNonDate="0" containsDate="1" containsString="0" containsBlank="1" minDate="2025-12-01T00:00:00" maxDate="2026-06-02T00:00:00"/>
    </cacheField>
    <cacheField name="Planned Approval_mth" numFmtId="0">
      <sharedItems containsNonDate="0" containsDate="1" containsString="0" containsBlank="1" minDate="2026-01-01T00:00:00" maxDate="2026-02-02T00:00:00"/>
    </cacheField>
    <cacheField name="Actual  Approval_mth" numFmtId="0">
      <sharedItems containsNonDate="0" containsDate="1" containsString="0" containsBlank="1" minDate="2026-01-01T00:00:00" maxDate="2026-05-02T00:00: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8587961" createdVersion="8" refreshedVersion="8" minRefreshableVersion="3" recordCount="20" xr:uid="{06B7E17D-6DEE-4449-9C34-532ED3983FD8}">
  <cacheSource type="worksheet">
    <worksheetSource ref="AH2:AL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containsInteger="1" minValue="0" maxValue="1"/>
    </cacheField>
    <cacheField name="Submission_1 Actuals" numFmtId="166">
      <sharedItems containsSemiMixedTypes="0" containsString="0" containsNumber="1" containsInteger="1" minValue="0" maxValue="1"/>
    </cacheField>
    <cacheField name="Approval Plan" numFmtId="166">
      <sharedItems containsSemiMixedTypes="0" containsString="0" containsNumber="1" minValue="0" maxValue="0.5"/>
    </cacheField>
    <cacheField name="Approval Actuals" numFmtId="166">
      <sharedItems containsSemiMixedTypes="0" containsString="0" containsNumber="1" containsInteger="1" minValue="0" maxValue="1"/>
    </cacheField>
  </cacheFields>
  <extLst>
    <ext xmlns:x14="http://schemas.microsoft.com/office/spreadsheetml/2009/9/main" uri="{725AE2AE-9491-48be-B2B4-4EB974FC3084}">
      <x14:pivotCacheDefinition pivotCacheId="735949004"/>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51.494428819446" createdVersion="8" refreshedVersion="8" minRefreshableVersion="3" recordCount="20" xr:uid="{12D5BC29-BED5-41CE-8A1E-A98B4549BA6E}">
  <cacheSource type="worksheet">
    <worksheetSource ref="AO2:AS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acheField>
    <cacheField name="Submission_1 Actuals" numFmtId="166">
      <sharedItems/>
    </cacheField>
    <cacheField name="Approval Plan" numFmtId="166">
      <sharedItems/>
    </cacheField>
    <cacheField name="Approval Actuals" numFmtId="166">
      <sharedItems/>
    </cacheField>
  </cacheFields>
  <extLst>
    <ext xmlns:x14="http://schemas.microsoft.com/office/spreadsheetml/2009/9/main" uri="{725AE2AE-9491-48be-B2B4-4EB974FC3084}">
      <x14:pivotCacheDefinition pivotCacheId="470791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6.25E-2"/>
    <n v="6.25E-2"/>
    <n v="0"/>
    <n v="0"/>
  </r>
  <r>
    <x v="12"/>
    <n v="0.625"/>
    <n v="0.25"/>
    <n v="0.625"/>
    <n v="6.25E-2"/>
  </r>
  <r>
    <x v="13"/>
    <n v="0.3125"/>
    <n v="0"/>
    <n v="0.375"/>
    <n v="0.25"/>
  </r>
  <r>
    <x v="14"/>
    <n v="0"/>
    <n v="0"/>
    <n v="0"/>
    <n v="0"/>
  </r>
  <r>
    <x v="15"/>
    <n v="0"/>
    <n v="0.6875"/>
    <n v="0"/>
    <n v="0.6875"/>
  </r>
  <r>
    <x v="16"/>
    <n v="0"/>
    <n v="0"/>
    <n v="0"/>
    <n v="0"/>
  </r>
  <r>
    <x v="17"/>
    <n v="0"/>
    <n v="0"/>
    <n v="0"/>
    <n v="0"/>
  </r>
  <r>
    <x v="18"/>
    <n v="0"/>
    <n v="0"/>
    <n v="0"/>
    <n v="0"/>
  </r>
  <r>
    <x v="19"/>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r>
  <r>
    <x v="1"/>
    <n v="0"/>
    <n v="0"/>
  </r>
  <r>
    <x v="2"/>
    <n v="0"/>
    <n v="0"/>
  </r>
  <r>
    <x v="3"/>
    <n v="0"/>
    <n v="0"/>
  </r>
  <r>
    <x v="4"/>
    <n v="0"/>
    <n v="0"/>
  </r>
  <r>
    <x v="5"/>
    <n v="0"/>
    <n v="0"/>
  </r>
  <r>
    <x v="6"/>
    <n v="0"/>
    <n v="0"/>
  </r>
  <r>
    <x v="7"/>
    <n v="0"/>
    <n v="0"/>
  </r>
  <r>
    <x v="8"/>
    <n v="0"/>
    <n v="0"/>
  </r>
  <r>
    <x v="9"/>
    <n v="0"/>
    <n v="0"/>
  </r>
  <r>
    <x v="10"/>
    <n v="0"/>
    <n v="0"/>
  </r>
  <r>
    <x v="11"/>
    <n v="6.25E-2"/>
    <n v="6.25E-2"/>
  </r>
  <r>
    <x v="12"/>
    <n v="0.625"/>
    <n v="0.25"/>
  </r>
  <r>
    <x v="13"/>
    <n v="0.3125"/>
    <n v="0"/>
  </r>
  <r>
    <x v="14"/>
    <n v="0"/>
    <n v="0"/>
  </r>
  <r>
    <x v="15"/>
    <n v="0"/>
    <n v="0.6875"/>
  </r>
  <r>
    <x v="16"/>
    <n v="0"/>
    <n v="0"/>
  </r>
  <r>
    <x v="17"/>
    <n v="0"/>
    <n v="0"/>
  </r>
  <r>
    <x v="18"/>
    <n v="0"/>
    <n v="0"/>
  </r>
  <r>
    <x v="19"/>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e v="#N/A"/>
    <e v="#N/A"/>
    <e v="#N/A"/>
    <e v="#N/A"/>
  </r>
  <r>
    <x v="1"/>
    <e v="#N/A"/>
    <e v="#N/A"/>
    <e v="#N/A"/>
    <e v="#N/A"/>
  </r>
  <r>
    <x v="2"/>
    <e v="#N/A"/>
    <e v="#N/A"/>
    <e v="#N/A"/>
    <e v="#N/A"/>
  </r>
  <r>
    <x v="3"/>
    <e v="#N/A"/>
    <e v="#N/A"/>
    <e v="#N/A"/>
    <e v="#N/A"/>
  </r>
  <r>
    <x v="4"/>
    <e v="#N/A"/>
    <e v="#N/A"/>
    <e v="#N/A"/>
    <e v="#N/A"/>
  </r>
  <r>
    <x v="5"/>
    <e v="#N/A"/>
    <e v="#N/A"/>
    <e v="#N/A"/>
    <e v="#N/A"/>
  </r>
  <r>
    <x v="6"/>
    <e v="#N/A"/>
    <e v="#N/A"/>
    <e v="#N/A"/>
    <e v="#N/A"/>
  </r>
  <r>
    <x v="7"/>
    <e v="#N/A"/>
    <e v="#N/A"/>
    <e v="#N/A"/>
    <e v="#N/A"/>
  </r>
  <r>
    <x v="8"/>
    <e v="#N/A"/>
    <e v="#N/A"/>
    <e v="#N/A"/>
    <e v="#N/A"/>
  </r>
  <r>
    <x v="9"/>
    <e v="#N/A"/>
    <e v="#N/A"/>
    <e v="#N/A"/>
    <e v="#N/A"/>
  </r>
  <r>
    <x v="10"/>
    <e v="#N/A"/>
    <e v="#N/A"/>
    <e v="#N/A"/>
    <e v="#N/A"/>
  </r>
  <r>
    <x v="11"/>
    <e v="#N/A"/>
    <e v="#N/A"/>
    <e v="#N/A"/>
    <e v="#N/A"/>
  </r>
  <r>
    <x v="12"/>
    <e v="#N/A"/>
    <e v="#N/A"/>
    <e v="#N/A"/>
    <e v="#N/A"/>
  </r>
  <r>
    <x v="13"/>
    <e v="#N/A"/>
    <e v="#N/A"/>
    <e v="#N/A"/>
    <e v="#N/A"/>
  </r>
  <r>
    <x v="14"/>
    <e v="#N/A"/>
    <e v="#N/A"/>
    <e v="#N/A"/>
    <e v="#N/A"/>
  </r>
  <r>
    <x v="15"/>
    <e v="#N/A"/>
    <e v="#N/A"/>
    <e v="#N/A"/>
    <e v="#N/A"/>
  </r>
  <r>
    <x v="16"/>
    <e v="#N/A"/>
    <e v="#N/A"/>
    <e v="#N/A"/>
    <e v="#N/A"/>
  </r>
  <r>
    <x v="17"/>
    <e v="#N/A"/>
    <e v="#N/A"/>
    <e v="#N/A"/>
    <e v="#N/A"/>
  </r>
  <r>
    <x v="18"/>
    <e v="#N/A"/>
    <e v="#N/A"/>
    <e v="#N/A"/>
    <e v="#N/A"/>
  </r>
  <r>
    <x v="19"/>
    <e v="#N/A"/>
    <e v="#N/A"/>
    <e v="#N/A"/>
    <e v="#N/A"/>
  </r>
  <r>
    <x v="20"/>
    <e v="#N/A"/>
    <e v="#N/A"/>
    <e v="#N/A"/>
    <e v="#N/A"/>
  </r>
  <r>
    <x v="21"/>
    <e v="#N/A"/>
    <e v="#N/A"/>
    <e v="#N/A"/>
    <e v="#N/A"/>
  </r>
  <r>
    <x v="22"/>
    <e v="#N/A"/>
    <e v="#N/A"/>
    <e v="#N/A"/>
    <e v="#N/A"/>
  </r>
  <r>
    <x v="23"/>
    <e v="#N/A"/>
    <e v="#N/A"/>
    <e v="#N/A"/>
    <e v="#N/A"/>
  </r>
  <r>
    <x v="24"/>
    <e v="#N/A"/>
    <e v="#N/A"/>
    <e v="#N/A"/>
    <e v="#N/A"/>
  </r>
  <r>
    <x v="25"/>
    <e v="#N/A"/>
    <e v="#N/A"/>
    <e v="#N/A"/>
    <e v="#N/A"/>
  </r>
  <r>
    <x v="26"/>
    <e v="#N/A"/>
    <e v="#N/A"/>
    <e v="#N/A"/>
    <e v="#N/A"/>
  </r>
  <r>
    <x v="27"/>
    <e v="#N/A"/>
    <e v="#N/A"/>
    <e v="#N/A"/>
    <e v="#N/A"/>
  </r>
  <r>
    <x v="28"/>
    <e v="#N/A"/>
    <e v="#N/A"/>
    <e v="#N/A"/>
    <e v="#N/A"/>
  </r>
  <r>
    <x v="29"/>
    <e v="#N/A"/>
    <e v="#N/A"/>
    <e v="#N/A"/>
    <e v="#N/A"/>
  </r>
  <r>
    <x v="30"/>
    <e v="#N/A"/>
    <e v="#N/A"/>
    <e v="#N/A"/>
    <e v="#N/A"/>
  </r>
  <r>
    <x v="31"/>
    <e v="#N/A"/>
    <e v="#N/A"/>
    <e v="#N/A"/>
    <e v="#N/A"/>
  </r>
  <r>
    <x v="32"/>
    <e v="#N/A"/>
    <e v="#N/A"/>
    <e v="#N/A"/>
    <e v="#N/A"/>
  </r>
  <r>
    <x v="33"/>
    <e v="#N/A"/>
    <e v="#N/A"/>
    <e v="#N/A"/>
    <e v="#N/A"/>
  </r>
  <r>
    <x v="34"/>
    <e v="#N/A"/>
    <e v="#N/A"/>
    <e v="#N/A"/>
    <e v="#N/A"/>
  </r>
  <r>
    <x v="35"/>
    <e v="#N/A"/>
    <e v="#N/A"/>
    <e v="#N/A"/>
    <e v="#N/A"/>
  </r>
  <r>
    <x v="36"/>
    <e v="#N/A"/>
    <e v="#N/A"/>
    <e v="#N/A"/>
    <e v="#N/A"/>
  </r>
  <r>
    <x v="37"/>
    <e v="#N/A"/>
    <e v="#N/A"/>
    <e v="#N/A"/>
    <e v="#N/A"/>
  </r>
  <r>
    <x v="38"/>
    <e v="#N/A"/>
    <e v="#N/A"/>
    <e v="#N/A"/>
    <e v="#N/A"/>
  </r>
  <r>
    <x v="39"/>
    <e v="#N/A"/>
    <e v="#N/A"/>
    <e v="#N/A"/>
    <e v="#N/A"/>
  </r>
  <r>
    <x v="40"/>
    <e v="#N/A"/>
    <e v="#N/A"/>
    <e v="#N/A"/>
    <e v="#N/A"/>
  </r>
  <r>
    <x v="41"/>
    <e v="#N/A"/>
    <e v="#N/A"/>
    <e v="#N/A"/>
    <e v="#N/A"/>
  </r>
  <r>
    <x v="42"/>
    <e v="#N/A"/>
    <e v="#N/A"/>
    <e v="#N/A"/>
    <e v="#N/A"/>
  </r>
  <r>
    <x v="43"/>
    <e v="#N/A"/>
    <e v="#N/A"/>
    <e v="#N/A"/>
    <e v="#N/A"/>
  </r>
  <r>
    <x v="44"/>
    <e v="#N/A"/>
    <e v="#N/A"/>
    <e v="#N/A"/>
    <e v="#N/A"/>
  </r>
  <r>
    <x v="45"/>
    <e v="#N/A"/>
    <e v="#N/A"/>
    <e v="#N/A"/>
    <e v="#N/A"/>
  </r>
  <r>
    <x v="46"/>
    <e v="#N/A"/>
    <e v="#N/A"/>
    <e v="#N/A"/>
    <e v="#N/A"/>
  </r>
  <r>
    <x v="47"/>
    <e v="#N/A"/>
    <e v="#N/A"/>
    <e v="#N/A"/>
    <e v="#N/A"/>
  </r>
  <r>
    <x v="48"/>
    <e v="#N/A"/>
    <e v="#N/A"/>
    <e v="#N/A"/>
    <e v="#N/A"/>
  </r>
  <r>
    <x v="49"/>
    <e v="#N/A"/>
    <e v="#N/A"/>
    <e v="#N/A"/>
    <e v="#N/A"/>
  </r>
  <r>
    <x v="50"/>
    <e v="#N/A"/>
    <e v="#N/A"/>
    <e v="#N/A"/>
    <e v="#N/A"/>
  </r>
  <r>
    <x v="51"/>
    <e v="#N/A"/>
    <e v="#N/A"/>
    <e v="#N/A"/>
    <e v="#N/A"/>
  </r>
  <r>
    <x v="52"/>
    <e v="#N/A"/>
    <e v="#N/A"/>
    <e v="#N/A"/>
    <e v="#N/A"/>
  </r>
  <r>
    <x v="53"/>
    <e v="#N/A"/>
    <e v="#N/A"/>
    <e v="#N/A"/>
    <e v="#N/A"/>
  </r>
  <r>
    <x v="54"/>
    <e v="#N/A"/>
    <e v="#N/A"/>
    <e v="#N/A"/>
    <e v="#N/A"/>
  </r>
  <r>
    <x v="55"/>
    <e v="#N/A"/>
    <e v="#N/A"/>
    <e v="#N/A"/>
    <e v="#N/A"/>
  </r>
  <r>
    <x v="56"/>
    <e v="#N/A"/>
    <e v="#N/A"/>
    <e v="#N/A"/>
    <e v="#N/A"/>
  </r>
  <r>
    <x v="57"/>
    <e v="#N/A"/>
    <e v="#N/A"/>
    <e v="#N/A"/>
    <e v="#N/A"/>
  </r>
  <r>
    <x v="58"/>
    <e v="#N/A"/>
    <e v="#N/A"/>
    <e v="#N/A"/>
    <e v="#N/A"/>
  </r>
  <r>
    <x v="59"/>
    <e v="#N/A"/>
    <e v="#N/A"/>
    <e v="#N/A"/>
    <e v="#N/A"/>
  </r>
  <r>
    <x v="60"/>
    <e v="#N/A"/>
    <e v="#N/A"/>
    <e v="#N/A"/>
    <e v="#N/A"/>
  </r>
  <r>
    <x v="61"/>
    <e v="#N/A"/>
    <e v="#N/A"/>
    <e v="#N/A"/>
    <e v="#N/A"/>
  </r>
  <r>
    <x v="62"/>
    <e v="#N/A"/>
    <e v="#N/A"/>
    <e v="#N/A"/>
    <e v="#N/A"/>
  </r>
  <r>
    <x v="63"/>
    <e v="#N/A"/>
    <e v="#N/A"/>
    <e v="#N/A"/>
    <e v="#N/A"/>
  </r>
  <r>
    <x v="64"/>
    <e v="#N/A"/>
    <e v="#N/A"/>
    <e v="#N/A"/>
    <e v="#N/A"/>
  </r>
  <r>
    <x v="65"/>
    <e v="#N/A"/>
    <e v="#N/A"/>
    <e v="#N/A"/>
    <e v="#N/A"/>
  </r>
  <r>
    <x v="66"/>
    <e v="#N/A"/>
    <e v="#N/A"/>
    <e v="#N/A"/>
    <e v="#N/A"/>
  </r>
  <r>
    <x v="67"/>
    <e v="#N/A"/>
    <e v="#N/A"/>
    <e v="#N/A"/>
    <e v="#N/A"/>
  </r>
  <r>
    <x v="68"/>
    <e v="#N/A"/>
    <e v="#N/A"/>
    <e v="#N/A"/>
    <e v="#N/A"/>
  </r>
  <r>
    <x v="69"/>
    <e v="#N/A"/>
    <e v="#N/A"/>
    <e v="#N/A"/>
    <e v="#N/A"/>
  </r>
  <r>
    <x v="70"/>
    <e v="#N/A"/>
    <e v="#N/A"/>
    <e v="#N/A"/>
    <e v="#N/A"/>
  </r>
  <r>
    <x v="71"/>
    <e v="#N/A"/>
    <e v="#N/A"/>
    <e v="#N/A"/>
    <e v="#N/A"/>
  </r>
  <r>
    <x v="72"/>
    <e v="#N/A"/>
    <e v="#N/A"/>
    <e v="#N/A"/>
    <e v="#N/A"/>
  </r>
  <r>
    <x v="73"/>
    <e v="#N/A"/>
    <e v="#N/A"/>
    <e v="#N/A"/>
    <e v="#N/A"/>
  </r>
  <r>
    <x v="74"/>
    <e v="#N/A"/>
    <e v="#N/A"/>
    <e v="#N/A"/>
    <e v="#N/A"/>
  </r>
  <r>
    <x v="75"/>
    <e v="#N/A"/>
    <e v="#N/A"/>
    <e v="#N/A"/>
    <e v="#N/A"/>
  </r>
  <r>
    <x v="76"/>
    <e v="#N/A"/>
    <e v="#N/A"/>
    <e v="#N/A"/>
    <e v="#N/A"/>
  </r>
  <r>
    <x v="77"/>
    <e v="#N/A"/>
    <e v="#N/A"/>
    <e v="#N/A"/>
    <e v="#N/A"/>
  </r>
  <r>
    <x v="78"/>
    <e v="#N/A"/>
    <e v="#N/A"/>
    <e v="#N/A"/>
    <e v="#N/A"/>
  </r>
  <r>
    <x v="79"/>
    <e v="#N/A"/>
    <e v="#N/A"/>
    <e v="#N/A"/>
    <e v="#N/A"/>
  </r>
  <r>
    <x v="80"/>
    <e v="#N/A"/>
    <e v="#N/A"/>
    <e v="#N/A"/>
    <e v="#N/A"/>
  </r>
  <r>
    <x v="81"/>
    <e v="#N/A"/>
    <e v="#N/A"/>
    <e v="#N/A"/>
    <e v="#N/A"/>
  </r>
  <r>
    <x v="82"/>
    <e v="#N/A"/>
    <e v="#N/A"/>
    <e v="#N/A"/>
    <e v="#N/A"/>
  </r>
  <r>
    <x v="83"/>
    <e v="#N/A"/>
    <e v="#N/A"/>
    <e v="#N/A"/>
    <e v="#N/A"/>
  </r>
  <r>
    <x v="84"/>
    <e v="#N/A"/>
    <e v="#N/A"/>
    <e v="#N/A"/>
    <e v="#N/A"/>
  </r>
  <r>
    <x v="85"/>
    <e v="#N/A"/>
    <e v="#N/A"/>
    <e v="#N/A"/>
    <e v="#N/A"/>
  </r>
  <r>
    <x v="86"/>
    <e v="#N/A"/>
    <e v="#N/A"/>
    <e v="#N/A"/>
    <e v="#N/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0"/>
    <n v="0"/>
    <n v="0"/>
    <n v="0"/>
  </r>
  <r>
    <x v="13"/>
    <n v="0"/>
    <n v="0"/>
    <n v="0"/>
    <n v="0"/>
  </r>
  <r>
    <x v="14"/>
    <n v="0"/>
    <n v="0"/>
    <n v="0"/>
    <n v="0"/>
  </r>
  <r>
    <x v="15"/>
    <n v="0"/>
    <n v="0"/>
    <n v="0"/>
    <n v="0"/>
  </r>
  <r>
    <x v="16"/>
    <n v="0"/>
    <n v="0"/>
    <n v="0"/>
    <n v="0"/>
  </r>
  <r>
    <x v="17"/>
    <n v="0"/>
    <n v="0"/>
    <n v="0"/>
    <n v="0"/>
  </r>
  <r>
    <x v="18"/>
    <n v="0"/>
    <n v="0"/>
    <n v="0"/>
    <n v="0"/>
  </r>
  <r>
    <x v="19"/>
    <n v="0"/>
    <n v="0"/>
    <n v="0"/>
    <n v="0"/>
  </r>
  <r>
    <x v="20"/>
    <n v="0"/>
    <n v="0"/>
    <n v="0"/>
    <n v="0"/>
  </r>
  <r>
    <x v="21"/>
    <n v="0"/>
    <n v="0"/>
    <n v="0"/>
    <n v="0"/>
  </r>
  <r>
    <x v="22"/>
    <n v="0"/>
    <n v="0"/>
    <n v="0"/>
    <n v="0"/>
  </r>
  <r>
    <x v="23"/>
    <n v="0"/>
    <n v="0"/>
    <n v="0"/>
    <n v="0"/>
  </r>
  <r>
    <x v="24"/>
    <n v="0"/>
    <n v="0"/>
    <n v="0"/>
    <n v="0"/>
  </r>
  <r>
    <x v="25"/>
    <n v="0"/>
    <n v="0"/>
    <n v="0"/>
    <n v="0"/>
  </r>
  <r>
    <x v="26"/>
    <n v="0"/>
    <n v="0"/>
    <n v="0"/>
    <n v="0"/>
  </r>
  <r>
    <x v="27"/>
    <n v="0"/>
    <n v="0"/>
    <n v="0"/>
    <n v="0"/>
  </r>
  <r>
    <x v="28"/>
    <n v="0"/>
    <n v="0"/>
    <n v="0"/>
    <n v="0"/>
  </r>
  <r>
    <x v="29"/>
    <n v="0"/>
    <n v="0"/>
    <n v="0"/>
    <n v="0"/>
  </r>
  <r>
    <x v="30"/>
    <n v="0"/>
    <n v="0"/>
    <n v="0"/>
    <n v="0"/>
  </r>
  <r>
    <x v="31"/>
    <n v="0"/>
    <n v="0"/>
    <n v="0"/>
    <n v="0"/>
  </r>
  <r>
    <x v="32"/>
    <n v="0"/>
    <n v="0"/>
    <n v="0"/>
    <n v="0"/>
  </r>
  <r>
    <x v="33"/>
    <n v="0"/>
    <n v="0"/>
    <n v="0"/>
    <n v="0"/>
  </r>
  <r>
    <x v="34"/>
    <n v="0"/>
    <n v="0"/>
    <n v="0"/>
    <n v="0"/>
  </r>
  <r>
    <x v="35"/>
    <n v="0"/>
    <n v="0"/>
    <n v="0"/>
    <n v="0"/>
  </r>
  <r>
    <x v="36"/>
    <n v="0"/>
    <n v="0"/>
    <n v="0"/>
    <n v="0"/>
  </r>
  <r>
    <x v="37"/>
    <n v="0"/>
    <n v="0"/>
    <n v="0"/>
    <n v="0"/>
  </r>
  <r>
    <x v="38"/>
    <n v="0"/>
    <n v="0"/>
    <n v="0"/>
    <n v="0"/>
  </r>
  <r>
    <x v="39"/>
    <n v="0"/>
    <n v="0"/>
    <n v="0"/>
    <n v="0"/>
  </r>
  <r>
    <x v="40"/>
    <n v="0"/>
    <n v="0"/>
    <n v="0"/>
    <n v="0"/>
  </r>
  <r>
    <x v="41"/>
    <n v="0"/>
    <n v="0"/>
    <n v="0"/>
    <n v="0"/>
  </r>
  <r>
    <x v="42"/>
    <n v="0"/>
    <n v="0"/>
    <n v="0"/>
    <n v="0"/>
  </r>
  <r>
    <x v="43"/>
    <n v="0"/>
    <n v="0"/>
    <n v="0"/>
    <n v="0"/>
  </r>
  <r>
    <x v="44"/>
    <n v="0"/>
    <n v="0"/>
    <n v="0"/>
    <n v="0"/>
  </r>
  <r>
    <x v="45"/>
    <n v="0"/>
    <n v="0"/>
    <n v="0"/>
    <n v="0"/>
  </r>
  <r>
    <x v="46"/>
    <n v="0"/>
    <n v="0"/>
    <n v="0"/>
    <n v="0"/>
  </r>
  <r>
    <x v="47"/>
    <n v="0"/>
    <n v="0"/>
    <n v="0"/>
    <n v="0"/>
  </r>
  <r>
    <x v="48"/>
    <n v="0"/>
    <n v="0"/>
    <n v="0"/>
    <n v="0"/>
  </r>
  <r>
    <x v="49"/>
    <n v="0"/>
    <n v="0"/>
    <n v="0"/>
    <n v="0"/>
  </r>
  <r>
    <x v="50"/>
    <n v="0"/>
    <n v="0"/>
    <n v="0"/>
    <n v="0"/>
  </r>
  <r>
    <x v="51"/>
    <n v="0"/>
    <n v="0"/>
    <n v="0"/>
    <n v="0"/>
  </r>
  <r>
    <x v="52"/>
    <n v="0"/>
    <n v="0"/>
    <n v="0"/>
    <n v="0"/>
  </r>
  <r>
    <x v="53"/>
    <n v="0"/>
    <n v="0"/>
    <n v="0"/>
    <n v="0"/>
  </r>
  <r>
    <x v="54"/>
    <n v="0.25"/>
    <n v="0"/>
    <n v="0"/>
    <n v="0"/>
  </r>
  <r>
    <x v="55"/>
    <n v="0.75"/>
    <n v="0"/>
    <n v="0.5"/>
    <n v="0"/>
  </r>
  <r>
    <x v="56"/>
    <n v="0"/>
    <n v="0"/>
    <n v="0.5"/>
    <n v="0"/>
  </r>
  <r>
    <x v="57"/>
    <n v="0"/>
    <n v="0"/>
    <n v="0"/>
    <n v="0"/>
  </r>
  <r>
    <x v="58"/>
    <n v="0"/>
    <n v="0"/>
    <n v="0"/>
    <n v="0"/>
  </r>
  <r>
    <x v="59"/>
    <n v="0"/>
    <n v="0"/>
    <n v="0"/>
    <n v="0"/>
  </r>
  <r>
    <x v="60"/>
    <n v="0"/>
    <n v="0"/>
    <n v="0"/>
    <n v="0"/>
  </r>
  <r>
    <x v="61"/>
    <n v="0"/>
    <n v="0"/>
    <n v="0"/>
    <n v="0"/>
  </r>
  <r>
    <x v="62"/>
    <n v="0"/>
    <n v="0"/>
    <n v="0"/>
    <n v="0"/>
  </r>
  <r>
    <x v="63"/>
    <n v="0"/>
    <n v="0"/>
    <n v="0"/>
    <n v="0"/>
  </r>
  <r>
    <x v="64"/>
    <n v="0"/>
    <n v="0"/>
    <n v="0"/>
    <n v="0"/>
  </r>
  <r>
    <x v="65"/>
    <n v="0"/>
    <n v="0"/>
    <n v="0"/>
    <n v="0"/>
  </r>
  <r>
    <x v="66"/>
    <n v="0"/>
    <n v="0"/>
    <n v="0"/>
    <n v="0"/>
  </r>
  <r>
    <x v="67"/>
    <n v="0"/>
    <n v="0"/>
    <n v="0"/>
    <n v="0"/>
  </r>
  <r>
    <x v="68"/>
    <n v="0"/>
    <n v="0"/>
    <n v="0"/>
    <n v="0"/>
  </r>
  <r>
    <x v="69"/>
    <n v="0"/>
    <n v="0"/>
    <n v="0"/>
    <n v="1"/>
  </r>
  <r>
    <x v="70"/>
    <n v="0"/>
    <n v="0"/>
    <n v="0"/>
    <n v="0"/>
  </r>
  <r>
    <x v="71"/>
    <n v="0"/>
    <n v="0"/>
    <n v="0"/>
    <n v="0"/>
  </r>
  <r>
    <x v="72"/>
    <n v="0"/>
    <n v="0"/>
    <n v="0"/>
    <n v="0"/>
  </r>
  <r>
    <x v="73"/>
    <n v="0"/>
    <n v="0"/>
    <n v="0"/>
    <n v="0"/>
  </r>
  <r>
    <x v="74"/>
    <n v="0"/>
    <n v="1"/>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n v="1"/>
    <x v="0"/>
    <x v="0"/>
    <s v="CV-192-STR-ABF-STD-0001"/>
    <x v="0"/>
    <s v="STAAD ANALYSIS AND DESIGN"/>
    <s v="Smita/Praful/Sonal"/>
    <d v="2025-12-31T00:00:00"/>
    <m/>
    <d v="2025-12-26T00:00:00"/>
    <m/>
    <m/>
    <d v="2026-01-06T00:00:00"/>
    <d v="2026-01-02T00:00:00"/>
    <m/>
    <m/>
    <m/>
  </r>
  <r>
    <n v="2"/>
    <x v="0"/>
    <x v="0"/>
    <s v="CV-192-STR-ABF-DRW-0001 "/>
    <x v="1"/>
    <s v="LAYOUT AND R/F DETAILS OF FOUNDATION "/>
    <s v="Smita/Praful/Sonal"/>
    <d v="2026-01-07T00:00:00"/>
    <m/>
    <d v="2026-01-23T00:00:00"/>
    <m/>
    <m/>
    <d v="2026-01-12T00:00:00"/>
    <d v="2026-02-06T00:00:00"/>
    <m/>
    <m/>
    <m/>
  </r>
  <r>
    <n v="3"/>
    <x v="0"/>
    <x v="0"/>
    <s v="CV-192-STR-ABF-DRW-0002"/>
    <x v="2"/>
    <s v="LAYOUT AND R/F DETAILS OF PEDESTAL AND ANCHOR BOLT "/>
    <s v="Smita/Praful/Sonal"/>
    <d v="2026-01-07T00:00:00"/>
    <m/>
    <d v="2026-01-23T00:00:00"/>
    <m/>
    <m/>
    <d v="2026-01-12T00:00:00"/>
    <d v="2026-02-06T00:00:00"/>
    <m/>
    <m/>
    <m/>
  </r>
  <r>
    <n v="4"/>
    <x v="0"/>
    <x v="0"/>
    <s v="CV-192-STR-ABF-DRW-0003"/>
    <x v="3"/>
    <s v="LAYOUT AND R/F DETAILS OF PLINTH BEAM"/>
    <s v="Smita/Praful/Sonal"/>
    <d v="2026-01-07T00:00:00"/>
    <m/>
    <d v="2026-01-23T00:00:00"/>
    <m/>
    <m/>
    <d v="2026-01-12T00:00:00"/>
    <d v="2026-02-06T00:00:00"/>
    <m/>
    <m/>
    <m/>
  </r>
  <r>
    <n v="5"/>
    <x v="0"/>
    <x v="0"/>
    <s v="CV-192-STR-ABF-DRW-0004"/>
    <x v="4"/>
    <s v="R/F DETAILS OF PLINTH BEAM "/>
    <s v="Smita/Praful/Sonal"/>
    <d v="2026-01-07T00:00:00"/>
    <m/>
    <d v="2026-01-23T00:00:00"/>
    <m/>
    <m/>
    <d v="2026-01-12T00:00:00"/>
    <d v="2026-02-06T00:00:00"/>
    <m/>
    <m/>
    <m/>
  </r>
  <r>
    <n v="6"/>
    <x v="0"/>
    <x v="0"/>
    <s v="CV-192-STR-ABF-DRW-0005"/>
    <x v="5"/>
    <s v="G.A. AND R/F DETAIL OF STEEL COLUMNS "/>
    <s v="Smita/Praful/Sonal"/>
    <d v="2026-01-14T00:00:00"/>
    <m/>
    <d v="2026-04-09T00:00:00"/>
    <m/>
    <m/>
    <d v="2026-01-19T00:00:00"/>
    <d v="2026-04-21T00:00:00"/>
    <m/>
    <m/>
    <m/>
  </r>
  <r>
    <n v="7"/>
    <x v="0"/>
    <x v="0"/>
    <s v="CV-192-STR-ABF-DRW-0006"/>
    <x v="6"/>
    <s v="CONNECTION DETAIL OF STEEL COLUMNS "/>
    <s v="Smita/Praful/Sonal"/>
    <d v="2026-01-16T00:00:00"/>
    <m/>
    <d v="2026-04-09T00:00:00"/>
    <m/>
    <m/>
    <d v="2026-01-21T00:00:00"/>
    <d v="2026-04-21T00:00:00"/>
    <m/>
    <m/>
    <m/>
  </r>
  <r>
    <n v="8"/>
    <x v="0"/>
    <x v="0"/>
    <s v="CV-192-STR-ABF-DRW-0007"/>
    <x v="7"/>
    <s v="G.A. LAYOUT AND DETAILS OF FIRST FLOOR STEEL BEAMS AND SLAB @EL. 104.65 (T.O.C OF DECK SLAB)"/>
    <s v="Smita/Praful/Sonal"/>
    <d v="2026-01-20T00:00:00"/>
    <m/>
    <d v="2026-04-09T00:00:00"/>
    <m/>
    <m/>
    <d v="2026-01-23T00:00:00"/>
    <d v="2026-04-21T00:00:00"/>
    <m/>
    <m/>
    <m/>
  </r>
  <r>
    <n v="9"/>
    <x v="0"/>
    <x v="0"/>
    <s v="CV-192-STR-ABF-DRW-0008"/>
    <x v="8"/>
    <s v="CONNECTION DETAILS OF FIRST FLOOR STEEL BEAMS AND SLAB @EL. 104.65 (T.O.C OF DECK SLAB)"/>
    <s v="Smita/Praful/Sonal"/>
    <d v="2026-01-22T00:00:00"/>
    <m/>
    <d v="2026-04-09T00:00:00"/>
    <m/>
    <m/>
    <d v="2026-01-27T00:00:00"/>
    <d v="2026-04-21T00:00:00"/>
    <m/>
    <m/>
    <m/>
  </r>
  <r>
    <n v="10"/>
    <x v="0"/>
    <x v="0"/>
    <s v="CV-192-STR-ABF-DRW-0009"/>
    <x v="9"/>
    <s v="G.A. LAYOUT AND DETAILS OF 2nd FLOOR STEEL BEAMS AND SLAB @EL. 110.35 (T.O.C OF DECK SLAB)"/>
    <s v="Smita/Praful/Sonal"/>
    <d v="2026-01-27T00:00:00"/>
    <m/>
    <d v="2026-04-09T00:00:00"/>
    <m/>
    <m/>
    <d v="2026-01-30T00:00:00"/>
    <d v="2026-04-21T00:00:00"/>
    <m/>
    <m/>
    <m/>
  </r>
  <r>
    <n v="11"/>
    <x v="0"/>
    <x v="0"/>
    <s v="CV-192-STR-ABF-DRW-0010"/>
    <x v="10"/>
    <s v="CONNECTION DETAILS OF 2nd FLOOR STEEL BEAMS AND SLAB @EL. 110.35 (T.O.C OF DECK SLAB)"/>
    <s v="Smita/Praful/Sonal"/>
    <d v="2026-01-29T00:00:00"/>
    <m/>
    <d v="2026-04-09T00:00:00"/>
    <m/>
    <m/>
    <d v="2026-02-03T00:00:00"/>
    <d v="2026-04-21T00:00:00"/>
    <m/>
    <m/>
    <m/>
  </r>
  <r>
    <n v="12"/>
    <x v="0"/>
    <x v="0"/>
    <s v="CV-192-STR-ABF-DRW-0011"/>
    <x v="11"/>
    <s v="G.A. LAYOUT AND DETAILS OF OF ROOF STEEL BEAMS AND SLAB @EL. 116.95 &amp; @EL 119.9 (T.O.C OF DECK SLAB)"/>
    <s v="Smita/Praful/Sonal"/>
    <d v="2026-02-02T00:00:00"/>
    <m/>
    <d v="2026-04-09T00:00:00"/>
    <m/>
    <m/>
    <d v="2026-02-05T00:00:00"/>
    <d v="2026-04-21T00:00:00"/>
    <m/>
    <m/>
    <m/>
  </r>
  <r>
    <n v="13"/>
    <x v="0"/>
    <x v="0"/>
    <s v="CV-192-STR-ABF-DRW-0012"/>
    <x v="12"/>
    <s v="CONNECTION DETAILS OF ROOF STEEL BEAMS AND SLAB @EL. 116.95 &amp; @EL 119.9 (T.O.C OF DECK SLAB)"/>
    <s v="Smita/Praful/Sonal"/>
    <d v="2026-02-04T00:00:00"/>
    <m/>
    <d v="2026-04-09T00:00:00"/>
    <m/>
    <m/>
    <d v="2026-02-09T00:00:00"/>
    <d v="2026-04-21T00:00:00"/>
    <m/>
    <m/>
    <m/>
  </r>
  <r>
    <n v="14"/>
    <x v="0"/>
    <x v="0"/>
    <s v="CV-192-STR-ABF-DRW-0013"/>
    <x v="13"/>
    <s v="G.A. LAYOUT AND DETAILS OF STAIRS"/>
    <s v="Smita/Praful/Sonal"/>
    <d v="2026-02-06T00:00:00"/>
    <m/>
    <d v="2026-04-09T00:00:00"/>
    <m/>
    <m/>
    <d v="2026-02-11T00:00:00"/>
    <d v="2026-04-21T00:00:00"/>
    <m/>
    <m/>
    <m/>
  </r>
  <r>
    <n v="15"/>
    <x v="0"/>
    <x v="0"/>
    <s v="CV-192-STR-ABF-DRW-0014"/>
    <x v="14"/>
    <s v="CONNECTION DETAILS OF STAIRS"/>
    <s v="Smita/Praful/Sonal"/>
    <d v="2026-02-10T00:00:00"/>
    <m/>
    <d v="2026-04-09T00:00:00"/>
    <m/>
    <m/>
    <d v="2026-02-13T00:00:00"/>
    <d v="2026-04-21T00:00:00"/>
    <m/>
    <m/>
    <m/>
  </r>
  <r>
    <n v="16"/>
    <x v="0"/>
    <x v="0"/>
    <s v="CV-192-STR-ABF-DRW-0015"/>
    <x v="15"/>
    <s v="G.A. ELEVATION AND DETAILS OF GIRTS "/>
    <s v="Smita/Praful/Sonal"/>
    <d v="2026-02-12T00:00:00"/>
    <m/>
    <d v="2026-04-09T00:00:00"/>
    <m/>
    <m/>
    <d v="2026-02-17T00:00:00"/>
    <d v="2026-04-21T00:00:00"/>
    <m/>
    <m/>
    <m/>
  </r>
  <r>
    <n v="17"/>
    <x v="1"/>
    <x v="1"/>
    <s v="CV-192-ARC-ABF-DRW-0001"/>
    <x v="16"/>
    <s v="GROUND AND FIRST FLOOR PLAN @ E.L. 100.45 &amp; 104.65 (DOOR - WINDOW AND FINISHES SCHEDULE)"/>
    <s v="Aakarsh"/>
    <d v="2026-01-21T00:00:00"/>
    <m/>
    <d v="2026-06-10T00:00:00"/>
    <m/>
    <m/>
    <d v="2026-01-26T00:00:00"/>
    <d v="2026-05-05T00:00:00"/>
    <m/>
    <m/>
    <m/>
  </r>
  <r>
    <n v="18"/>
    <x v="1"/>
    <x v="1"/>
    <s v="CV-192-ARC-ABF-DRW-0002"/>
    <x v="17"/>
    <s v="SECOND AND TERRACE FLOOR PLAN @ E.L. 110.35 &amp; 116.95"/>
    <s v="Aakarsh"/>
    <d v="2026-01-27T00:00:00"/>
    <m/>
    <d v="2026-06-10T00:00:00"/>
    <m/>
    <m/>
    <d v="2026-01-30T00:00:00"/>
    <d v="2026-05-05T00:00:00"/>
    <m/>
    <m/>
    <m/>
  </r>
  <r>
    <n v="19"/>
    <x v="1"/>
    <x v="1"/>
    <s v="CV-192-ARC-ABF-DRW-0003"/>
    <x v="18"/>
    <s v="ELEVATION"/>
    <s v="Aakarsh"/>
    <d v="2026-01-30T00:00:00"/>
    <m/>
    <d v="2026-06-10T00:00:00"/>
    <m/>
    <m/>
    <d v="2026-02-04T00:00:00"/>
    <d v="2026-05-05T00:00:00"/>
    <m/>
    <m/>
    <m/>
  </r>
  <r>
    <n v="20"/>
    <x v="1"/>
    <x v="1"/>
    <s v="CV-192-ARC-ABF-DRW-0004"/>
    <x v="19"/>
    <s v="SECTION"/>
    <s v="Aakarsh"/>
    <d v="2026-01-30T00:00:00"/>
    <m/>
    <d v="2026-06-10T00:00:00"/>
    <m/>
    <m/>
    <d v="2026-02-04T00:00:00"/>
    <d v="2026-05-05T00:00:00"/>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r>
    <m/>
    <x v="2"/>
    <x v="2"/>
    <m/>
    <x v="20"/>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0"/>
    <n v="0"/>
    <n v="0"/>
    <n v="0"/>
  </r>
  <r>
    <x v="13"/>
    <n v="0"/>
    <n v="0"/>
    <n v="0"/>
    <n v="0"/>
  </r>
  <r>
    <x v="14"/>
    <n v="0"/>
    <n v="0"/>
    <n v="0"/>
    <n v="0"/>
  </r>
  <r>
    <x v="15"/>
    <n v="0"/>
    <n v="0"/>
    <n v="0"/>
    <n v="0"/>
  </r>
  <r>
    <x v="16"/>
    <n v="0"/>
    <n v="0"/>
    <n v="0"/>
    <n v="0"/>
  </r>
  <r>
    <x v="17"/>
    <n v="0"/>
    <n v="0"/>
    <n v="0"/>
    <n v="0"/>
  </r>
  <r>
    <x v="18"/>
    <n v="0"/>
    <n v="0"/>
    <n v="0"/>
    <n v="0"/>
  </r>
  <r>
    <x v="19"/>
    <n v="0"/>
    <n v="0"/>
    <n v="0"/>
    <n v="0"/>
  </r>
  <r>
    <x v="20"/>
    <n v="0"/>
    <n v="0"/>
    <n v="0"/>
    <n v="0"/>
  </r>
  <r>
    <x v="21"/>
    <n v="0"/>
    <n v="0"/>
    <n v="0"/>
    <n v="0"/>
  </r>
  <r>
    <x v="22"/>
    <n v="0"/>
    <n v="0"/>
    <n v="0"/>
    <n v="0"/>
  </r>
  <r>
    <x v="23"/>
    <n v="0"/>
    <n v="0"/>
    <n v="0"/>
    <n v="0"/>
  </r>
  <r>
    <x v="24"/>
    <n v="0"/>
    <n v="0"/>
    <n v="0"/>
    <n v="0"/>
  </r>
  <r>
    <x v="25"/>
    <n v="0"/>
    <n v="0"/>
    <n v="0"/>
    <n v="0"/>
  </r>
  <r>
    <x v="26"/>
    <n v="0"/>
    <n v="0"/>
    <n v="0"/>
    <n v="0"/>
  </r>
  <r>
    <x v="27"/>
    <n v="0"/>
    <n v="0"/>
    <n v="0"/>
    <n v="0"/>
  </r>
  <r>
    <x v="28"/>
    <n v="0"/>
    <n v="0"/>
    <n v="0"/>
    <n v="0"/>
  </r>
  <r>
    <x v="29"/>
    <n v="0"/>
    <n v="0"/>
    <n v="0"/>
    <n v="0"/>
  </r>
  <r>
    <x v="30"/>
    <n v="0"/>
    <n v="0"/>
    <n v="0"/>
    <n v="0"/>
  </r>
  <r>
    <x v="31"/>
    <n v="0"/>
    <n v="0"/>
    <n v="0"/>
    <n v="0"/>
  </r>
  <r>
    <x v="32"/>
    <n v="0"/>
    <n v="0"/>
    <n v="0"/>
    <n v="0"/>
  </r>
  <r>
    <x v="33"/>
    <n v="0"/>
    <n v="0"/>
    <n v="0"/>
    <n v="0"/>
  </r>
  <r>
    <x v="34"/>
    <n v="0"/>
    <n v="0"/>
    <n v="0"/>
    <n v="0"/>
  </r>
  <r>
    <x v="35"/>
    <n v="0"/>
    <n v="0"/>
    <n v="0"/>
    <n v="0"/>
  </r>
  <r>
    <x v="36"/>
    <n v="0"/>
    <n v="0"/>
    <n v="0"/>
    <n v="0"/>
  </r>
  <r>
    <x v="37"/>
    <n v="0"/>
    <n v="0"/>
    <n v="0"/>
    <n v="0"/>
  </r>
  <r>
    <x v="38"/>
    <n v="0"/>
    <n v="0"/>
    <n v="0"/>
    <n v="0"/>
  </r>
  <r>
    <x v="39"/>
    <n v="0"/>
    <n v="0"/>
    <n v="0"/>
    <n v="0"/>
  </r>
  <r>
    <x v="40"/>
    <n v="0"/>
    <n v="0"/>
    <n v="0"/>
    <n v="0"/>
  </r>
  <r>
    <x v="41"/>
    <n v="0"/>
    <n v="0"/>
    <n v="0"/>
    <n v="0"/>
  </r>
  <r>
    <x v="42"/>
    <n v="0"/>
    <n v="0"/>
    <n v="0"/>
    <n v="0"/>
  </r>
  <r>
    <x v="43"/>
    <n v="0"/>
    <n v="0"/>
    <n v="0"/>
    <n v="0"/>
  </r>
  <r>
    <x v="44"/>
    <n v="0"/>
    <n v="0"/>
    <n v="0"/>
    <n v="0"/>
  </r>
  <r>
    <x v="45"/>
    <n v="0"/>
    <n v="0"/>
    <n v="0"/>
    <n v="0"/>
  </r>
  <r>
    <x v="46"/>
    <n v="0"/>
    <n v="0"/>
    <n v="0"/>
    <n v="0"/>
  </r>
  <r>
    <x v="47"/>
    <n v="0"/>
    <n v="0"/>
    <n v="0"/>
    <n v="0"/>
  </r>
  <r>
    <x v="48"/>
    <n v="0"/>
    <n v="0"/>
    <n v="0"/>
    <n v="0"/>
  </r>
  <r>
    <x v="49"/>
    <n v="0"/>
    <n v="0"/>
    <n v="0"/>
    <n v="0"/>
  </r>
  <r>
    <x v="50"/>
    <n v="0"/>
    <n v="6.25E-2"/>
    <n v="0"/>
    <n v="0"/>
  </r>
  <r>
    <x v="51"/>
    <n v="6.25E-2"/>
    <n v="0"/>
    <n v="0"/>
    <n v="6.25E-2"/>
  </r>
  <r>
    <x v="52"/>
    <n v="0.25"/>
    <n v="0"/>
    <n v="6.25E-2"/>
    <n v="0"/>
  </r>
  <r>
    <x v="53"/>
    <n v="0.125"/>
    <n v="0"/>
    <n v="0.25"/>
    <n v="0"/>
  </r>
  <r>
    <x v="54"/>
    <n v="0.125"/>
    <n v="0.25"/>
    <n v="0.1875"/>
    <n v="0"/>
  </r>
  <r>
    <x v="55"/>
    <n v="0.125"/>
    <n v="0"/>
    <n v="0.125"/>
    <n v="0"/>
  </r>
  <r>
    <x v="56"/>
    <n v="0.1875"/>
    <n v="0"/>
    <n v="0.125"/>
    <n v="0.25"/>
  </r>
  <r>
    <x v="57"/>
    <n v="0.125"/>
    <n v="0"/>
    <n v="0.1875"/>
    <n v="0"/>
  </r>
  <r>
    <x v="58"/>
    <n v="0"/>
    <n v="0"/>
    <n v="6.25E-2"/>
    <n v="0"/>
  </r>
  <r>
    <x v="59"/>
    <n v="0"/>
    <n v="0"/>
    <n v="0"/>
    <n v="0"/>
  </r>
  <r>
    <x v="60"/>
    <n v="0"/>
    <n v="0"/>
    <n v="0"/>
    <n v="0"/>
  </r>
  <r>
    <x v="61"/>
    <n v="0"/>
    <n v="0"/>
    <n v="0"/>
    <n v="0"/>
  </r>
  <r>
    <x v="62"/>
    <n v="0"/>
    <n v="0"/>
    <n v="0"/>
    <n v="0"/>
  </r>
  <r>
    <x v="63"/>
    <n v="0"/>
    <n v="0"/>
    <n v="0"/>
    <n v="0"/>
  </r>
  <r>
    <x v="64"/>
    <n v="0"/>
    <n v="0"/>
    <n v="0"/>
    <n v="0"/>
  </r>
  <r>
    <x v="65"/>
    <n v="0"/>
    <n v="0.6875"/>
    <n v="0"/>
    <n v="0"/>
  </r>
  <r>
    <x v="66"/>
    <n v="0"/>
    <n v="0"/>
    <n v="0"/>
    <n v="0"/>
  </r>
  <r>
    <x v="67"/>
    <n v="0"/>
    <n v="0"/>
    <n v="0"/>
    <n v="0.6875"/>
  </r>
  <r>
    <x v="68"/>
    <n v="0"/>
    <n v="0"/>
    <n v="0"/>
    <n v="0"/>
  </r>
  <r>
    <x v="69"/>
    <n v="0"/>
    <n v="0"/>
    <n v="0"/>
    <n v="0"/>
  </r>
  <r>
    <x v="70"/>
    <n v="0"/>
    <n v="0"/>
    <n v="0"/>
    <n v="0"/>
  </r>
  <r>
    <x v="71"/>
    <n v="0"/>
    <n v="0"/>
    <n v="0"/>
    <n v="0"/>
  </r>
  <r>
    <x v="72"/>
    <n v="0"/>
    <n v="0"/>
    <n v="0"/>
    <n v="0"/>
  </r>
  <r>
    <x v="73"/>
    <n v="0"/>
    <n v="0"/>
    <n v="0"/>
    <n v="0"/>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s v="CV-192-STR-ABF-STD-0001"/>
    <x v="0"/>
    <d v="2025-12-29T00:00:00"/>
    <d v="2025-12-22T00:00:00"/>
    <d v="2026-01-05T00:00:00"/>
    <d v="2025-12-29T00:00:00"/>
    <d v="2025-12-01T00:00:00"/>
    <d v="2025-12-01T00:00:00"/>
    <d v="2026-01-01T00:00:00"/>
    <d v="2026-01-01T00:00:00"/>
  </r>
  <r>
    <s v="CV-192-STR-ABF-DRW-0001 "/>
    <x v="0"/>
    <d v="2026-01-05T00:00:00"/>
    <d v="2026-01-19T00:00:00"/>
    <d v="2026-01-12T00:00:00"/>
    <d v="2026-02-02T00:00:00"/>
    <d v="2026-01-01T00:00:00"/>
    <d v="2026-01-01T00:00:00"/>
    <d v="2026-01-01T00:00:00"/>
    <d v="2026-02-01T00:00:00"/>
  </r>
  <r>
    <s v="CV-192-STR-ABF-DRW-0002"/>
    <x v="0"/>
    <d v="2026-01-05T00:00:00"/>
    <d v="2026-01-19T00:00:00"/>
    <d v="2026-01-12T00:00:00"/>
    <d v="2026-02-02T00:00:00"/>
    <d v="2026-01-01T00:00:00"/>
    <d v="2026-01-01T00:00:00"/>
    <d v="2026-01-01T00:00:00"/>
    <d v="2026-02-01T00:00:00"/>
  </r>
  <r>
    <s v="CV-192-STR-ABF-DRW-0003"/>
    <x v="0"/>
    <d v="2026-01-05T00:00:00"/>
    <d v="2026-01-19T00:00:00"/>
    <d v="2026-01-12T00:00:00"/>
    <d v="2026-02-02T00:00:00"/>
    <d v="2026-01-01T00:00:00"/>
    <d v="2026-01-01T00:00:00"/>
    <d v="2026-01-01T00:00:00"/>
    <d v="2026-02-01T00:00:00"/>
  </r>
  <r>
    <s v="CV-192-STR-ABF-DRW-0004"/>
    <x v="0"/>
    <d v="2026-01-05T00:00:00"/>
    <d v="2026-01-19T00:00:00"/>
    <d v="2026-01-12T00:00:00"/>
    <d v="2026-02-02T00:00:00"/>
    <d v="2026-01-01T00:00:00"/>
    <d v="2026-01-01T00:00:00"/>
    <d v="2026-01-01T00:00:00"/>
    <d v="2026-02-01T00:00:00"/>
  </r>
  <r>
    <s v="CV-192-STR-ABF-DRW-0005"/>
    <x v="0"/>
    <d v="2026-01-12T00:00:00"/>
    <d v="2026-04-06T00:00:00"/>
    <d v="2026-01-19T00:00:00"/>
    <d v="2026-04-20T00:00:00"/>
    <d v="2026-01-01T00:00:00"/>
    <d v="2026-04-01T00:00:00"/>
    <d v="2026-01-01T00:00:00"/>
    <d v="2026-04-01T00:00:00"/>
  </r>
  <r>
    <s v="CV-192-STR-ABF-DRW-0006"/>
    <x v="0"/>
    <d v="2026-01-12T00:00:00"/>
    <d v="2026-04-06T00:00:00"/>
    <d v="2026-01-19T00:00:00"/>
    <d v="2026-04-20T00:00:00"/>
    <d v="2026-01-01T00:00:00"/>
    <d v="2026-04-01T00:00:00"/>
    <d v="2026-01-01T00:00:00"/>
    <d v="2026-04-01T00:00:00"/>
  </r>
  <r>
    <s v="CV-192-STR-ABF-DRW-0007"/>
    <x v="0"/>
    <d v="2026-01-19T00:00:00"/>
    <d v="2026-04-06T00:00:00"/>
    <d v="2026-01-19T00:00:00"/>
    <d v="2026-04-20T00:00:00"/>
    <d v="2026-01-01T00:00:00"/>
    <d v="2026-04-01T00:00:00"/>
    <d v="2026-01-01T00:00:00"/>
    <d v="2026-04-01T00:00:00"/>
  </r>
  <r>
    <s v="CV-192-STR-ABF-DRW-0008"/>
    <x v="0"/>
    <d v="2026-01-19T00:00:00"/>
    <d v="2026-04-06T00:00:00"/>
    <d v="2026-01-26T00:00:00"/>
    <d v="2026-04-20T00:00:00"/>
    <d v="2026-01-01T00:00:00"/>
    <d v="2026-04-01T00:00:00"/>
    <d v="2026-01-01T00:00:00"/>
    <d v="2026-04-01T00:00:00"/>
  </r>
  <r>
    <s v="CV-192-STR-ABF-DRW-0009"/>
    <x v="0"/>
    <d v="2026-01-26T00:00:00"/>
    <d v="2026-04-06T00:00:00"/>
    <d v="2026-01-26T00:00:00"/>
    <d v="2026-04-20T00:00:00"/>
    <d v="2026-01-01T00:00:00"/>
    <d v="2026-04-01T00:00:00"/>
    <d v="2026-01-01T00:00:00"/>
    <d v="2026-04-01T00:00:00"/>
  </r>
  <r>
    <s v="CV-192-STR-ABF-DRW-0010"/>
    <x v="0"/>
    <d v="2026-01-26T00:00:00"/>
    <d v="2026-04-06T00:00:00"/>
    <d v="2026-02-02T00:00:00"/>
    <d v="2026-04-20T00:00:00"/>
    <d v="2026-01-01T00:00:00"/>
    <d v="2026-04-01T00:00:00"/>
    <d v="2026-02-01T00:00:00"/>
    <d v="2026-04-01T00:00:00"/>
  </r>
  <r>
    <s v="CV-192-STR-ABF-DRW-0011"/>
    <x v="0"/>
    <d v="2026-02-02T00:00:00"/>
    <d v="2026-04-06T00:00:00"/>
    <d v="2026-02-02T00:00:00"/>
    <d v="2026-04-20T00:00:00"/>
    <d v="2026-02-01T00:00:00"/>
    <d v="2026-04-01T00:00:00"/>
    <d v="2026-02-01T00:00:00"/>
    <d v="2026-04-01T00:00:00"/>
  </r>
  <r>
    <s v="CV-192-STR-ABF-DRW-0012"/>
    <x v="0"/>
    <d v="2026-02-02T00:00:00"/>
    <d v="2026-04-06T00:00:00"/>
    <d v="2026-02-09T00:00:00"/>
    <d v="2026-04-20T00:00:00"/>
    <d v="2026-02-01T00:00:00"/>
    <d v="2026-04-01T00:00:00"/>
    <d v="2026-02-01T00:00:00"/>
    <d v="2026-04-01T00:00:00"/>
  </r>
  <r>
    <s v="CV-192-STR-ABF-DRW-0013"/>
    <x v="0"/>
    <d v="2026-02-02T00:00:00"/>
    <d v="2026-04-06T00:00:00"/>
    <d v="2026-02-09T00:00:00"/>
    <d v="2026-04-20T00:00:00"/>
    <d v="2026-02-01T00:00:00"/>
    <d v="2026-04-01T00:00:00"/>
    <d v="2026-02-01T00:00:00"/>
    <d v="2026-04-01T00:00:00"/>
  </r>
  <r>
    <s v="CV-192-STR-ABF-DRW-0014"/>
    <x v="0"/>
    <d v="2026-02-09T00:00:00"/>
    <d v="2026-04-06T00:00:00"/>
    <d v="2026-02-09T00:00:00"/>
    <d v="2026-04-20T00:00:00"/>
    <d v="2026-02-01T00:00:00"/>
    <d v="2026-04-01T00:00:00"/>
    <d v="2026-02-01T00:00:00"/>
    <d v="2026-04-01T00:00:00"/>
  </r>
  <r>
    <s v="CV-192-STR-ABF-DRW-0015"/>
    <x v="0"/>
    <d v="2026-02-09T00:00:00"/>
    <d v="2026-04-06T00:00:00"/>
    <d v="2026-02-16T00:00:00"/>
    <d v="2026-04-20T00:00:00"/>
    <d v="2026-02-01T00:00:00"/>
    <d v="2026-04-01T00:00:00"/>
    <d v="2026-02-01T00:00:00"/>
    <d v="2026-04-01T00:00:00"/>
  </r>
  <r>
    <s v="CV-192-ARC-ABF-DRW-0001"/>
    <x v="1"/>
    <d v="2026-01-19T00:00:00"/>
    <d v="2026-06-08T00:00:00"/>
    <d v="2026-01-26T00:00:00"/>
    <d v="2026-05-04T00:00:00"/>
    <d v="2026-01-01T00:00:00"/>
    <d v="2026-06-01T00:00:00"/>
    <d v="2026-01-01T00:00:00"/>
    <d v="2026-05-01T00:00:00"/>
  </r>
  <r>
    <s v="CV-192-ARC-ABF-DRW-0002"/>
    <x v="1"/>
    <d v="2026-01-26T00:00:00"/>
    <d v="2026-06-08T00:00:00"/>
    <d v="2026-01-26T00:00:00"/>
    <d v="2026-05-04T00:00:00"/>
    <d v="2026-01-01T00:00:00"/>
    <d v="2026-06-01T00:00:00"/>
    <d v="2026-01-01T00:00:00"/>
    <d v="2026-05-01T00:00:00"/>
  </r>
  <r>
    <s v="CV-192-ARC-ABF-DRW-0003"/>
    <x v="1"/>
    <d v="2026-01-26T00:00:00"/>
    <d v="2026-06-08T00:00:00"/>
    <d v="2026-02-02T00:00:00"/>
    <d v="2026-05-04T00:00:00"/>
    <d v="2026-01-01T00:00:00"/>
    <d v="2026-06-01T00:00:00"/>
    <d v="2026-02-01T00:00:00"/>
    <d v="2026-05-01T00:00:00"/>
  </r>
  <r>
    <s v="CV-192-ARC-ABF-DRW-0004"/>
    <x v="1"/>
    <d v="2026-01-26T00:00:00"/>
    <d v="2026-06-08T00:00:00"/>
    <d v="2026-02-02T00:00:00"/>
    <d v="2026-05-04T00:00:00"/>
    <d v="2026-01-01T00:00:00"/>
    <d v="2026-06-01T00:00:00"/>
    <d v="2026-02-01T00:00:00"/>
    <d v="2026-05-01T00:00:00"/>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r>
    <m/>
    <x v="2"/>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
    <n v="0"/>
    <n v="0"/>
    <n v="0"/>
  </r>
  <r>
    <x v="3"/>
    <n v="0"/>
    <n v="0"/>
    <n v="0"/>
    <n v="0"/>
  </r>
  <r>
    <x v="4"/>
    <n v="0"/>
    <n v="0"/>
    <n v="0"/>
    <n v="0"/>
  </r>
  <r>
    <x v="5"/>
    <n v="0"/>
    <n v="0"/>
    <n v="0"/>
    <n v="0"/>
  </r>
  <r>
    <x v="6"/>
    <n v="0"/>
    <n v="0"/>
    <n v="0"/>
    <n v="0"/>
  </r>
  <r>
    <x v="7"/>
    <n v="0"/>
    <n v="0"/>
    <n v="0"/>
    <n v="0"/>
  </r>
  <r>
    <x v="8"/>
    <n v="0"/>
    <n v="0"/>
    <n v="0"/>
    <n v="0"/>
  </r>
  <r>
    <x v="9"/>
    <n v="0"/>
    <n v="0"/>
    <n v="0"/>
    <n v="0"/>
  </r>
  <r>
    <x v="10"/>
    <n v="0"/>
    <n v="0"/>
    <n v="0"/>
    <n v="0"/>
  </r>
  <r>
    <x v="11"/>
    <n v="0"/>
    <n v="0"/>
    <n v="0"/>
    <n v="0"/>
  </r>
  <r>
    <x v="12"/>
    <n v="1"/>
    <n v="0"/>
    <n v="0.5"/>
    <n v="0"/>
  </r>
  <r>
    <x v="13"/>
    <n v="0"/>
    <n v="0"/>
    <n v="0.5"/>
    <n v="0"/>
  </r>
  <r>
    <x v="14"/>
    <n v="0"/>
    <n v="0"/>
    <n v="0"/>
    <n v="0"/>
  </r>
  <r>
    <x v="15"/>
    <n v="0"/>
    <n v="0"/>
    <n v="0"/>
    <n v="0"/>
  </r>
  <r>
    <x v="16"/>
    <n v="0"/>
    <n v="0"/>
    <n v="0"/>
    <n v="1"/>
  </r>
  <r>
    <x v="17"/>
    <n v="0"/>
    <n v="1"/>
    <n v="0"/>
    <n v="0"/>
  </r>
  <r>
    <x v="18"/>
    <n v="0"/>
    <n v="0"/>
    <n v="0"/>
    <n v="0"/>
  </r>
  <r>
    <x v="19"/>
    <n v="0"/>
    <n v="0"/>
    <n v="0"/>
    <n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e v="#N/A"/>
    <e v="#N/A"/>
    <e v="#N/A"/>
    <e v="#N/A"/>
  </r>
  <r>
    <x v="1"/>
    <e v="#N/A"/>
    <e v="#N/A"/>
    <e v="#N/A"/>
    <e v="#N/A"/>
  </r>
  <r>
    <x v="2"/>
    <e v="#N/A"/>
    <e v="#N/A"/>
    <e v="#N/A"/>
    <e v="#N/A"/>
  </r>
  <r>
    <x v="3"/>
    <e v="#N/A"/>
    <e v="#N/A"/>
    <e v="#N/A"/>
    <e v="#N/A"/>
  </r>
  <r>
    <x v="4"/>
    <e v="#N/A"/>
    <e v="#N/A"/>
    <e v="#N/A"/>
    <e v="#N/A"/>
  </r>
  <r>
    <x v="5"/>
    <e v="#N/A"/>
    <e v="#N/A"/>
    <e v="#N/A"/>
    <e v="#N/A"/>
  </r>
  <r>
    <x v="6"/>
    <e v="#N/A"/>
    <e v="#N/A"/>
    <e v="#N/A"/>
    <e v="#N/A"/>
  </r>
  <r>
    <x v="7"/>
    <e v="#N/A"/>
    <e v="#N/A"/>
    <e v="#N/A"/>
    <e v="#N/A"/>
  </r>
  <r>
    <x v="8"/>
    <e v="#N/A"/>
    <e v="#N/A"/>
    <e v="#N/A"/>
    <e v="#N/A"/>
  </r>
  <r>
    <x v="9"/>
    <e v="#N/A"/>
    <e v="#N/A"/>
    <e v="#N/A"/>
    <e v="#N/A"/>
  </r>
  <r>
    <x v="10"/>
    <e v="#N/A"/>
    <e v="#N/A"/>
    <e v="#N/A"/>
    <e v="#N/A"/>
  </r>
  <r>
    <x v="11"/>
    <e v="#N/A"/>
    <e v="#N/A"/>
    <e v="#N/A"/>
    <e v="#N/A"/>
  </r>
  <r>
    <x v="12"/>
    <e v="#N/A"/>
    <e v="#N/A"/>
    <e v="#N/A"/>
    <e v="#N/A"/>
  </r>
  <r>
    <x v="13"/>
    <e v="#N/A"/>
    <e v="#N/A"/>
    <e v="#N/A"/>
    <e v="#N/A"/>
  </r>
  <r>
    <x v="14"/>
    <e v="#N/A"/>
    <e v="#N/A"/>
    <e v="#N/A"/>
    <e v="#N/A"/>
  </r>
  <r>
    <x v="15"/>
    <e v="#N/A"/>
    <e v="#N/A"/>
    <e v="#N/A"/>
    <e v="#N/A"/>
  </r>
  <r>
    <x v="16"/>
    <e v="#N/A"/>
    <e v="#N/A"/>
    <e v="#N/A"/>
    <e v="#N/A"/>
  </r>
  <r>
    <x v="17"/>
    <e v="#N/A"/>
    <e v="#N/A"/>
    <e v="#N/A"/>
    <e v="#N/A"/>
  </r>
  <r>
    <x v="18"/>
    <e v="#N/A"/>
    <e v="#N/A"/>
    <e v="#N/A"/>
    <e v="#N/A"/>
  </r>
  <r>
    <x v="19"/>
    <e v="#N/A"/>
    <e v="#N/A"/>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15A7D-54D2-47DB-9509-3F5DCB1FFD04}" name="PivotTable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18" firstHeaderRow="0" firstDataRow="1" firstDataCol="1"/>
  <pivotFields count="17">
    <pivotField showAll="0"/>
    <pivotField showAll="0">
      <items count="5">
        <item h="1" x="1"/>
        <item h="1" m="1" x="3"/>
        <item x="0"/>
        <item h="1" x="2"/>
        <item t="default"/>
      </items>
    </pivotField>
    <pivotField showAll="0"/>
    <pivotField dataField="1" showAll="0"/>
    <pivotField axis="axisRow" showAll="0">
      <items count="51">
        <item m="1" x="45"/>
        <item m="1" x="30"/>
        <item m="1" x="44"/>
        <item m="1" x="46"/>
        <item m="1" x="39"/>
        <item m="1" x="49"/>
        <item m="1" x="43"/>
        <item m="1" x="36"/>
        <item m="1" x="32"/>
        <item m="1" x="35"/>
        <item m="1" x="31"/>
        <item m="1" x="40"/>
        <item m="1" x="48"/>
        <item m="1" x="47"/>
        <item m="1" x="33"/>
        <item m="1" x="38"/>
        <item m="1" x="37"/>
        <item m="1" x="41"/>
        <item m="1" x="42"/>
        <item m="1" x="34"/>
        <item x="0"/>
        <item x="1"/>
        <item x="2"/>
        <item m="1" x="21"/>
        <item x="3"/>
        <item x="4"/>
        <item x="5"/>
        <item x="6"/>
        <item m="1" x="22"/>
        <item m="1" x="23"/>
        <item m="1" x="24"/>
        <item m="1" x="25"/>
        <item m="1" x="26"/>
        <item m="1" x="27"/>
        <item x="13"/>
        <item x="14"/>
        <item x="15"/>
        <item x="16"/>
        <item m="1" x="28"/>
        <item x="18"/>
        <item m="1" x="29"/>
        <item x="20"/>
        <item x="7"/>
        <item x="8"/>
        <item x="9"/>
        <item x="10"/>
        <item x="11"/>
        <item x="12"/>
        <item x="17"/>
        <item x="19"/>
        <item t="default"/>
      </items>
    </pivotField>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4"/>
  </rowFields>
  <rowItems count="17">
    <i>
      <x v="20"/>
    </i>
    <i>
      <x v="21"/>
    </i>
    <i>
      <x v="22"/>
    </i>
    <i>
      <x v="24"/>
    </i>
    <i>
      <x v="25"/>
    </i>
    <i>
      <x v="26"/>
    </i>
    <i>
      <x v="27"/>
    </i>
    <i>
      <x v="34"/>
    </i>
    <i>
      <x v="35"/>
    </i>
    <i>
      <x v="36"/>
    </i>
    <i>
      <x v="42"/>
    </i>
    <i>
      <x v="43"/>
    </i>
    <i>
      <x v="44"/>
    </i>
    <i>
      <x v="45"/>
    </i>
    <i>
      <x v="46"/>
    </i>
    <i>
      <x v="47"/>
    </i>
    <i t="grand">
      <x/>
    </i>
  </rowItems>
  <colFields count="1">
    <field x="-2"/>
  </colFields>
  <colItems count="3">
    <i>
      <x/>
    </i>
    <i i="1">
      <x v="1"/>
    </i>
    <i i="2">
      <x v="2"/>
    </i>
  </colItems>
  <dataFields count="3">
    <dataField name="Total Drgs" fld="3" subtotal="count" baseField="4" baseItem="3"/>
    <dataField name="Submitted" fld="9" subtotal="count" baseField="4" baseItem="3"/>
    <dataField name="Approved" fld="13" subtotal="count" baseField="4" baseItem="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09D527-5F68-4416-AF45-D644538F4731}" name="PivotTable2" cacheId="6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I10:AM32"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22">
    <i>
      <x v="52"/>
    </i>
    <i>
      <x v="53"/>
    </i>
    <i>
      <x v="54"/>
    </i>
    <i>
      <x v="55"/>
    </i>
    <i>
      <x v="56"/>
    </i>
    <i>
      <x v="57"/>
    </i>
    <i>
      <x v="58"/>
    </i>
    <i>
      <x v="59"/>
    </i>
    <i>
      <x v="60"/>
    </i>
    <i>
      <x v="61"/>
    </i>
    <i>
      <x v="62"/>
    </i>
    <i>
      <x v="63"/>
    </i>
    <i>
      <x v="64"/>
    </i>
    <i>
      <x v="65"/>
    </i>
    <i>
      <x v="66"/>
    </i>
    <i>
      <x v="67"/>
    </i>
    <i>
      <x v="68"/>
    </i>
    <i>
      <x v="69"/>
    </i>
    <i>
      <x v="70"/>
    </i>
    <i>
      <x v="71"/>
    </i>
    <i>
      <x v="72"/>
    </i>
    <i t="grand">
      <x/>
    </i>
  </rowItems>
  <colFields count="1">
    <field x="-2"/>
  </colFields>
  <colItems count="4">
    <i>
      <x/>
    </i>
    <i i="1">
      <x v="1"/>
    </i>
    <i i="2">
      <x v="2"/>
    </i>
    <i i="3">
      <x v="3"/>
    </i>
  </colItems>
  <dataFields count="4">
    <dataField name=" Submission_1 Plan" fld="1" baseField="0" baseItem="5" numFmtId="166">
      <extLst>
        <ext xmlns:x14="http://schemas.microsoft.com/office/spreadsheetml/2009/9/main" uri="{E15A36E0-9728-4e99-A89B-3F7291B0FE68}">
          <x14:dataField pivotShowAs="percentOfRunningTotal"/>
        </ext>
      </extLst>
    </dataField>
    <dataField name=" Submission_1 Actuals" fld="2" baseField="0" baseItem="15" numFmtId="166">
      <extLst>
        <ext xmlns:x14="http://schemas.microsoft.com/office/spreadsheetml/2009/9/main" uri="{E15A36E0-9728-4e99-A89B-3F7291B0FE68}">
          <x14:dataField pivotShowAs="percentOfRunningTotal"/>
        </ext>
      </extLst>
    </dataField>
    <dataField name=" Approval Plan" fld="3" baseField="0" baseItem="19" numFmtId="166">
      <extLst>
        <ext xmlns:x14="http://schemas.microsoft.com/office/spreadsheetml/2009/9/main" uri="{E15A36E0-9728-4e99-A89B-3F7291B0FE68}">
          <x14:dataField pivotShowAs="percentOfRunningTotal"/>
        </ext>
      </extLst>
    </dataField>
    <dataField name=" Approval Actuals" fld="4" baseField="0" baseItem="19"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29" name="Rpt_Week">
      <autoFilter ref="A1">
        <filterColumn colId="0">
          <customFilters and="1">
            <customFilter operator="greaterThanOrEqual" val="4602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2AF51-E508-4739-BE7C-0E638A318B5C}" name="PivotTable1" cacheId="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0:E33"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23">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4">
    <i>
      <x/>
    </i>
    <i i="1">
      <x v="1"/>
    </i>
    <i i="2">
      <x v="2"/>
    </i>
    <i i="3">
      <x v="3"/>
    </i>
  </colItems>
  <dataFields count="4">
    <dataField name=" Submission_1 Plan" fld="1" baseField="0" baseItem="46" numFmtId="166">
      <extLst>
        <ext xmlns:x14="http://schemas.microsoft.com/office/spreadsheetml/2009/9/main" uri="{E15A36E0-9728-4e99-A89B-3F7291B0FE68}">
          <x14:dataField pivotShowAs="percentOfRunningTotal"/>
        </ext>
      </extLst>
    </dataField>
    <dataField name=" Submission_1 Actuals" fld="2" baseField="0" baseItem="8" numFmtId="166">
      <extLst>
        <ext xmlns:x14="http://schemas.microsoft.com/office/spreadsheetml/2009/9/main" uri="{E15A36E0-9728-4e99-A89B-3F7291B0FE68}">
          <x14:dataField pivotShowAs="percentOfRunningTotal"/>
        </ext>
      </extLst>
    </dataField>
    <dataField name=" Approval Plan" fld="3" baseField="0" baseItem="8" numFmtId="166">
      <extLst>
        <ext xmlns:x14="http://schemas.microsoft.com/office/spreadsheetml/2009/9/main" uri="{E15A36E0-9728-4e99-A89B-3F7291B0FE68}">
          <x14:dataField pivotShowAs="percentOfRunningTotal"/>
        </ext>
      </extLst>
    </dataField>
    <dataField name=" Approval Actuals" fld="4" baseField="0" baseItem="8" numFmtId="166">
      <extLst>
        <ext xmlns:x14="http://schemas.microsoft.com/office/spreadsheetml/2009/9/main" uri="{E15A36E0-9728-4e99-A89B-3F7291B0FE68}">
          <x14:dataField pivotShowAs="percentOfRunningTotal"/>
        </ext>
      </extLst>
    </dataField>
  </dataFields>
  <chartFormats count="8">
    <chartFormat chart="0" format="25"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1"/>
          </reference>
        </references>
      </pivotArea>
    </chartFormat>
    <chartFormat chart="0" format="27" series="1">
      <pivotArea type="data" outline="0" fieldPosition="0">
        <references count="1">
          <reference field="4294967294" count="1" selected="0">
            <x v="2"/>
          </reference>
        </references>
      </pivotArea>
    </chartFormat>
    <chartFormat chart="0" format="28" series="1">
      <pivotArea type="data" outline="0" fieldPosition="0">
        <references count="1">
          <reference field="4294967294" count="1" selected="0">
            <x v="3"/>
          </reference>
        </references>
      </pivotArea>
    </chartFormat>
    <chartFormat chart="0" format="29">
      <pivotArea type="data" outline="0" fieldPosition="0">
        <references count="2">
          <reference field="4294967294" count="1" selected="0">
            <x v="0"/>
          </reference>
          <reference field="0" count="1" selected="0">
            <x v="59"/>
          </reference>
        </references>
      </pivotArea>
    </chartFormat>
    <chartFormat chart="0" format="30">
      <pivotArea type="data" outline="0" fieldPosition="0">
        <references count="2">
          <reference field="4294967294" count="1" selected="0">
            <x v="1"/>
          </reference>
          <reference field="0" count="1" selected="0">
            <x v="59"/>
          </reference>
        </references>
      </pivotArea>
    </chartFormat>
    <chartFormat chart="0" format="31">
      <pivotArea type="data" outline="0" fieldPosition="0">
        <references count="2">
          <reference field="4294967294" count="1" selected="0">
            <x v="2"/>
          </reference>
          <reference field="0" count="1" selected="0">
            <x v="59"/>
          </reference>
        </references>
      </pivotArea>
    </chartFormat>
    <chartFormat chart="0" format="32">
      <pivotArea type="data" outline="0" fieldPosition="0">
        <references count="2">
          <reference field="4294967294" count="1" selected="0">
            <x v="3"/>
          </reference>
          <reference field="0" count="1" selected="0">
            <x v="59"/>
          </reference>
        </references>
      </pivotArea>
    </chartFormat>
  </chartFormats>
  <pivotTableStyleInfo name="PivotStyleLight16" showRowHeaders="1" showColHeaders="1" showRowStripes="0" showColStripes="0" showLastColumn="1"/>
  <filters count="1">
    <filter fld="0" type="dateBetween" evalOrder="-1" id="72" name="Rpt_Week">
      <autoFilter ref="A1">
        <filterColumn colId="0">
          <customFilters and="1">
            <customFilter operator="greaterThanOrEqual" val="45992"/>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55FA9-5085-439C-8E77-D3C2CA2BA921}" name="PivotTable3"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I9:BM62"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53">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4">
    <i>
      <x/>
    </i>
    <i i="1">
      <x v="1"/>
    </i>
    <i i="2">
      <x v="2"/>
    </i>
    <i i="3">
      <x v="3"/>
    </i>
  </colItems>
  <dataFields count="4">
    <dataField name=" Submission_1 Plan" fld="1" baseField="0" baseItem="1" numFmtId="166">
      <extLst>
        <ext xmlns:x14="http://schemas.microsoft.com/office/spreadsheetml/2009/9/main" uri="{E15A36E0-9728-4e99-A89B-3F7291B0FE68}">
          <x14:dataField pivotShowAs="percentOfRunningTotal"/>
        </ext>
      </extLst>
    </dataField>
    <dataField name=" Submission_1 Actuals" fld="2" baseField="0" baseItem="0" numFmtId="166">
      <extLst>
        <ext xmlns:x14="http://schemas.microsoft.com/office/spreadsheetml/2009/9/main" uri="{E15A36E0-9728-4e99-A89B-3F7291B0FE68}">
          <x14:dataField pivotShowAs="percentOfRunningTotal"/>
        </ext>
      </extLst>
    </dataField>
    <dataField name=" Approval Plan" fld="3" baseField="0" baseItem="26" numFmtId="166">
      <extLst>
        <ext xmlns:x14="http://schemas.microsoft.com/office/spreadsheetml/2009/9/main" uri="{E15A36E0-9728-4e99-A89B-3F7291B0FE68}">
          <x14:dataField pivotShowAs="percentOfRunningTotal"/>
        </ext>
      </extLst>
    </dataField>
    <dataField name=" Approval Actuals" fld="4" baseField="0" baseItem="3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5" name="Rpt_Week">
      <autoFilter ref="A1">
        <filterColumn colId="0">
          <customFilters and="1">
            <customFilter operator="greaterThanOrEqual" val="45778"/>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FDFD66-E5B2-4795-BCAC-6DA562D8BCE9}" name="PivotTable3" cacheId="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A1:BE13"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12">
    <i>
      <x v="1"/>
    </i>
    <i>
      <x v="2"/>
    </i>
    <i>
      <x v="3"/>
    </i>
    <i>
      <x v="4"/>
    </i>
    <i>
      <x v="5"/>
    </i>
    <i>
      <x v="6"/>
    </i>
    <i>
      <x v="7"/>
    </i>
    <i>
      <x v="8"/>
    </i>
    <i>
      <x v="9"/>
    </i>
    <i>
      <x v="10"/>
    </i>
    <i>
      <x v="11"/>
    </i>
    <i t="grand">
      <x/>
    </i>
  </rowItems>
  <colFields count="1">
    <field x="-2"/>
  </colFields>
  <colItems count="4">
    <i>
      <x/>
    </i>
    <i i="1">
      <x v="1"/>
    </i>
    <i i="2">
      <x v="2"/>
    </i>
    <i i="3">
      <x v="3"/>
    </i>
  </colItems>
  <dataFields count="4">
    <dataField name=" Submission_1 Plan" fld="1" baseField="0" baseItem="1" numFmtId="166">
      <extLst>
        <ext xmlns:x14="http://schemas.microsoft.com/office/spreadsheetml/2009/9/main" uri="{E15A36E0-9728-4e99-A89B-3F7291B0FE68}">
          <x14:dataField pivotShowAs="percentOfRunningTotal"/>
        </ext>
      </extLst>
    </dataField>
    <dataField name=" Submission_1 Actuals" fld="2" baseField="0" baseItem="1" numFmtId="166">
      <extLst>
        <ext xmlns:x14="http://schemas.microsoft.com/office/spreadsheetml/2009/9/main" uri="{E15A36E0-9728-4e99-A89B-3F7291B0FE68}">
          <x14:dataField pivotShowAs="percentOfRunningTotal"/>
        </ext>
      </extLst>
    </dataField>
    <dataField name=" Approval Plan" fld="3" baseField="0" baseItem="1" numFmtId="166">
      <extLst>
        <ext xmlns:x14="http://schemas.microsoft.com/office/spreadsheetml/2009/9/main" uri="{E15A36E0-9728-4e99-A89B-3F7291B0FE68}">
          <x14:dataField pivotShowAs="percentOfRunningTotal"/>
        </ext>
      </extLst>
    </dataField>
    <dataField name=" Approval Actuals" fld="4" baseField="0" baseItem="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6" name="Rpt_Month">
      <autoFilter ref="A1">
        <filterColumn colId="0">
          <customFilters and="1">
            <customFilter operator="greaterThanOrEqual" val="45689"/>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565697-B430-4018-A4D8-1FA22018376C}" name="PivotTable2" cacheId="8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A1:AE10"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9">
    <i>
      <x v="10"/>
    </i>
    <i>
      <x v="11"/>
    </i>
    <i>
      <x v="12"/>
    </i>
    <i>
      <x v="13"/>
    </i>
    <i>
      <x v="14"/>
    </i>
    <i>
      <x v="15"/>
    </i>
    <i>
      <x v="16"/>
    </i>
    <i>
      <x v="17"/>
    </i>
    <i t="grand">
      <x/>
    </i>
  </rowItems>
  <colFields count="1">
    <field x="-2"/>
  </colFields>
  <colItems count="4">
    <i>
      <x/>
    </i>
    <i i="1">
      <x v="1"/>
    </i>
    <i i="2">
      <x v="2"/>
    </i>
    <i i="3">
      <x v="3"/>
    </i>
  </colItems>
  <dataFields count="4">
    <dataField name=" Submission_1 Plan" fld="1" baseField="0" baseItem="4" numFmtId="166">
      <extLst>
        <ext xmlns:x14="http://schemas.microsoft.com/office/spreadsheetml/2009/9/main" uri="{E15A36E0-9728-4e99-A89B-3F7291B0FE68}">
          <x14:dataField pivotShowAs="percentOfRunningTotal"/>
        </ext>
      </extLst>
    </dataField>
    <dataField name=" Submission_1 Actuals" fld="2" baseField="0" baseItem="11" numFmtId="166">
      <extLst>
        <ext xmlns:x14="http://schemas.microsoft.com/office/spreadsheetml/2009/9/main" uri="{E15A36E0-9728-4e99-A89B-3F7291B0FE68}">
          <x14:dataField pivotShowAs="percentOfRunningTotal"/>
        </ext>
      </extLst>
    </dataField>
    <dataField name=" Approval Plan" fld="3" baseField="0" baseItem="11" numFmtId="166">
      <extLst>
        <ext xmlns:x14="http://schemas.microsoft.com/office/spreadsheetml/2009/9/main" uri="{E15A36E0-9728-4e99-A89B-3F7291B0FE68}">
          <x14:dataField pivotShowAs="percentOfRunningTotal"/>
        </ext>
      </extLst>
    </dataField>
    <dataField name=" Approval Actuals" fld="4" baseField="0" baseItem="11"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20" name="Rpt_Month">
      <autoFilter ref="A1">
        <filterColumn colId="0">
          <customFilters and="1">
            <customFilter operator="greaterThanOrEqual" val="45962"/>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8F44C-7211-4786-B074-1C821E8CF6DD}" name="PivotTable4" cacheId="5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1:E8"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7">
    <i>
      <x v="10"/>
    </i>
    <i>
      <x v="11"/>
    </i>
    <i>
      <x v="12"/>
    </i>
    <i>
      <x v="13"/>
    </i>
    <i>
      <x v="14"/>
    </i>
    <i>
      <x v="15"/>
    </i>
    <i t="grand">
      <x/>
    </i>
  </rowItems>
  <colFields count="1">
    <field x="-2"/>
  </colFields>
  <colItems count="4">
    <i>
      <x/>
    </i>
    <i i="1">
      <x v="1"/>
    </i>
    <i i="2">
      <x v="2"/>
    </i>
    <i i="3">
      <x v="3"/>
    </i>
  </colItems>
  <dataFields count="4">
    <dataField name=" Submission_1 Plan" fld="1" baseField="0" baseItem="2" numFmtId="166">
      <extLst>
        <ext xmlns:x14="http://schemas.microsoft.com/office/spreadsheetml/2009/9/main" uri="{E15A36E0-9728-4e99-A89B-3F7291B0FE68}">
          <x14:dataField pivotShowAs="percentOfRunningTotal"/>
        </ext>
      </extLst>
    </dataField>
    <dataField name=" Submission_1 Actuals" fld="2" baseField="0" baseItem="0" numFmtId="166">
      <extLst>
        <ext xmlns:x14="http://schemas.microsoft.com/office/spreadsheetml/2009/9/main" uri="{E15A36E0-9728-4e99-A89B-3F7291B0FE68}">
          <x14:dataField pivotShowAs="percentOfRunningTotal"/>
        </ext>
      </extLst>
    </dataField>
    <dataField name=" Approval Plan" fld="3" baseField="0" baseItem="0" numFmtId="166">
      <extLst>
        <ext xmlns:x14="http://schemas.microsoft.com/office/spreadsheetml/2009/9/main" uri="{E15A36E0-9728-4e99-A89B-3F7291B0FE68}">
          <x14:dataField pivotShowAs="percentOfRunningTotal"/>
        </ext>
      </extLst>
    </dataField>
    <dataField name=" Approval Actuals" fld="4" baseField="0" baseItem="0" numFmtId="166">
      <extLst>
        <ext xmlns:x14="http://schemas.microsoft.com/office/spreadsheetml/2009/9/main" uri="{E15A36E0-9728-4e99-A89B-3F7291B0FE68}">
          <x14:dataField pivotShowAs="percentOfRunningTotal"/>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9" name="Rpt_Month">
      <autoFilter ref="A1">
        <filterColumn colId="0">
          <customFilters and="1">
            <customFilter operator="greaterThanOrEqual" val="45962"/>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397CC5-3098-48D4-AB2F-AD987E7F57DD}" name="PivotTable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7">
    <pivotField showAll="0"/>
    <pivotField axis="axisRow" showAll="0">
      <items count="5">
        <item x="1"/>
        <item m="1" x="3"/>
        <item x="0"/>
        <item x="2"/>
        <item t="default"/>
      </items>
    </pivotField>
    <pivotField showAll="0"/>
    <pivotField dataField="1" showAll="0"/>
    <pivotField showAll="0"/>
    <pivotField showAll="0"/>
    <pivotField showAll="0"/>
    <pivotField numFmtId="164" showAll="0"/>
    <pivotField showAll="0"/>
    <pivotField showAll="0"/>
    <pivotField showAll="0"/>
    <pivotField showAll="0"/>
    <pivotField numFmtId="164" showAll="0"/>
    <pivotField showAll="0"/>
    <pivotField numFmtId="164" showAll="0"/>
    <pivotField showAll="0"/>
    <pivotField showAll="0"/>
  </pivotFields>
  <rowFields count="1">
    <field x="1"/>
  </rowFields>
  <rowItems count="4">
    <i>
      <x/>
    </i>
    <i>
      <x v="2"/>
    </i>
    <i>
      <x v="3"/>
    </i>
    <i t="grand">
      <x/>
    </i>
  </rowItems>
  <colItems count="1">
    <i/>
  </colItems>
  <dataFields count="1">
    <dataField name="Count of DRG ID" fld="3" subtotal="count" baseField="0" baseItem="0"/>
  </dataField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DAFDE7-0502-438F-B404-C3410F3A17D3}" name="PivotTable1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1:D73" firstHeaderRow="0" firstDataRow="1" firstDataCol="1" rowPageCount="1" colPageCount="1"/>
  <pivotFields count="17">
    <pivotField showAll="0"/>
    <pivotField axis="axisPage" showAll="0">
      <items count="5">
        <item x="1"/>
        <item m="1" x="3"/>
        <item x="0"/>
        <item x="2"/>
        <item t="default"/>
      </items>
    </pivotField>
    <pivotField axis="axisRow" showAll="0">
      <items count="12">
        <item m="1" x="4"/>
        <item m="1" x="5"/>
        <item m="1" x="10"/>
        <item m="1" x="6"/>
        <item m="1" x="7"/>
        <item m="1" x="8"/>
        <item m="1" x="9"/>
        <item m="1" x="3"/>
        <item x="0"/>
        <item x="1"/>
        <item x="2"/>
        <item t="default"/>
      </items>
    </pivotField>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2"/>
  </rowFields>
  <rowItems count="2">
    <i>
      <x v="8"/>
    </i>
    <i t="grand">
      <x/>
    </i>
  </rowItems>
  <colFields count="1">
    <field x="-2"/>
  </colFields>
  <colItems count="3">
    <i>
      <x/>
    </i>
    <i i="1">
      <x v="1"/>
    </i>
    <i i="2">
      <x v="2"/>
    </i>
  </colItems>
  <pageFields count="1">
    <pageField fld="1" item="2" hier="-1"/>
  </pageFields>
  <dataFields count="3">
    <dataField name="Total DRG ID" fld="3" subtotal="count" baseField="2" baseItem="0"/>
    <dataField name="Submitted" fld="9" subtotal="count" baseField="2" baseItem="0"/>
    <dataField name="Approved" fld="13" subtotal="count" baseField="2"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325BA1-DF57-4D6D-BCD7-A6A6F974533D}" name="PivotTable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27" firstHeaderRow="0" firstDataRow="1" firstDataCol="1"/>
  <pivotFields count="17">
    <pivotField showAll="0"/>
    <pivotField axis="axisRow" showAll="0">
      <items count="5">
        <item x="1"/>
        <item m="1" x="3"/>
        <item x="0"/>
        <item h="1" x="2"/>
        <item t="default"/>
      </items>
    </pivotField>
    <pivotField showAll="0"/>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1"/>
  </rowFields>
  <rowItems count="3">
    <i>
      <x/>
    </i>
    <i>
      <x v="2"/>
    </i>
    <i t="grand">
      <x/>
    </i>
  </rowItems>
  <colFields count="1">
    <field x="-2"/>
  </colFields>
  <colItems count="3">
    <i>
      <x/>
    </i>
    <i i="1">
      <x v="1"/>
    </i>
    <i i="2">
      <x v="2"/>
    </i>
  </colItems>
  <dataFields count="3">
    <dataField name="Count of DRG ID" fld="3" subtotal="count" baseField="0" baseItem="0"/>
    <dataField name="Count of Actual Submission to Client" fld="9" subtotal="count" baseField="0" baseItem="0"/>
    <dataField name="Count of Actual  Approval Date" fld="13"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282F98-006A-4F78-BF0D-32FB966165FF}"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8" firstHeaderRow="0" firstDataRow="1" firstDataCol="1"/>
  <pivotFields count="3">
    <pivotField axis="axisRow" numFmtId="165" showAll="0">
      <items count="21">
        <item h="1" x="0"/>
        <item h="1" x="1"/>
        <item h="1" x="2"/>
        <item h="1" x="3"/>
        <item h="1" x="4"/>
        <item h="1" x="5"/>
        <item h="1" x="6"/>
        <item h="1" x="7"/>
        <item h="1" x="8"/>
        <item h="1" x="9"/>
        <item x="10"/>
        <item x="11"/>
        <item x="12"/>
        <item x="13"/>
        <item x="14"/>
        <item x="15"/>
        <item h="1" x="16"/>
        <item h="1" x="17"/>
        <item h="1" x="18"/>
        <item h="1" x="19"/>
        <item t="default"/>
      </items>
    </pivotField>
    <pivotField dataField="1" numFmtId="166" showAll="0"/>
    <pivotField dataField="1" numFmtId="166" showAll="0"/>
  </pivotFields>
  <rowFields count="1">
    <field x="0"/>
  </rowFields>
  <rowItems count="7">
    <i>
      <x v="10"/>
    </i>
    <i>
      <x v="11"/>
    </i>
    <i>
      <x v="12"/>
    </i>
    <i>
      <x v="13"/>
    </i>
    <i>
      <x v="14"/>
    </i>
    <i>
      <x v="15"/>
    </i>
    <i t="grand">
      <x/>
    </i>
  </rowItems>
  <colFields count="1">
    <field x="-2"/>
  </colFields>
  <colItems count="2">
    <i>
      <x/>
    </i>
    <i i="1">
      <x v="1"/>
    </i>
  </colItems>
  <dataFields count="2">
    <dataField name="Sum of Submission_1 Plan" fld="1" baseField="0" baseItem="1" numFmtId="166">
      <extLst>
        <ext xmlns:x14="http://schemas.microsoft.com/office/spreadsheetml/2009/9/main" uri="{E15A36E0-9728-4e99-A89B-3F7291B0FE68}">
          <x14:dataField pivotShowAs="percentOfRunningTotal"/>
        </ext>
      </extLst>
    </dataField>
    <dataField name="Sum of Submission_1 Actuals" fld="2" baseField="0" baseItem="1" numFmtId="166">
      <extLst>
        <ext xmlns:x14="http://schemas.microsoft.com/office/spreadsheetml/2009/9/main" uri="{E15A36E0-9728-4e99-A89B-3F7291B0FE68}">
          <x14:dataField pivotShowAs="percentOfRunningTotal"/>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C87132-F528-4955-9E8E-66322C8FFF4F}" name="PivotTable4" cacheId="7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C3" firstHeaderRow="1" firstDataRow="2" firstDataCol="1"/>
  <pivotFields count="10">
    <pivotField dataField="1" showAll="0"/>
    <pivotField axis="axisCol" showAll="0">
      <items count="5">
        <item x="1"/>
        <item x="0"/>
        <item h="1" x="2"/>
        <item h="1" m="1" x="3"/>
        <item t="default"/>
      </items>
    </pivotField>
    <pivotField showAll="0"/>
    <pivotField showAll="0"/>
    <pivotField showAll="0"/>
    <pivotField showAll="0"/>
    <pivotField showAll="0"/>
    <pivotField showAll="0"/>
    <pivotField showAll="0"/>
    <pivotField showAll="0"/>
  </pivotFields>
  <rowItems count="1">
    <i/>
  </rowItems>
  <colFields count="1">
    <field x="1"/>
  </colFields>
  <colItems count="2">
    <i>
      <x/>
    </i>
    <i>
      <x v="1"/>
    </i>
  </colItems>
  <dataFields count="1">
    <dataField name="Total DRG ID" fld="0" subtotal="count" baseField="1" baseItem="0"/>
  </dataFields>
  <formats count="14">
    <format dxfId="41">
      <pivotArea outline="0" collapsedLevelsAreSubtotals="1" fieldPosition="0"/>
    </format>
    <format dxfId="40">
      <pivotArea dataOnly="0" labelOnly="1" fieldPosition="0">
        <references count="1">
          <reference field="1" count="0"/>
        </references>
      </pivotArea>
    </format>
    <format dxfId="39">
      <pivotArea outline="0" collapsedLevelsAreSubtotals="1" fieldPosition="0"/>
    </format>
    <format dxfId="38">
      <pivotArea dataOnly="0" labelOnly="1" fieldPosition="0">
        <references count="1">
          <reference field="1" count="0"/>
        </references>
      </pivotArea>
    </format>
    <format dxfId="37">
      <pivotArea type="all" dataOnly="0" outline="0" fieldPosition="0"/>
    </format>
    <format dxfId="36">
      <pivotArea outline="0" collapsedLevelsAreSubtotals="1" fieldPosition="0"/>
    </format>
    <format dxfId="35">
      <pivotArea type="origin" dataOnly="0" labelOnly="1" outline="0" offset="A1" fieldPosition="0"/>
    </format>
    <format dxfId="34">
      <pivotArea dataOnly="0" labelOnly="1" outline="0" axis="axisValues" fieldPosition="0"/>
    </format>
    <format dxfId="33">
      <pivotArea field="1" type="button" dataOnly="0" labelOnly="1" outline="0" axis="axisCol" fieldPosition="0"/>
    </format>
    <format dxfId="32">
      <pivotArea type="topRight" dataOnly="0" labelOnly="1" outline="0" fieldPosition="0"/>
    </format>
    <format dxfId="31">
      <pivotArea type="origin" dataOnly="0" labelOnly="1" outline="0" offset="A2" fieldPosition="0"/>
    </format>
    <format dxfId="30">
      <pivotArea dataOnly="0" labelOnly="1" fieldPosition="0">
        <references count="1">
          <reference field="1" count="0"/>
        </references>
      </pivotArea>
    </format>
    <format dxfId="29">
      <pivotArea outline="0" collapsedLevelsAreSubtotals="1"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0BC8E04A-0D9F-467D-ADA2-1804A4E4C358}" sourceName="Discipline">
  <pivotTables>
    <pivotTable tabId="11" name="PivotTable4"/>
  </pivotTables>
  <data>
    <tabular pivotCacheId="2053257070">
      <items count="4">
        <i x="1"/>
        <i x="0" s="1"/>
        <i x="3"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1" xr10:uid="{5827A813-159F-4E6F-836D-D2B31E6D7134}" sourceName="Discipline">
  <pivotTables>
    <pivotTable tabId="13" name="PivotTable16"/>
  </pivotTables>
  <data>
    <tabular pivotCacheId="2053257070">
      <items count="4">
        <i x="1"/>
        <i x="0"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xr10:uid="{F8E1D2ED-E95D-4403-8650-9D2BDD42EE76}" cache="Slicer_Discipline" caption="Discip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1" xr10:uid="{FEC9AE3D-B078-4140-BE4A-D079C9490B12}" cache="Slicer_Discipline1" caption="Discipli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 xr10:uid="{C54329D0-E440-4416-8F76-4FA497FE18F5}" sourceName="Rpt_Week">
  <pivotTables>
    <pivotTable tabId="8" name="PivotTable1"/>
  </pivotTables>
  <state minimalRefreshVersion="6" lastRefreshVersion="6" pivotCacheId="2107340054" filterType="dateBetween">
    <selection startDate="2025-12-01T00:00:00" endDate="2026-04-30T00:00:00"/>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1" xr10:uid="{3C8EF744-B0CC-4C7D-9A0F-567418F22487}" sourceName="Rpt_Week">
  <pivotTables>
    <pivotTable tabId="8" name="PivotTable2"/>
  </pivotTables>
  <state minimalRefreshVersion="6" lastRefreshVersion="6" pivotCacheId="1860465718" filterType="dateBetween">
    <selection startDate="2026-01-01T00:00:00" endDate="2026-05-31T00:00:00"/>
    <bounds startDate="2025-01-0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2" xr10:uid="{9ACAB572-0B73-488C-8DCD-283406D0FFE0}" sourceName="Rpt_Week">
  <pivotTables>
    <pivotTable tabId="8" name="PivotTable3"/>
  </pivotTables>
  <state minimalRefreshVersion="6" lastRefreshVersion="6" pivotCacheId="1133399111" filterType="dateBetween">
    <selection startDate="2025-05-01T00:00:00" endDate="2026-04-30T00:00:00"/>
    <bounds startDate="2025-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1" xr10:uid="{B15F60D7-028C-48F4-81CE-FB176F044CCC}" sourceName="Rpt_Month">
  <pivotTables>
    <pivotTable tabId="12" name="PivotTable2"/>
  </pivotTables>
  <state minimalRefreshVersion="6" lastRefreshVersion="6" pivotCacheId="735949004" filterType="dateBetween">
    <selection startDate="2025-11-01T00:00:00" endDate="2026-06-30T00:00:00"/>
    <bounds startDate="2025-01-01T00:00:00" endDate="2027-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2" xr10:uid="{6CDF7BA7-E6ED-47F1-A23D-445B31BE9A66}" sourceName="Rpt_Month">
  <pivotTables>
    <pivotTable tabId="12" name="PivotTable3"/>
  </pivotTables>
  <state minimalRefreshVersion="6" lastRefreshVersion="6" pivotCacheId="470791639" filterType="dateBetween">
    <selection startDate="2025-02-01T00:00:00" endDate="2025-12-31T00:00:00"/>
    <bounds startDate="2025-01-01T00:00:00" endDate="2027-01-01T00:00:00"/>
  </state>
</timelineCacheDefinition>
</file>

<file path=xl/timelineCaches/timelineCache6.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 xr10:uid="{CE575167-0588-42E7-878C-B42C0EA325D6}" sourceName="Rpt_Month">
  <pivotTables>
    <pivotTable tabId="12" name="PivotTable4"/>
  </pivotTables>
  <state minimalRefreshVersion="6" lastRefreshVersion="6" pivotCacheId="1590894077" filterType="dateBetween">
    <selection startDate="2025-11-01T00:00:00" endDate="2026-04-30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Week" xr10:uid="{46F0CEBE-31EC-4BD5-BD66-86648B415EA1}" cache="NativeTimeline_Rpt_Week" caption="Rpt_Week" level="2" selectionLevel="2" scrollPosition="2025-02-17T00:00:00"/>
  <timeline name="Rpt_Week 1" xr10:uid="{8A75782C-0FCF-41E4-9DCD-7676481295BC}" cache="NativeTimeline_Rpt_Week1" caption="Rpt_Week" level="2" selectionLevel="2" scrollPosition="2025-01-01T00:00:00"/>
  <timeline name="Rpt_Week 2" xr10:uid="{87E72A06-BD43-4A8A-A757-77BE24F6DF93}" cache="NativeTimeline_Rpt_Week2" caption="Rpt_Week" level="2" selectionLevel="2" scrollPosition="2025-03-1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Month 1" xr10:uid="{68009196-0F20-48E2-85B7-C83C25862844}" cache="NativeTimeline_Rpt_Month1" caption="Rpt_Month" level="2" selectionLevel="2" scrollPosition="2025-01-01T00:00:00"/>
  <timeline name="Rpt_Month 2" xr10:uid="{D872F542-1311-4542-B6C7-78EBD388A4F2}" cache="NativeTimeline_Rpt_Month2" caption="Rpt_Month" level="2" selectionLevel="2" scrollPosition="2025-01-01T00:00:00"/>
  <timeline name="Rpt_Month" xr10:uid="{76B5F0E0-E96E-4ABB-ACD2-06FACD9C2B74}" cache="NativeTimeline_Rpt_Month" caption="Rpt_Month"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8248-568E-4FB6-8C3F-02DB983E5E83}">
  <dimension ref="A1:D18"/>
  <sheetViews>
    <sheetView topLeftCell="G1" workbookViewId="0">
      <selection activeCell="Y17" sqref="Y17"/>
    </sheetView>
  </sheetViews>
  <sheetFormatPr defaultRowHeight="14.5"/>
  <cols>
    <col min="1" max="1" width="29.6328125" hidden="1" customWidth="1"/>
    <col min="2" max="2" width="9.26953125" hidden="1" customWidth="1"/>
    <col min="3" max="3" width="9.54296875" hidden="1" customWidth="1"/>
    <col min="4" max="4" width="9" hidden="1" customWidth="1"/>
    <col min="5" max="6" width="0" hidden="1" customWidth="1"/>
  </cols>
  <sheetData>
    <row r="1" spans="1:4">
      <c r="A1" s="24" t="s">
        <v>37</v>
      </c>
      <c r="B1" t="s">
        <v>43</v>
      </c>
      <c r="C1" t="s">
        <v>44</v>
      </c>
      <c r="D1" t="s">
        <v>45</v>
      </c>
    </row>
    <row r="2" spans="1:4">
      <c r="A2" s="26" t="s">
        <v>67</v>
      </c>
      <c r="B2" s="37">
        <v>1</v>
      </c>
      <c r="C2" s="37">
        <v>1</v>
      </c>
      <c r="D2" s="37">
        <v>1</v>
      </c>
    </row>
    <row r="3" spans="1:4">
      <c r="A3" s="26" t="s">
        <v>69</v>
      </c>
      <c r="B3" s="37">
        <v>1</v>
      </c>
      <c r="C3" s="37">
        <v>1</v>
      </c>
      <c r="D3" s="37">
        <v>1</v>
      </c>
    </row>
    <row r="4" spans="1:4">
      <c r="A4" s="26" t="s">
        <v>70</v>
      </c>
      <c r="B4" s="37">
        <v>1</v>
      </c>
      <c r="C4" s="37">
        <v>1</v>
      </c>
      <c r="D4" s="37">
        <v>1</v>
      </c>
    </row>
    <row r="5" spans="1:4">
      <c r="A5" s="26" t="s">
        <v>71</v>
      </c>
      <c r="B5" s="37">
        <v>1</v>
      </c>
      <c r="C5" s="37">
        <v>1</v>
      </c>
      <c r="D5" s="37">
        <v>1</v>
      </c>
    </row>
    <row r="6" spans="1:4">
      <c r="A6" s="26" t="s">
        <v>72</v>
      </c>
      <c r="B6" s="37">
        <v>1</v>
      </c>
      <c r="C6" s="37">
        <v>1</v>
      </c>
      <c r="D6" s="37">
        <v>1</v>
      </c>
    </row>
    <row r="7" spans="1:4">
      <c r="A7" s="26" t="s">
        <v>73</v>
      </c>
      <c r="B7" s="37">
        <v>1</v>
      </c>
      <c r="C7" s="37">
        <v>1</v>
      </c>
      <c r="D7" s="37">
        <v>1</v>
      </c>
    </row>
    <row r="8" spans="1:4">
      <c r="A8" s="26" t="s">
        <v>74</v>
      </c>
      <c r="B8" s="37">
        <v>1</v>
      </c>
      <c r="C8" s="37">
        <v>1</v>
      </c>
      <c r="D8" s="37">
        <v>1</v>
      </c>
    </row>
    <row r="9" spans="1:4">
      <c r="A9" s="26" t="s">
        <v>75</v>
      </c>
      <c r="B9" s="37">
        <v>1</v>
      </c>
      <c r="C9" s="37">
        <v>1</v>
      </c>
      <c r="D9" s="37">
        <v>1</v>
      </c>
    </row>
    <row r="10" spans="1:4">
      <c r="A10" s="26" t="s">
        <v>76</v>
      </c>
      <c r="B10" s="37">
        <v>1</v>
      </c>
      <c r="C10" s="37">
        <v>1</v>
      </c>
      <c r="D10" s="37">
        <v>1</v>
      </c>
    </row>
    <row r="11" spans="1:4">
      <c r="A11" s="26" t="s">
        <v>77</v>
      </c>
      <c r="B11" s="37">
        <v>1</v>
      </c>
      <c r="C11" s="37">
        <v>1</v>
      </c>
      <c r="D11" s="37">
        <v>1</v>
      </c>
    </row>
    <row r="12" spans="1:4">
      <c r="A12" s="26" t="s">
        <v>92</v>
      </c>
      <c r="B12" s="37">
        <v>1</v>
      </c>
      <c r="C12" s="37">
        <v>1</v>
      </c>
      <c r="D12" s="37">
        <v>1</v>
      </c>
    </row>
    <row r="13" spans="1:4">
      <c r="A13" s="26" t="s">
        <v>94</v>
      </c>
      <c r="B13" s="37">
        <v>1</v>
      </c>
      <c r="C13" s="37">
        <v>1</v>
      </c>
      <c r="D13" s="37">
        <v>1</v>
      </c>
    </row>
    <row r="14" spans="1:4">
      <c r="A14" s="26" t="s">
        <v>96</v>
      </c>
      <c r="B14" s="37">
        <v>1</v>
      </c>
      <c r="C14" s="37">
        <v>1</v>
      </c>
      <c r="D14" s="37">
        <v>1</v>
      </c>
    </row>
    <row r="15" spans="1:4">
      <c r="A15" s="26" t="s">
        <v>98</v>
      </c>
      <c r="B15" s="37">
        <v>1</v>
      </c>
      <c r="C15" s="37">
        <v>1</v>
      </c>
      <c r="D15" s="37">
        <v>1</v>
      </c>
    </row>
    <row r="16" spans="1:4">
      <c r="A16" s="26" t="s">
        <v>100</v>
      </c>
      <c r="B16" s="37">
        <v>1</v>
      </c>
      <c r="C16" s="37">
        <v>1</v>
      </c>
      <c r="D16" s="37">
        <v>1</v>
      </c>
    </row>
    <row r="17" spans="1:4">
      <c r="A17" s="26" t="s">
        <v>102</v>
      </c>
      <c r="B17" s="37">
        <v>1</v>
      </c>
      <c r="C17" s="37">
        <v>1</v>
      </c>
      <c r="D17" s="37">
        <v>1</v>
      </c>
    </row>
    <row r="18" spans="1:4">
      <c r="A18" s="26" t="s">
        <v>38</v>
      </c>
      <c r="B18" s="37">
        <v>16</v>
      </c>
      <c r="C18" s="37">
        <v>16</v>
      </c>
      <c r="D18" s="37">
        <v>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38F2-2606-457D-B11F-59C4F36FFAAB}">
  <dimension ref="A9:BM62"/>
  <sheetViews>
    <sheetView topLeftCell="F10" zoomScale="99" zoomScaleNormal="99" workbookViewId="0">
      <selection activeCell="AC23" sqref="AC23"/>
    </sheetView>
  </sheetViews>
  <sheetFormatPr defaultRowHeight="14.5"/>
  <cols>
    <col min="1" max="1" width="12.453125" hidden="1" customWidth="1"/>
    <col min="2" max="2" width="17.1796875" hidden="1" customWidth="1"/>
    <col min="3" max="3" width="19.6328125" hidden="1" customWidth="1"/>
    <col min="4" max="4" width="13.08984375" hidden="1" customWidth="1"/>
    <col min="5" max="5" width="15.6328125" hidden="1" customWidth="1"/>
    <col min="6" max="11" width="4.81640625" bestFit="1" customWidth="1"/>
    <col min="12" max="12" width="5.81640625" bestFit="1" customWidth="1"/>
    <col min="13" max="13" width="10.7265625" bestFit="1" customWidth="1"/>
    <col min="14" max="14" width="4.81640625" bestFit="1" customWidth="1"/>
    <col min="15" max="15" width="9.54296875" bestFit="1" customWidth="1"/>
    <col min="16" max="16" width="4.81640625" bestFit="1" customWidth="1"/>
    <col min="17" max="17" width="9.54296875" bestFit="1" customWidth="1"/>
    <col min="18" max="19" width="4.81640625" bestFit="1" customWidth="1"/>
    <col min="20" max="20" width="9.54296875" bestFit="1" customWidth="1"/>
    <col min="21" max="23" width="4.81640625" bestFit="1" customWidth="1"/>
    <col min="24" max="24" width="9.54296875" bestFit="1" customWidth="1"/>
    <col min="25" max="25" width="4.81640625" bestFit="1" customWidth="1"/>
    <col min="26" max="26" width="9.54296875" bestFit="1" customWidth="1"/>
    <col min="27" max="29" width="4.81640625" bestFit="1" customWidth="1"/>
    <col min="30" max="30" width="9.54296875" bestFit="1" customWidth="1"/>
    <col min="31" max="32" width="4.81640625" hidden="1" customWidth="1"/>
    <col min="33" max="33" width="9.54296875" hidden="1" customWidth="1"/>
    <col min="34" max="34" width="4.81640625" hidden="1" customWidth="1"/>
    <col min="35" max="35" width="12.453125" hidden="1" customWidth="1"/>
    <col min="36" max="36" width="17.1796875" hidden="1" customWidth="1"/>
    <col min="37" max="37" width="19.6328125" hidden="1" customWidth="1"/>
    <col min="38" max="38" width="13.08984375" hidden="1" customWidth="1"/>
    <col min="39" max="39" width="15.6328125" hidden="1" customWidth="1"/>
    <col min="40" max="40" width="0" hidden="1" customWidth="1"/>
    <col min="59" max="60" width="0" hidden="1" customWidth="1"/>
    <col min="61" max="61" width="12.453125" hidden="1" customWidth="1"/>
    <col min="62" max="62" width="17.1796875" hidden="1" customWidth="1"/>
    <col min="63" max="63" width="19.6328125" hidden="1" customWidth="1"/>
    <col min="64" max="64" width="13.08984375" hidden="1" customWidth="1"/>
    <col min="65" max="65" width="15.6328125" hidden="1" customWidth="1"/>
    <col min="66" max="67" width="0" hidden="1" customWidth="1"/>
  </cols>
  <sheetData>
    <row r="9" spans="1:65">
      <c r="BI9" s="24" t="s">
        <v>37</v>
      </c>
      <c r="BJ9" t="s">
        <v>39</v>
      </c>
      <c r="BK9" t="s">
        <v>40</v>
      </c>
      <c r="BL9" t="s">
        <v>41</v>
      </c>
      <c r="BM9" t="s">
        <v>42</v>
      </c>
    </row>
    <row r="10" spans="1:65">
      <c r="A10" s="24" t="s">
        <v>37</v>
      </c>
      <c r="B10" t="s">
        <v>39</v>
      </c>
      <c r="C10" t="s">
        <v>40</v>
      </c>
      <c r="D10" t="s">
        <v>41</v>
      </c>
      <c r="E10" t="s">
        <v>42</v>
      </c>
      <c r="AI10" s="24" t="s">
        <v>37</v>
      </c>
      <c r="AJ10" t="s">
        <v>39</v>
      </c>
      <c r="AK10" t="s">
        <v>40</v>
      </c>
      <c r="AL10" t="s">
        <v>41</v>
      </c>
      <c r="AM10" t="s">
        <v>42</v>
      </c>
      <c r="BI10" s="25">
        <v>45782</v>
      </c>
      <c r="BJ10" s="27" t="e">
        <v>#N/A</v>
      </c>
      <c r="BK10" s="27" t="e">
        <v>#N/A</v>
      </c>
      <c r="BL10" s="27" t="e">
        <v>#N/A</v>
      </c>
      <c r="BM10" s="27" t="e">
        <v>#N/A</v>
      </c>
    </row>
    <row r="11" spans="1:65">
      <c r="A11" s="25">
        <v>45992</v>
      </c>
      <c r="B11" s="27">
        <v>0</v>
      </c>
      <c r="C11" s="27">
        <v>0</v>
      </c>
      <c r="D11" s="27">
        <v>0</v>
      </c>
      <c r="E11" s="27">
        <v>0</v>
      </c>
      <c r="AI11" s="25">
        <v>46027</v>
      </c>
      <c r="AJ11" s="27">
        <v>0</v>
      </c>
      <c r="AK11" s="27"/>
      <c r="AL11" s="27">
        <v>0</v>
      </c>
      <c r="AM11" s="27">
        <v>0</v>
      </c>
      <c r="BI11" s="25">
        <v>45789</v>
      </c>
      <c r="BJ11" s="27" t="e">
        <v>#N/A</v>
      </c>
      <c r="BK11" s="27" t="e">
        <v>#N/A</v>
      </c>
      <c r="BL11" s="27" t="e">
        <v>#N/A</v>
      </c>
      <c r="BM11" s="27" t="e">
        <v>#N/A</v>
      </c>
    </row>
    <row r="12" spans="1:65">
      <c r="A12" s="25">
        <v>45999</v>
      </c>
      <c r="B12" s="27">
        <v>0</v>
      </c>
      <c r="C12" s="27">
        <v>0</v>
      </c>
      <c r="D12" s="27">
        <v>0</v>
      </c>
      <c r="E12" s="27">
        <v>0</v>
      </c>
      <c r="AI12" s="25">
        <v>46034</v>
      </c>
      <c r="AJ12" s="27">
        <v>0</v>
      </c>
      <c r="AK12" s="27"/>
      <c r="AL12" s="27">
        <v>0</v>
      </c>
      <c r="AM12" s="27">
        <v>0</v>
      </c>
      <c r="BI12" s="25">
        <v>45796</v>
      </c>
      <c r="BJ12" s="27" t="e">
        <v>#N/A</v>
      </c>
      <c r="BK12" s="27" t="e">
        <v>#N/A</v>
      </c>
      <c r="BL12" s="27" t="e">
        <v>#N/A</v>
      </c>
      <c r="BM12" s="27" t="e">
        <v>#N/A</v>
      </c>
    </row>
    <row r="13" spans="1:65">
      <c r="A13" s="25">
        <v>46006</v>
      </c>
      <c r="B13" s="27">
        <v>0</v>
      </c>
      <c r="C13" s="27">
        <v>0</v>
      </c>
      <c r="D13" s="27">
        <v>0</v>
      </c>
      <c r="E13" s="27">
        <v>0</v>
      </c>
      <c r="AI13" s="25">
        <v>46041</v>
      </c>
      <c r="AJ13" s="27">
        <v>0.25</v>
      </c>
      <c r="AK13" s="27"/>
      <c r="AL13" s="27">
        <v>0</v>
      </c>
      <c r="AM13" s="27">
        <v>0</v>
      </c>
      <c r="BI13" s="25">
        <v>45803</v>
      </c>
      <c r="BJ13" s="27" t="e">
        <v>#N/A</v>
      </c>
      <c r="BK13" s="27" t="e">
        <v>#N/A</v>
      </c>
      <c r="BL13" s="27" t="e">
        <v>#N/A</v>
      </c>
      <c r="BM13" s="27" t="e">
        <v>#N/A</v>
      </c>
    </row>
    <row r="14" spans="1:65">
      <c r="A14" s="25">
        <v>46013</v>
      </c>
      <c r="B14" s="27">
        <v>0</v>
      </c>
      <c r="C14" s="27">
        <v>6.25E-2</v>
      </c>
      <c r="D14" s="27">
        <v>0</v>
      </c>
      <c r="E14" s="27">
        <v>0</v>
      </c>
      <c r="AI14" s="25">
        <v>46048</v>
      </c>
      <c r="AJ14" s="27">
        <v>1</v>
      </c>
      <c r="AK14" s="27"/>
      <c r="AL14" s="27">
        <v>0.5</v>
      </c>
      <c r="AM14" s="27">
        <v>0</v>
      </c>
      <c r="BI14" s="25">
        <v>45810</v>
      </c>
      <c r="BJ14" s="27" t="e">
        <v>#N/A</v>
      </c>
      <c r="BK14" s="27" t="e">
        <v>#N/A</v>
      </c>
      <c r="BL14" s="27" t="e">
        <v>#N/A</v>
      </c>
      <c r="BM14" s="27" t="e">
        <v>#N/A</v>
      </c>
    </row>
    <row r="15" spans="1:65">
      <c r="A15" s="25">
        <v>46020</v>
      </c>
      <c r="B15" s="27">
        <v>6.25E-2</v>
      </c>
      <c r="C15" s="27">
        <v>6.25E-2</v>
      </c>
      <c r="D15" s="27">
        <v>0</v>
      </c>
      <c r="E15" s="27">
        <v>6.25E-2</v>
      </c>
      <c r="AI15" s="25">
        <v>46055</v>
      </c>
      <c r="AJ15" s="27">
        <v>1</v>
      </c>
      <c r="AK15" s="27"/>
      <c r="AL15" s="27">
        <v>1</v>
      </c>
      <c r="AM15" s="27">
        <v>0</v>
      </c>
      <c r="BI15" s="25">
        <v>45817</v>
      </c>
      <c r="BJ15" s="27" t="e">
        <v>#N/A</v>
      </c>
      <c r="BK15" s="27" t="e">
        <v>#N/A</v>
      </c>
      <c r="BL15" s="27" t="e">
        <v>#N/A</v>
      </c>
      <c r="BM15" s="27" t="e">
        <v>#N/A</v>
      </c>
    </row>
    <row r="16" spans="1:65">
      <c r="A16" s="25">
        <v>46027</v>
      </c>
      <c r="B16" s="27">
        <v>0.3125</v>
      </c>
      <c r="C16" s="27">
        <v>6.25E-2</v>
      </c>
      <c r="D16" s="27">
        <v>6.25E-2</v>
      </c>
      <c r="E16" s="27">
        <v>6.25E-2</v>
      </c>
      <c r="AI16" s="25">
        <v>46062</v>
      </c>
      <c r="AJ16" s="27">
        <v>1</v>
      </c>
      <c r="AK16" s="27"/>
      <c r="AL16" s="27">
        <v>1</v>
      </c>
      <c r="AM16" s="27">
        <v>0</v>
      </c>
      <c r="BI16" s="25">
        <v>45824</v>
      </c>
      <c r="BJ16" s="27" t="e">
        <v>#N/A</v>
      </c>
      <c r="BK16" s="27" t="e">
        <v>#N/A</v>
      </c>
      <c r="BL16" s="27" t="e">
        <v>#N/A</v>
      </c>
      <c r="BM16" s="27" t="e">
        <v>#N/A</v>
      </c>
    </row>
    <row r="17" spans="1:65">
      <c r="A17" s="25">
        <v>46034</v>
      </c>
      <c r="B17" s="27">
        <v>0.4375</v>
      </c>
      <c r="C17" s="27">
        <v>6.25E-2</v>
      </c>
      <c r="D17" s="27">
        <v>0.3125</v>
      </c>
      <c r="E17" s="27">
        <v>6.25E-2</v>
      </c>
      <c r="AI17" s="25">
        <v>46069</v>
      </c>
      <c r="AJ17" s="27">
        <v>1</v>
      </c>
      <c r="AK17" s="27"/>
      <c r="AL17" s="27">
        <v>1</v>
      </c>
      <c r="AM17" s="27">
        <v>0</v>
      </c>
      <c r="BI17" s="25">
        <v>45831</v>
      </c>
      <c r="BJ17" s="27" t="e">
        <v>#N/A</v>
      </c>
      <c r="BK17" s="27" t="e">
        <v>#N/A</v>
      </c>
      <c r="BL17" s="27" t="e">
        <v>#N/A</v>
      </c>
      <c r="BM17" s="27" t="e">
        <v>#N/A</v>
      </c>
    </row>
    <row r="18" spans="1:65">
      <c r="A18" s="25">
        <v>46041</v>
      </c>
      <c r="B18" s="27">
        <v>0.5625</v>
      </c>
      <c r="C18" s="27">
        <v>0.3125</v>
      </c>
      <c r="D18" s="27">
        <v>0.5</v>
      </c>
      <c r="E18" s="27">
        <v>6.25E-2</v>
      </c>
      <c r="AI18" s="25">
        <v>46076</v>
      </c>
      <c r="AJ18" s="27">
        <v>1</v>
      </c>
      <c r="AK18" s="27"/>
      <c r="AL18" s="27">
        <v>1</v>
      </c>
      <c r="AM18" s="27">
        <v>0</v>
      </c>
      <c r="BI18" s="25">
        <v>45838</v>
      </c>
      <c r="BJ18" s="27" t="e">
        <v>#N/A</v>
      </c>
      <c r="BK18" s="27" t="e">
        <v>#N/A</v>
      </c>
      <c r="BL18" s="27" t="e">
        <v>#N/A</v>
      </c>
      <c r="BM18" s="27" t="e">
        <v>#N/A</v>
      </c>
    </row>
    <row r="19" spans="1:65">
      <c r="A19" s="25">
        <v>46048</v>
      </c>
      <c r="B19" s="27">
        <v>0.6875</v>
      </c>
      <c r="C19" s="27">
        <v>0.3125</v>
      </c>
      <c r="D19" s="27">
        <v>0.625</v>
      </c>
      <c r="E19" s="27">
        <v>6.25E-2</v>
      </c>
      <c r="AI19" s="25">
        <v>46083</v>
      </c>
      <c r="AJ19" s="27">
        <v>1</v>
      </c>
      <c r="AK19" s="27"/>
      <c r="AL19" s="27">
        <v>1</v>
      </c>
      <c r="AM19" s="27">
        <v>0</v>
      </c>
      <c r="BI19" s="25">
        <v>45845</v>
      </c>
      <c r="BJ19" s="27" t="e">
        <v>#N/A</v>
      </c>
      <c r="BK19" s="27" t="e">
        <v>#N/A</v>
      </c>
      <c r="BL19" s="27" t="e">
        <v>#N/A</v>
      </c>
      <c r="BM19" s="27" t="e">
        <v>#N/A</v>
      </c>
    </row>
    <row r="20" spans="1:65">
      <c r="A20" s="25">
        <v>46055</v>
      </c>
      <c r="B20" s="27">
        <v>0.875</v>
      </c>
      <c r="C20" s="27">
        <v>0.3125</v>
      </c>
      <c r="D20" s="27">
        <v>0.75</v>
      </c>
      <c r="E20" s="27">
        <v>0.3125</v>
      </c>
      <c r="AI20" s="25">
        <v>46090</v>
      </c>
      <c r="AJ20" s="27">
        <v>1</v>
      </c>
      <c r="AK20" s="27"/>
      <c r="AL20" s="27">
        <v>1</v>
      </c>
      <c r="AM20" s="27">
        <v>0</v>
      </c>
      <c r="BI20" s="25">
        <v>45852</v>
      </c>
      <c r="BJ20" s="27" t="e">
        <v>#N/A</v>
      </c>
      <c r="BK20" s="27" t="e">
        <v>#N/A</v>
      </c>
      <c r="BL20" s="27" t="e">
        <v>#N/A</v>
      </c>
      <c r="BM20" s="27" t="e">
        <v>#N/A</v>
      </c>
    </row>
    <row r="21" spans="1:65">
      <c r="A21" s="25">
        <v>46062</v>
      </c>
      <c r="B21" s="27">
        <v>1</v>
      </c>
      <c r="C21" s="27">
        <v>0.3125</v>
      </c>
      <c r="D21" s="27">
        <v>0.9375</v>
      </c>
      <c r="E21" s="27">
        <v>0.3125</v>
      </c>
      <c r="AI21" s="25">
        <v>46097</v>
      </c>
      <c r="AJ21" s="27">
        <v>1</v>
      </c>
      <c r="AK21" s="27"/>
      <c r="AL21" s="27">
        <v>1</v>
      </c>
      <c r="AM21" s="27">
        <v>0</v>
      </c>
      <c r="BI21" s="25">
        <v>45859</v>
      </c>
      <c r="BJ21" s="27" t="e">
        <v>#N/A</v>
      </c>
      <c r="BK21" s="27" t="e">
        <v>#N/A</v>
      </c>
      <c r="BL21" s="27" t="e">
        <v>#N/A</v>
      </c>
      <c r="BM21" s="27" t="e">
        <v>#N/A</v>
      </c>
    </row>
    <row r="22" spans="1:65">
      <c r="A22" s="25">
        <v>46069</v>
      </c>
      <c r="B22" s="27">
        <v>1</v>
      </c>
      <c r="C22" s="27">
        <v>0.3125</v>
      </c>
      <c r="D22" s="27">
        <v>1</v>
      </c>
      <c r="E22" s="27">
        <v>0.3125</v>
      </c>
      <c r="AI22" s="25">
        <v>46104</v>
      </c>
      <c r="AJ22" s="27">
        <v>1</v>
      </c>
      <c r="AK22" s="27"/>
      <c r="AL22" s="27">
        <v>1</v>
      </c>
      <c r="AM22" s="27">
        <v>0</v>
      </c>
      <c r="BI22" s="25">
        <v>45866</v>
      </c>
      <c r="BJ22" s="27" t="e">
        <v>#N/A</v>
      </c>
      <c r="BK22" s="27" t="e">
        <v>#N/A</v>
      </c>
      <c r="BL22" s="27" t="e">
        <v>#N/A</v>
      </c>
      <c r="BM22" s="27" t="e">
        <v>#N/A</v>
      </c>
    </row>
    <row r="23" spans="1:65">
      <c r="A23" s="25">
        <v>46076</v>
      </c>
      <c r="B23" s="27">
        <v>1</v>
      </c>
      <c r="C23" s="27">
        <v>0.3125</v>
      </c>
      <c r="D23" s="27">
        <v>1</v>
      </c>
      <c r="E23" s="27">
        <v>0.3125</v>
      </c>
      <c r="AI23" s="25">
        <v>46111</v>
      </c>
      <c r="AJ23" s="27">
        <v>1</v>
      </c>
      <c r="AK23" s="27"/>
      <c r="AL23" s="27">
        <v>1</v>
      </c>
      <c r="AM23" s="27">
        <v>0</v>
      </c>
      <c r="BI23" s="25">
        <v>45873</v>
      </c>
      <c r="BJ23" s="27" t="e">
        <v>#N/A</v>
      </c>
      <c r="BK23" s="27" t="e">
        <v>#N/A</v>
      </c>
      <c r="BL23" s="27" t="e">
        <v>#N/A</v>
      </c>
      <c r="BM23" s="27" t="e">
        <v>#N/A</v>
      </c>
    </row>
    <row r="24" spans="1:65">
      <c r="A24" s="25">
        <v>46083</v>
      </c>
      <c r="B24" s="27">
        <v>1</v>
      </c>
      <c r="C24" s="27">
        <v>0.3125</v>
      </c>
      <c r="D24" s="27">
        <v>1</v>
      </c>
      <c r="E24" s="27">
        <v>0.3125</v>
      </c>
      <c r="AI24" s="25">
        <v>46118</v>
      </c>
      <c r="AJ24" s="27">
        <v>1</v>
      </c>
      <c r="AK24" s="27"/>
      <c r="AL24" s="27">
        <v>1</v>
      </c>
      <c r="AM24" s="27">
        <v>0</v>
      </c>
      <c r="BI24" s="25">
        <v>45880</v>
      </c>
      <c r="BJ24" s="27" t="e">
        <v>#N/A</v>
      </c>
      <c r="BK24" s="27" t="e">
        <v>#N/A</v>
      </c>
      <c r="BL24" s="27" t="e">
        <v>#N/A</v>
      </c>
      <c r="BM24" s="27" t="e">
        <v>#N/A</v>
      </c>
    </row>
    <row r="25" spans="1:65">
      <c r="A25" s="25">
        <v>46090</v>
      </c>
      <c r="B25" s="27">
        <v>1</v>
      </c>
      <c r="C25" s="27">
        <v>0.3125</v>
      </c>
      <c r="D25" s="27">
        <v>1</v>
      </c>
      <c r="E25" s="27">
        <v>0.3125</v>
      </c>
      <c r="AI25" s="25">
        <v>46125</v>
      </c>
      <c r="AJ25" s="27">
        <v>1</v>
      </c>
      <c r="AK25" s="27"/>
      <c r="AL25" s="27">
        <v>1</v>
      </c>
      <c r="AM25" s="27">
        <v>0</v>
      </c>
      <c r="BI25" s="25">
        <v>45887</v>
      </c>
      <c r="BJ25" s="27" t="e">
        <v>#N/A</v>
      </c>
      <c r="BK25" s="27" t="e">
        <v>#N/A</v>
      </c>
      <c r="BL25" s="27" t="e">
        <v>#N/A</v>
      </c>
      <c r="BM25" s="27" t="e">
        <v>#N/A</v>
      </c>
    </row>
    <row r="26" spans="1:65">
      <c r="A26" s="25">
        <v>46097</v>
      </c>
      <c r="B26" s="27">
        <v>1</v>
      </c>
      <c r="C26" s="27">
        <v>0.3125</v>
      </c>
      <c r="D26" s="27">
        <v>1</v>
      </c>
      <c r="E26" s="27">
        <v>0.3125</v>
      </c>
      <c r="AI26" s="25">
        <v>46132</v>
      </c>
      <c r="AJ26" s="27">
        <v>1</v>
      </c>
      <c r="AK26" s="27"/>
      <c r="AL26" s="27">
        <v>1</v>
      </c>
      <c r="AM26" s="27">
        <v>0</v>
      </c>
      <c r="BI26" s="25">
        <v>45894</v>
      </c>
      <c r="BJ26" s="27" t="e">
        <v>#N/A</v>
      </c>
      <c r="BK26" s="27" t="e">
        <v>#N/A</v>
      </c>
      <c r="BL26" s="27" t="e">
        <v>#N/A</v>
      </c>
      <c r="BM26" s="27" t="e">
        <v>#N/A</v>
      </c>
    </row>
    <row r="27" spans="1:65">
      <c r="A27" s="25">
        <v>46104</v>
      </c>
      <c r="B27" s="27">
        <v>1</v>
      </c>
      <c r="C27" s="27">
        <v>0.3125</v>
      </c>
      <c r="D27" s="27">
        <v>1</v>
      </c>
      <c r="E27" s="27">
        <v>0.3125</v>
      </c>
      <c r="AI27" s="25">
        <v>46139</v>
      </c>
      <c r="AJ27" s="27">
        <v>1</v>
      </c>
      <c r="AK27" s="27"/>
      <c r="AL27" s="27">
        <v>1</v>
      </c>
      <c r="AM27" s="27">
        <v>0</v>
      </c>
      <c r="BI27" s="25">
        <v>45901</v>
      </c>
      <c r="BJ27" s="27" t="e">
        <v>#N/A</v>
      </c>
      <c r="BK27" s="27" t="e">
        <v>#N/A</v>
      </c>
      <c r="BL27" s="27" t="e">
        <v>#N/A</v>
      </c>
      <c r="BM27" s="27" t="e">
        <v>#N/A</v>
      </c>
    </row>
    <row r="28" spans="1:65">
      <c r="A28" s="25">
        <v>46111</v>
      </c>
      <c r="B28" s="27">
        <v>1</v>
      </c>
      <c r="C28" s="27">
        <v>0.3125</v>
      </c>
      <c r="D28" s="27">
        <v>1</v>
      </c>
      <c r="E28" s="27">
        <v>0.3125</v>
      </c>
      <c r="AI28" s="25">
        <v>46146</v>
      </c>
      <c r="AJ28" s="27">
        <v>1</v>
      </c>
      <c r="AK28" s="27"/>
      <c r="AL28" s="27">
        <v>1</v>
      </c>
      <c r="AM28" s="27">
        <v>1</v>
      </c>
      <c r="BI28" s="25">
        <v>45908</v>
      </c>
      <c r="BJ28" s="27" t="e">
        <v>#N/A</v>
      </c>
      <c r="BK28" s="27" t="e">
        <v>#N/A</v>
      </c>
      <c r="BL28" s="27" t="e">
        <v>#N/A</v>
      </c>
      <c r="BM28" s="27" t="e">
        <v>#N/A</v>
      </c>
    </row>
    <row r="29" spans="1:65">
      <c r="A29" s="25">
        <v>46118</v>
      </c>
      <c r="B29" s="27">
        <v>1</v>
      </c>
      <c r="C29" s="27">
        <v>1</v>
      </c>
      <c r="D29" s="27">
        <v>1</v>
      </c>
      <c r="E29" s="27">
        <v>0.3125</v>
      </c>
      <c r="AI29" s="25">
        <v>46153</v>
      </c>
      <c r="AJ29" s="27">
        <v>1</v>
      </c>
      <c r="AK29" s="27"/>
      <c r="AL29" s="27">
        <v>1</v>
      </c>
      <c r="AM29" s="27">
        <v>1</v>
      </c>
      <c r="BI29" s="25">
        <v>45915</v>
      </c>
      <c r="BJ29" s="27" t="e">
        <v>#N/A</v>
      </c>
      <c r="BK29" s="27" t="e">
        <v>#N/A</v>
      </c>
      <c r="BL29" s="27" t="e">
        <v>#N/A</v>
      </c>
      <c r="BM29" s="27" t="e">
        <v>#N/A</v>
      </c>
    </row>
    <row r="30" spans="1:65">
      <c r="A30" s="25">
        <v>46125</v>
      </c>
      <c r="B30" s="27">
        <v>1</v>
      </c>
      <c r="C30" s="27">
        <v>1</v>
      </c>
      <c r="D30" s="27">
        <v>1</v>
      </c>
      <c r="E30" s="27">
        <v>0.3125</v>
      </c>
      <c r="AI30" s="25">
        <v>46160</v>
      </c>
      <c r="AJ30" s="27">
        <v>1</v>
      </c>
      <c r="AK30" s="27"/>
      <c r="AL30" s="27">
        <v>1</v>
      </c>
      <c r="AM30" s="27">
        <v>1</v>
      </c>
      <c r="BI30" s="25">
        <v>45922</v>
      </c>
      <c r="BJ30" s="27" t="e">
        <v>#N/A</v>
      </c>
      <c r="BK30" s="27" t="e">
        <v>#N/A</v>
      </c>
      <c r="BL30" s="27" t="e">
        <v>#N/A</v>
      </c>
      <c r="BM30" s="27" t="e">
        <v>#N/A</v>
      </c>
    </row>
    <row r="31" spans="1:65">
      <c r="A31" s="25">
        <v>46132</v>
      </c>
      <c r="B31" s="27">
        <v>1</v>
      </c>
      <c r="C31" s="27">
        <v>1</v>
      </c>
      <c r="D31" s="27">
        <v>1</v>
      </c>
      <c r="E31" s="27">
        <v>1</v>
      </c>
      <c r="AI31" s="25">
        <v>46167</v>
      </c>
      <c r="AJ31" s="27">
        <v>1</v>
      </c>
      <c r="AK31" s="27"/>
      <c r="AL31" s="27">
        <v>1</v>
      </c>
      <c r="AM31" s="27">
        <v>1</v>
      </c>
      <c r="BI31" s="25">
        <v>45929</v>
      </c>
      <c r="BJ31" s="27" t="e">
        <v>#N/A</v>
      </c>
      <c r="BK31" s="27" t="e">
        <v>#N/A</v>
      </c>
      <c r="BL31" s="27" t="e">
        <v>#N/A</v>
      </c>
      <c r="BM31" s="27" t="e">
        <v>#N/A</v>
      </c>
    </row>
    <row r="32" spans="1:65">
      <c r="A32" s="25">
        <v>46139</v>
      </c>
      <c r="B32" s="27">
        <v>1</v>
      </c>
      <c r="C32" s="27">
        <v>1</v>
      </c>
      <c r="D32" s="27">
        <v>1</v>
      </c>
      <c r="E32" s="27">
        <v>1</v>
      </c>
      <c r="AI32" s="25" t="s">
        <v>38</v>
      </c>
      <c r="AJ32" s="27"/>
      <c r="AK32" s="27"/>
      <c r="AL32" s="27"/>
      <c r="AM32" s="27"/>
      <c r="BI32" s="25">
        <v>45936</v>
      </c>
      <c r="BJ32" s="27" t="e">
        <v>#N/A</v>
      </c>
      <c r="BK32" s="27" t="e">
        <v>#N/A</v>
      </c>
      <c r="BL32" s="27" t="e">
        <v>#N/A</v>
      </c>
      <c r="BM32" s="27" t="e">
        <v>#N/A</v>
      </c>
    </row>
    <row r="33" spans="1:65">
      <c r="A33" s="25" t="s">
        <v>38</v>
      </c>
      <c r="B33" s="27"/>
      <c r="C33" s="27"/>
      <c r="D33" s="27"/>
      <c r="E33" s="27"/>
      <c r="BI33" s="25">
        <v>45943</v>
      </c>
      <c r="BJ33" s="27" t="e">
        <v>#N/A</v>
      </c>
      <c r="BK33" s="27" t="e">
        <v>#N/A</v>
      </c>
      <c r="BL33" s="27" t="e">
        <v>#N/A</v>
      </c>
      <c r="BM33" s="27" t="e">
        <v>#N/A</v>
      </c>
    </row>
    <row r="34" spans="1:65">
      <c r="BI34" s="25">
        <v>45950</v>
      </c>
      <c r="BJ34" s="27" t="e">
        <v>#N/A</v>
      </c>
      <c r="BK34" s="27" t="e">
        <v>#N/A</v>
      </c>
      <c r="BL34" s="27" t="e">
        <v>#N/A</v>
      </c>
      <c r="BM34" s="27" t="e">
        <v>#N/A</v>
      </c>
    </row>
    <row r="35" spans="1:65">
      <c r="BI35" s="25">
        <v>45957</v>
      </c>
      <c r="BJ35" s="27" t="e">
        <v>#N/A</v>
      </c>
      <c r="BK35" s="27" t="e">
        <v>#N/A</v>
      </c>
      <c r="BL35" s="27" t="e">
        <v>#N/A</v>
      </c>
      <c r="BM35" s="27" t="e">
        <v>#N/A</v>
      </c>
    </row>
    <row r="36" spans="1:65">
      <c r="BI36" s="25">
        <v>45964</v>
      </c>
      <c r="BJ36" s="27" t="e">
        <v>#N/A</v>
      </c>
      <c r="BK36" s="27" t="e">
        <v>#N/A</v>
      </c>
      <c r="BL36" s="27" t="e">
        <v>#N/A</v>
      </c>
      <c r="BM36" s="27" t="e">
        <v>#N/A</v>
      </c>
    </row>
    <row r="37" spans="1:65">
      <c r="BI37" s="25">
        <v>45971</v>
      </c>
      <c r="BJ37" s="27" t="e">
        <v>#N/A</v>
      </c>
      <c r="BK37" s="27" t="e">
        <v>#N/A</v>
      </c>
      <c r="BL37" s="27" t="e">
        <v>#N/A</v>
      </c>
      <c r="BM37" s="27" t="e">
        <v>#N/A</v>
      </c>
    </row>
    <row r="38" spans="1:65">
      <c r="BI38" s="25">
        <v>45978</v>
      </c>
      <c r="BJ38" s="27" t="e">
        <v>#N/A</v>
      </c>
      <c r="BK38" s="27" t="e">
        <v>#N/A</v>
      </c>
      <c r="BL38" s="27" t="e">
        <v>#N/A</v>
      </c>
      <c r="BM38" s="27" t="e">
        <v>#N/A</v>
      </c>
    </row>
    <row r="39" spans="1:65">
      <c r="BI39" s="25">
        <v>45985</v>
      </c>
      <c r="BJ39" s="27" t="e">
        <v>#N/A</v>
      </c>
      <c r="BK39" s="27" t="e">
        <v>#N/A</v>
      </c>
      <c r="BL39" s="27" t="e">
        <v>#N/A</v>
      </c>
      <c r="BM39" s="27" t="e">
        <v>#N/A</v>
      </c>
    </row>
    <row r="40" spans="1:65">
      <c r="BI40" s="25">
        <v>45992</v>
      </c>
      <c r="BJ40" s="27" t="e">
        <v>#N/A</v>
      </c>
      <c r="BK40" s="27" t="e">
        <v>#N/A</v>
      </c>
      <c r="BL40" s="27" t="e">
        <v>#N/A</v>
      </c>
      <c r="BM40" s="27" t="e">
        <v>#N/A</v>
      </c>
    </row>
    <row r="41" spans="1:65">
      <c r="BI41" s="25">
        <v>45999</v>
      </c>
      <c r="BJ41" s="27" t="e">
        <v>#N/A</v>
      </c>
      <c r="BK41" s="27" t="e">
        <v>#N/A</v>
      </c>
      <c r="BL41" s="27" t="e">
        <v>#N/A</v>
      </c>
      <c r="BM41" s="27" t="e">
        <v>#N/A</v>
      </c>
    </row>
    <row r="42" spans="1:65">
      <c r="BI42" s="25">
        <v>46006</v>
      </c>
      <c r="BJ42" s="27" t="e">
        <v>#N/A</v>
      </c>
      <c r="BK42" s="27" t="e">
        <v>#N/A</v>
      </c>
      <c r="BL42" s="27" t="e">
        <v>#N/A</v>
      </c>
      <c r="BM42" s="27" t="e">
        <v>#N/A</v>
      </c>
    </row>
    <row r="43" spans="1:65">
      <c r="BI43" s="25">
        <v>46013</v>
      </c>
      <c r="BJ43" s="27" t="e">
        <v>#N/A</v>
      </c>
      <c r="BK43" s="27" t="e">
        <v>#N/A</v>
      </c>
      <c r="BL43" s="27" t="e">
        <v>#N/A</v>
      </c>
      <c r="BM43" s="27" t="e">
        <v>#N/A</v>
      </c>
    </row>
    <row r="44" spans="1:65">
      <c r="BI44" s="25">
        <v>46020</v>
      </c>
      <c r="BJ44" s="27" t="e">
        <v>#N/A</v>
      </c>
      <c r="BK44" s="27" t="e">
        <v>#N/A</v>
      </c>
      <c r="BL44" s="27" t="e">
        <v>#N/A</v>
      </c>
      <c r="BM44" s="27" t="e">
        <v>#N/A</v>
      </c>
    </row>
    <row r="45" spans="1:65">
      <c r="BI45" s="25">
        <v>46027</v>
      </c>
      <c r="BJ45" s="27" t="e">
        <v>#N/A</v>
      </c>
      <c r="BK45" s="27" t="e">
        <v>#N/A</v>
      </c>
      <c r="BL45" s="27" t="e">
        <v>#N/A</v>
      </c>
      <c r="BM45" s="27" t="e">
        <v>#N/A</v>
      </c>
    </row>
    <row r="46" spans="1:65">
      <c r="BI46" s="25">
        <v>46034</v>
      </c>
      <c r="BJ46" s="27" t="e">
        <v>#N/A</v>
      </c>
      <c r="BK46" s="27" t="e">
        <v>#N/A</v>
      </c>
      <c r="BL46" s="27" t="e">
        <v>#N/A</v>
      </c>
      <c r="BM46" s="27" t="e">
        <v>#N/A</v>
      </c>
    </row>
    <row r="47" spans="1:65">
      <c r="BI47" s="25">
        <v>46041</v>
      </c>
      <c r="BJ47" s="27" t="e">
        <v>#N/A</v>
      </c>
      <c r="BK47" s="27" t="e">
        <v>#N/A</v>
      </c>
      <c r="BL47" s="27" t="e">
        <v>#N/A</v>
      </c>
      <c r="BM47" s="27" t="e">
        <v>#N/A</v>
      </c>
    </row>
    <row r="48" spans="1:65">
      <c r="BI48" s="25">
        <v>46048</v>
      </c>
      <c r="BJ48" s="27" t="e">
        <v>#N/A</v>
      </c>
      <c r="BK48" s="27" t="e">
        <v>#N/A</v>
      </c>
      <c r="BL48" s="27" t="e">
        <v>#N/A</v>
      </c>
      <c r="BM48" s="27" t="e">
        <v>#N/A</v>
      </c>
    </row>
    <row r="49" spans="61:65">
      <c r="BI49" s="25">
        <v>46055</v>
      </c>
      <c r="BJ49" s="27" t="e">
        <v>#N/A</v>
      </c>
      <c r="BK49" s="27" t="e">
        <v>#N/A</v>
      </c>
      <c r="BL49" s="27" t="e">
        <v>#N/A</v>
      </c>
      <c r="BM49" s="27" t="e">
        <v>#N/A</v>
      </c>
    </row>
    <row r="50" spans="61:65">
      <c r="BI50" s="25">
        <v>46062</v>
      </c>
      <c r="BJ50" s="27" t="e">
        <v>#N/A</v>
      </c>
      <c r="BK50" s="27" t="e">
        <v>#N/A</v>
      </c>
      <c r="BL50" s="27" t="e">
        <v>#N/A</v>
      </c>
      <c r="BM50" s="27" t="e">
        <v>#N/A</v>
      </c>
    </row>
    <row r="51" spans="61:65">
      <c r="BI51" s="25">
        <v>46069</v>
      </c>
      <c r="BJ51" s="27" t="e">
        <v>#N/A</v>
      </c>
      <c r="BK51" s="27" t="e">
        <v>#N/A</v>
      </c>
      <c r="BL51" s="27" t="e">
        <v>#N/A</v>
      </c>
      <c r="BM51" s="27" t="e">
        <v>#N/A</v>
      </c>
    </row>
    <row r="52" spans="61:65">
      <c r="BI52" s="25">
        <v>46076</v>
      </c>
      <c r="BJ52" s="27" t="e">
        <v>#N/A</v>
      </c>
      <c r="BK52" s="27" t="e">
        <v>#N/A</v>
      </c>
      <c r="BL52" s="27" t="e">
        <v>#N/A</v>
      </c>
      <c r="BM52" s="27" t="e">
        <v>#N/A</v>
      </c>
    </row>
    <row r="53" spans="61:65">
      <c r="BI53" s="25">
        <v>46083</v>
      </c>
      <c r="BJ53" s="27" t="e">
        <v>#N/A</v>
      </c>
      <c r="BK53" s="27" t="e">
        <v>#N/A</v>
      </c>
      <c r="BL53" s="27" t="e">
        <v>#N/A</v>
      </c>
      <c r="BM53" s="27" t="e">
        <v>#N/A</v>
      </c>
    </row>
    <row r="54" spans="61:65">
      <c r="BI54" s="25">
        <v>46090</v>
      </c>
      <c r="BJ54" s="27" t="e">
        <v>#N/A</v>
      </c>
      <c r="BK54" s="27" t="e">
        <v>#N/A</v>
      </c>
      <c r="BL54" s="27" t="e">
        <v>#N/A</v>
      </c>
      <c r="BM54" s="27" t="e">
        <v>#N/A</v>
      </c>
    </row>
    <row r="55" spans="61:65">
      <c r="BI55" s="25">
        <v>46097</v>
      </c>
      <c r="BJ55" s="27" t="e">
        <v>#N/A</v>
      </c>
      <c r="BK55" s="27" t="e">
        <v>#N/A</v>
      </c>
      <c r="BL55" s="27" t="e">
        <v>#N/A</v>
      </c>
      <c r="BM55" s="27" t="e">
        <v>#N/A</v>
      </c>
    </row>
    <row r="56" spans="61:65">
      <c r="BI56" s="25">
        <v>46104</v>
      </c>
      <c r="BJ56" s="27" t="e">
        <v>#N/A</v>
      </c>
      <c r="BK56" s="27" t="e">
        <v>#N/A</v>
      </c>
      <c r="BL56" s="27" t="e">
        <v>#N/A</v>
      </c>
      <c r="BM56" s="27" t="e">
        <v>#N/A</v>
      </c>
    </row>
    <row r="57" spans="61:65">
      <c r="BI57" s="25">
        <v>46111</v>
      </c>
      <c r="BJ57" s="27" t="e">
        <v>#N/A</v>
      </c>
      <c r="BK57" s="27" t="e">
        <v>#N/A</v>
      </c>
      <c r="BL57" s="27" t="e">
        <v>#N/A</v>
      </c>
      <c r="BM57" s="27" t="e">
        <v>#N/A</v>
      </c>
    </row>
    <row r="58" spans="61:65">
      <c r="BI58" s="25">
        <v>46118</v>
      </c>
      <c r="BJ58" s="27" t="e">
        <v>#N/A</v>
      </c>
      <c r="BK58" s="27" t="e">
        <v>#N/A</v>
      </c>
      <c r="BL58" s="27" t="e">
        <v>#N/A</v>
      </c>
      <c r="BM58" s="27" t="e">
        <v>#N/A</v>
      </c>
    </row>
    <row r="59" spans="61:65">
      <c r="BI59" s="25">
        <v>46125</v>
      </c>
      <c r="BJ59" s="27" t="e">
        <v>#N/A</v>
      </c>
      <c r="BK59" s="27" t="e">
        <v>#N/A</v>
      </c>
      <c r="BL59" s="27" t="e">
        <v>#N/A</v>
      </c>
      <c r="BM59" s="27" t="e">
        <v>#N/A</v>
      </c>
    </row>
    <row r="60" spans="61:65">
      <c r="BI60" s="25">
        <v>46132</v>
      </c>
      <c r="BJ60" s="27" t="e">
        <v>#N/A</v>
      </c>
      <c r="BK60" s="27" t="e">
        <v>#N/A</v>
      </c>
      <c r="BL60" s="27" t="e">
        <v>#N/A</v>
      </c>
      <c r="BM60" s="27" t="e">
        <v>#N/A</v>
      </c>
    </row>
    <row r="61" spans="61:65">
      <c r="BI61" s="25">
        <v>46139</v>
      </c>
      <c r="BJ61" s="27" t="e">
        <v>#N/A</v>
      </c>
      <c r="BK61" s="27" t="e">
        <v>#N/A</v>
      </c>
      <c r="BL61" s="27" t="e">
        <v>#N/A</v>
      </c>
      <c r="BM61" s="27" t="e">
        <v>#N/A</v>
      </c>
    </row>
    <row r="62" spans="61:65">
      <c r="BI62" s="25" t="s">
        <v>38</v>
      </c>
      <c r="BJ62" s="27" t="e">
        <v>#N/A</v>
      </c>
      <c r="BK62" s="27" t="e">
        <v>#N/A</v>
      </c>
      <c r="BL62" s="27" t="e">
        <v>#N/A</v>
      </c>
      <c r="BM62" s="27" t="e">
        <v>#N/A</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ACB-FA76-4BC3-81E8-A32E037E0CD9}">
  <dimension ref="A1:BE13"/>
  <sheetViews>
    <sheetView tabSelected="1" topLeftCell="F7" workbookViewId="0">
      <selection activeCell="Y23" sqref="Y23"/>
    </sheetView>
  </sheetViews>
  <sheetFormatPr defaultRowHeight="14.5"/>
  <cols>
    <col min="1" max="1" width="12.36328125" customWidth="1"/>
    <col min="2" max="2" width="22.90625" bestFit="1" customWidth="1"/>
    <col min="3" max="3" width="25.453125" bestFit="1" customWidth="1"/>
    <col min="4" max="4" width="13" customWidth="1"/>
    <col min="5" max="5" width="15.453125" customWidth="1"/>
    <col min="6" max="6" width="8.7265625" customWidth="1"/>
    <col min="26" max="26" width="8.7265625" customWidth="1"/>
    <col min="27" max="27" width="12.36328125" customWidth="1"/>
    <col min="28" max="28" width="17" customWidth="1"/>
    <col min="29" max="29" width="19.453125" customWidth="1"/>
    <col min="30" max="30" width="13" customWidth="1"/>
    <col min="31" max="31" width="15.453125" customWidth="1"/>
    <col min="32" max="32" width="8.7265625" customWidth="1"/>
    <col min="51" max="52" width="8.7265625" customWidth="1"/>
    <col min="53" max="53" width="12.36328125" customWidth="1"/>
    <col min="54" max="54" width="17" bestFit="1" customWidth="1"/>
    <col min="55" max="55" width="19.453125" bestFit="1" customWidth="1"/>
    <col min="56" max="56" width="13" bestFit="1" customWidth="1"/>
    <col min="57" max="57" width="15.453125" bestFit="1" customWidth="1"/>
    <col min="58" max="59" width="8.7265625" customWidth="1"/>
  </cols>
  <sheetData>
    <row r="1" spans="1:57">
      <c r="A1" s="24" t="s">
        <v>37</v>
      </c>
      <c r="B1" t="s">
        <v>39</v>
      </c>
      <c r="C1" t="s">
        <v>40</v>
      </c>
      <c r="D1" t="s">
        <v>41</v>
      </c>
      <c r="E1" t="s">
        <v>42</v>
      </c>
      <c r="AA1" s="24" t="s">
        <v>37</v>
      </c>
      <c r="AB1" t="s">
        <v>39</v>
      </c>
      <c r="AC1" t="s">
        <v>40</v>
      </c>
      <c r="AD1" t="s">
        <v>41</v>
      </c>
      <c r="AE1" t="s">
        <v>42</v>
      </c>
      <c r="BA1" s="24" t="s">
        <v>37</v>
      </c>
      <c r="BB1" t="s">
        <v>39</v>
      </c>
      <c r="BC1" t="s">
        <v>40</v>
      </c>
      <c r="BD1" t="s">
        <v>41</v>
      </c>
      <c r="BE1" t="s">
        <v>42</v>
      </c>
    </row>
    <row r="2" spans="1:57">
      <c r="A2" s="30">
        <v>45962</v>
      </c>
      <c r="B2" s="27">
        <v>0</v>
      </c>
      <c r="C2" s="27">
        <v>0</v>
      </c>
      <c r="D2" s="27">
        <v>0</v>
      </c>
      <c r="E2" s="27">
        <v>0</v>
      </c>
      <c r="AA2" s="30">
        <v>45962</v>
      </c>
      <c r="AB2" s="27">
        <v>0</v>
      </c>
      <c r="AC2" s="27">
        <v>0</v>
      </c>
      <c r="AD2" s="27">
        <v>0</v>
      </c>
      <c r="AE2" s="27">
        <v>0</v>
      </c>
      <c r="BA2" s="30">
        <v>45689</v>
      </c>
      <c r="BB2" s="27" t="e">
        <v>#N/A</v>
      </c>
      <c r="BC2" s="27" t="e">
        <v>#N/A</v>
      </c>
      <c r="BD2" s="27" t="e">
        <v>#N/A</v>
      </c>
      <c r="BE2" s="27" t="e">
        <v>#N/A</v>
      </c>
    </row>
    <row r="3" spans="1:57">
      <c r="A3" s="30">
        <v>45992</v>
      </c>
      <c r="B3" s="27">
        <v>6.25E-2</v>
      </c>
      <c r="C3" s="27">
        <v>6.25E-2</v>
      </c>
      <c r="D3" s="27">
        <v>0</v>
      </c>
      <c r="E3" s="27">
        <v>0</v>
      </c>
      <c r="AA3" s="30">
        <v>45992</v>
      </c>
      <c r="AB3" s="27">
        <v>0</v>
      </c>
      <c r="AC3" s="27">
        <v>0</v>
      </c>
      <c r="AD3" s="27">
        <v>0</v>
      </c>
      <c r="AE3" s="27">
        <v>0</v>
      </c>
      <c r="BA3" s="30">
        <v>45717</v>
      </c>
      <c r="BB3" s="27" t="e">
        <v>#N/A</v>
      </c>
      <c r="BC3" s="27" t="e">
        <v>#N/A</v>
      </c>
      <c r="BD3" s="27" t="e">
        <v>#N/A</v>
      </c>
      <c r="BE3" s="27" t="e">
        <v>#N/A</v>
      </c>
    </row>
    <row r="4" spans="1:57">
      <c r="A4" s="30">
        <v>46023</v>
      </c>
      <c r="B4" s="27">
        <v>0.6875</v>
      </c>
      <c r="C4" s="27">
        <v>0.3125</v>
      </c>
      <c r="D4" s="27">
        <v>0.625</v>
      </c>
      <c r="E4" s="27">
        <v>6.25E-2</v>
      </c>
      <c r="AA4" s="30">
        <v>46023</v>
      </c>
      <c r="AB4" s="27">
        <v>1</v>
      </c>
      <c r="AC4" s="27">
        <v>0</v>
      </c>
      <c r="AD4" s="27">
        <v>0.5</v>
      </c>
      <c r="AE4" s="27">
        <v>0</v>
      </c>
      <c r="BA4" s="30">
        <v>45748</v>
      </c>
      <c r="BB4" s="27" t="e">
        <v>#N/A</v>
      </c>
      <c r="BC4" s="27" t="e">
        <v>#N/A</v>
      </c>
      <c r="BD4" s="27" t="e">
        <v>#N/A</v>
      </c>
      <c r="BE4" s="27" t="e">
        <v>#N/A</v>
      </c>
    </row>
    <row r="5" spans="1:57">
      <c r="A5" s="30">
        <v>46054</v>
      </c>
      <c r="B5" s="27">
        <v>1</v>
      </c>
      <c r="C5" s="27">
        <v>0.3125</v>
      </c>
      <c r="D5" s="27">
        <v>1</v>
      </c>
      <c r="E5" s="27">
        <v>0.3125</v>
      </c>
      <c r="AA5" s="30">
        <v>46054</v>
      </c>
      <c r="AB5" s="27">
        <v>1</v>
      </c>
      <c r="AC5" s="27">
        <v>0</v>
      </c>
      <c r="AD5" s="27">
        <v>1</v>
      </c>
      <c r="AE5" s="27">
        <v>0</v>
      </c>
      <c r="BA5" s="30">
        <v>45778</v>
      </c>
      <c r="BB5" s="27" t="e">
        <v>#N/A</v>
      </c>
      <c r="BC5" s="27" t="e">
        <v>#N/A</v>
      </c>
      <c r="BD5" s="27" t="e">
        <v>#N/A</v>
      </c>
      <c r="BE5" s="27" t="e">
        <v>#N/A</v>
      </c>
    </row>
    <row r="6" spans="1:57">
      <c r="A6" s="30">
        <v>46082</v>
      </c>
      <c r="B6" s="27">
        <v>1</v>
      </c>
      <c r="C6" s="27">
        <v>0.3125</v>
      </c>
      <c r="D6" s="27">
        <v>1</v>
      </c>
      <c r="E6" s="27">
        <v>0.3125</v>
      </c>
      <c r="AA6" s="30">
        <v>46082</v>
      </c>
      <c r="AB6" s="27">
        <v>1</v>
      </c>
      <c r="AC6" s="27">
        <v>0</v>
      </c>
      <c r="AD6" s="27">
        <v>1</v>
      </c>
      <c r="AE6" s="27">
        <v>0</v>
      </c>
      <c r="BA6" s="30">
        <v>45809</v>
      </c>
      <c r="BB6" s="27" t="e">
        <v>#N/A</v>
      </c>
      <c r="BC6" s="27" t="e">
        <v>#N/A</v>
      </c>
      <c r="BD6" s="27" t="e">
        <v>#N/A</v>
      </c>
      <c r="BE6" s="27" t="e">
        <v>#N/A</v>
      </c>
    </row>
    <row r="7" spans="1:57">
      <c r="A7" s="30">
        <v>46113</v>
      </c>
      <c r="B7" s="27">
        <v>1</v>
      </c>
      <c r="C7" s="27">
        <v>1</v>
      </c>
      <c r="D7" s="27">
        <v>1</v>
      </c>
      <c r="E7" s="27">
        <v>1</v>
      </c>
      <c r="AA7" s="30">
        <v>46113</v>
      </c>
      <c r="AB7" s="27">
        <v>1</v>
      </c>
      <c r="AC7" s="27">
        <v>0</v>
      </c>
      <c r="AD7" s="27">
        <v>1</v>
      </c>
      <c r="AE7" s="27">
        <v>0</v>
      </c>
      <c r="BA7" s="30">
        <v>45839</v>
      </c>
      <c r="BB7" s="27" t="e">
        <v>#N/A</v>
      </c>
      <c r="BC7" s="27" t="e">
        <v>#N/A</v>
      </c>
      <c r="BD7" s="27" t="e">
        <v>#N/A</v>
      </c>
      <c r="BE7" s="27" t="e">
        <v>#N/A</v>
      </c>
    </row>
    <row r="8" spans="1:57">
      <c r="A8" s="30" t="s">
        <v>38</v>
      </c>
      <c r="B8" s="27"/>
      <c r="C8" s="27"/>
      <c r="D8" s="27"/>
      <c r="E8" s="27"/>
      <c r="AA8" s="30">
        <v>46143</v>
      </c>
      <c r="AB8" s="27">
        <v>1</v>
      </c>
      <c r="AC8" s="27">
        <v>0</v>
      </c>
      <c r="AD8" s="27">
        <v>1</v>
      </c>
      <c r="AE8" s="27">
        <v>1</v>
      </c>
      <c r="BA8" s="30">
        <v>45870</v>
      </c>
      <c r="BB8" s="27" t="e">
        <v>#N/A</v>
      </c>
      <c r="BC8" s="27" t="e">
        <v>#N/A</v>
      </c>
      <c r="BD8" s="27" t="e">
        <v>#N/A</v>
      </c>
      <c r="BE8" s="27" t="e">
        <v>#N/A</v>
      </c>
    </row>
    <row r="9" spans="1:57">
      <c r="AA9" s="30">
        <v>46174</v>
      </c>
      <c r="AB9" s="27">
        <v>1</v>
      </c>
      <c r="AC9" s="27">
        <v>1</v>
      </c>
      <c r="AD9" s="27">
        <v>1</v>
      </c>
      <c r="AE9" s="27">
        <v>1</v>
      </c>
      <c r="BA9" s="30">
        <v>45901</v>
      </c>
      <c r="BB9" s="27" t="e">
        <v>#N/A</v>
      </c>
      <c r="BC9" s="27" t="e">
        <v>#N/A</v>
      </c>
      <c r="BD9" s="27" t="e">
        <v>#N/A</v>
      </c>
      <c r="BE9" s="27" t="e">
        <v>#N/A</v>
      </c>
    </row>
    <row r="10" spans="1:57">
      <c r="AA10" s="30" t="s">
        <v>38</v>
      </c>
      <c r="AB10" s="27"/>
      <c r="AC10" s="27"/>
      <c r="AD10" s="27"/>
      <c r="AE10" s="27"/>
      <c r="BA10" s="30">
        <v>45931</v>
      </c>
      <c r="BB10" s="27" t="e">
        <v>#N/A</v>
      </c>
      <c r="BC10" s="27" t="e">
        <v>#N/A</v>
      </c>
      <c r="BD10" s="27" t="e">
        <v>#N/A</v>
      </c>
      <c r="BE10" s="27" t="e">
        <v>#N/A</v>
      </c>
    </row>
    <row r="11" spans="1:57">
      <c r="BA11" s="30">
        <v>45962</v>
      </c>
      <c r="BB11" s="27" t="e">
        <v>#N/A</v>
      </c>
      <c r="BC11" s="27" t="e">
        <v>#N/A</v>
      </c>
      <c r="BD11" s="27" t="e">
        <v>#N/A</v>
      </c>
      <c r="BE11" s="27" t="e">
        <v>#N/A</v>
      </c>
    </row>
    <row r="12" spans="1:57">
      <c r="BA12" s="30">
        <v>45992</v>
      </c>
      <c r="BB12" s="27" t="e">
        <v>#N/A</v>
      </c>
      <c r="BC12" s="27" t="e">
        <v>#N/A</v>
      </c>
      <c r="BD12" s="27" t="e">
        <v>#N/A</v>
      </c>
      <c r="BE12" s="27" t="e">
        <v>#N/A</v>
      </c>
    </row>
    <row r="13" spans="1:57">
      <c r="BA13" s="30" t="s">
        <v>38</v>
      </c>
      <c r="BB13" s="27" t="e">
        <v>#N/A</v>
      </c>
      <c r="BC13" s="27" t="e">
        <v>#N/A</v>
      </c>
      <c r="BD13" s="27" t="e">
        <v>#N/A</v>
      </c>
      <c r="BE13" s="27" t="e">
        <v>#N/A</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2806-617B-4F1D-B667-21689FAB5CC0}">
  <dimension ref="A1:I73"/>
  <sheetViews>
    <sheetView topLeftCell="A67" workbookViewId="0">
      <selection activeCell="C81" sqref="C81"/>
    </sheetView>
  </sheetViews>
  <sheetFormatPr defaultRowHeight="14.5"/>
  <cols>
    <col min="1" max="1" width="12.36328125" bestFit="1" customWidth="1"/>
    <col min="2" max="2" width="11.453125" bestFit="1" customWidth="1"/>
    <col min="3" max="3" width="9.54296875" bestFit="1" customWidth="1"/>
    <col min="4" max="4" width="9" bestFit="1" customWidth="1"/>
    <col min="5" max="24" width="31.7265625" bestFit="1" customWidth="1"/>
    <col min="25" max="25" width="19.36328125" bestFit="1" customWidth="1"/>
    <col min="26" max="26" width="36.54296875" bestFit="1" customWidth="1"/>
    <col min="27" max="27" width="31.90625" bestFit="1" customWidth="1"/>
  </cols>
  <sheetData>
    <row r="1" spans="1:2">
      <c r="A1" s="24" t="s">
        <v>37</v>
      </c>
      <c r="B1" t="s">
        <v>46</v>
      </c>
    </row>
    <row r="2" spans="1:2">
      <c r="A2" s="26" t="s">
        <v>16</v>
      </c>
      <c r="B2" s="37">
        <v>4</v>
      </c>
    </row>
    <row r="3" spans="1:2">
      <c r="A3" s="26" t="s">
        <v>29</v>
      </c>
      <c r="B3" s="37">
        <v>16</v>
      </c>
    </row>
    <row r="4" spans="1:2">
      <c r="A4" s="26" t="s">
        <v>81</v>
      </c>
      <c r="B4" s="37"/>
    </row>
    <row r="5" spans="1:2">
      <c r="A5" s="26" t="s">
        <v>38</v>
      </c>
      <c r="B5" s="37">
        <v>20</v>
      </c>
    </row>
    <row r="24" spans="1:8">
      <c r="A24" s="24" t="s">
        <v>37</v>
      </c>
      <c r="B24" t="s">
        <v>46</v>
      </c>
      <c r="C24" t="s">
        <v>47</v>
      </c>
      <c r="D24" t="s">
        <v>48</v>
      </c>
      <c r="F24" s="12" t="s">
        <v>1</v>
      </c>
      <c r="G24" s="12" t="s">
        <v>49</v>
      </c>
      <c r="H24" s="12" t="s">
        <v>50</v>
      </c>
    </row>
    <row r="25" spans="1:8">
      <c r="A25" s="26" t="s">
        <v>16</v>
      </c>
      <c r="B25" s="37">
        <v>4</v>
      </c>
      <c r="C25" s="37">
        <v>4</v>
      </c>
      <c r="D25" s="37">
        <v>4</v>
      </c>
      <c r="F25" t="str">
        <f>A25</f>
        <v>Architecture</v>
      </c>
      <c r="G25" s="31">
        <f>GETPIVOTDATA("Count of Actual Submission to Client",$A$24,"Discipline",A25)/GETPIVOTDATA("Count of DRG ID",$A$24,"Discipline",A25)</f>
        <v>1</v>
      </c>
      <c r="H25" s="31">
        <f>GETPIVOTDATA("Count of Actual  Approval Date",$A$24,"Discipline",A25)/GETPIVOTDATA("Count of DRG ID",$A$24,"Discipline",A25)</f>
        <v>1</v>
      </c>
    </row>
    <row r="26" spans="1:8">
      <c r="A26" s="26" t="s">
        <v>29</v>
      </c>
      <c r="B26" s="37">
        <v>16</v>
      </c>
      <c r="C26" s="37">
        <v>16</v>
      </c>
      <c r="D26" s="37">
        <v>16</v>
      </c>
      <c r="F26" t="str">
        <f t="shared" ref="F26:F27" si="0">A26</f>
        <v>Structural</v>
      </c>
      <c r="G26" s="31">
        <f>GETPIVOTDATA("Count of Actual Submission to Client",$A$24,"Discipline",A26)/GETPIVOTDATA("Count of DRG ID",$A$24,"Discipline",A26)</f>
        <v>1</v>
      </c>
      <c r="H26" s="31">
        <f>GETPIVOTDATA("Count of Actual  Approval Date",$A$24,"Discipline",A26)/GETPIVOTDATA("Count of DRG ID",$A$24,"Discipline",A26)</f>
        <v>1</v>
      </c>
    </row>
    <row r="27" spans="1:8">
      <c r="A27" s="26" t="s">
        <v>38</v>
      </c>
      <c r="B27" s="37">
        <v>20</v>
      </c>
      <c r="C27" s="37">
        <v>20</v>
      </c>
      <c r="D27" s="37">
        <v>20</v>
      </c>
      <c r="F27" t="str">
        <f t="shared" si="0"/>
        <v>Grand Total</v>
      </c>
      <c r="G27" s="31">
        <f>GETPIVOTDATA("Count of Actual Submission to Client",$A$24,"Discipline","Structural")/GETPIVOTDATA("Count of DRG ID",$A$24,"Discipline","Structural")</f>
        <v>1</v>
      </c>
      <c r="H27" s="31">
        <f>GETPIVOTDATA("Count of Actual  Approval Date",$A$24,"Discipline","Structural")/GETPIVOTDATA("Count of DRG ID",$A$24,"Discipline","Structural")</f>
        <v>1</v>
      </c>
    </row>
    <row r="39" spans="1:4">
      <c r="A39" t="s">
        <v>56</v>
      </c>
      <c r="B39" t="s">
        <v>57</v>
      </c>
      <c r="C39" t="s">
        <v>58</v>
      </c>
      <c r="D39" t="s">
        <v>57</v>
      </c>
    </row>
    <row r="40" spans="1:4">
      <c r="A40" t="s">
        <v>51</v>
      </c>
      <c r="B40" s="26">
        <v>0</v>
      </c>
      <c r="C40" t="s">
        <v>57</v>
      </c>
      <c r="D40" s="32">
        <f>H27*100</f>
        <v>100</v>
      </c>
    </row>
    <row r="41" spans="1:4">
      <c r="A41" t="s">
        <v>52</v>
      </c>
      <c r="B41" s="26">
        <v>30</v>
      </c>
      <c r="C41" t="s">
        <v>58</v>
      </c>
      <c r="D41" s="26">
        <v>2</v>
      </c>
    </row>
    <row r="42" spans="1:4">
      <c r="A42" t="s">
        <v>53</v>
      </c>
      <c r="B42" s="26">
        <v>40</v>
      </c>
      <c r="C42" t="s">
        <v>54</v>
      </c>
      <c r="D42" s="32">
        <f>SUM(B40:B44)-SUM(D40:D41)</f>
        <v>98</v>
      </c>
    </row>
    <row r="43" spans="1:4">
      <c r="A43" t="s">
        <v>54</v>
      </c>
      <c r="B43" s="26">
        <v>30</v>
      </c>
      <c r="D43" s="26"/>
    </row>
    <row r="44" spans="1:4">
      <c r="A44" t="s">
        <v>55</v>
      </c>
      <c r="B44" s="26">
        <v>100</v>
      </c>
    </row>
    <row r="63" spans="9:9">
      <c r="I63" s="31"/>
    </row>
    <row r="64" spans="9:9">
      <c r="I64" s="31"/>
    </row>
    <row r="65" spans="1:9">
      <c r="I65" s="31"/>
    </row>
    <row r="66" spans="1:9">
      <c r="I66" s="31"/>
    </row>
    <row r="67" spans="1:9">
      <c r="I67" s="31"/>
    </row>
    <row r="69" spans="1:9">
      <c r="A69" s="24" t="s">
        <v>1</v>
      </c>
      <c r="B69" t="s">
        <v>29</v>
      </c>
    </row>
    <row r="71" spans="1:9">
      <c r="A71" s="24" t="s">
        <v>37</v>
      </c>
      <c r="B71" t="s">
        <v>32</v>
      </c>
      <c r="C71" t="s">
        <v>44</v>
      </c>
      <c r="D71" t="s">
        <v>45</v>
      </c>
    </row>
    <row r="72" spans="1:9">
      <c r="A72" s="26" t="s">
        <v>29</v>
      </c>
      <c r="B72" s="37">
        <v>16</v>
      </c>
      <c r="C72" s="37">
        <v>16</v>
      </c>
      <c r="D72" s="37">
        <v>16</v>
      </c>
    </row>
    <row r="73" spans="1:9">
      <c r="A73" s="26" t="s">
        <v>38</v>
      </c>
      <c r="B73" s="37">
        <v>16</v>
      </c>
      <c r="C73" s="37">
        <v>16</v>
      </c>
      <c r="D73" s="37">
        <v>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31FC-D67B-4925-A9F1-BEE658CA5C8F}">
  <dimension ref="A1:S543"/>
  <sheetViews>
    <sheetView workbookViewId="0">
      <pane ySplit="1" topLeftCell="A2" activePane="bottomLeft" state="frozen"/>
      <selection pane="bottomLeft" activeCell="D5" sqref="D5"/>
    </sheetView>
  </sheetViews>
  <sheetFormatPr defaultRowHeight="14.5"/>
  <cols>
    <col min="1" max="1" width="6.7265625" bestFit="1" customWidth="1"/>
    <col min="2" max="2" width="11" bestFit="1" customWidth="1"/>
    <col min="3" max="3" width="14.26953125" bestFit="1" customWidth="1"/>
    <col min="4" max="4" width="56.26953125" bestFit="1" customWidth="1"/>
    <col min="5" max="5" width="29.6328125" bestFit="1" customWidth="1"/>
    <col min="6" max="6" width="67.54296875" bestFit="1" customWidth="1"/>
    <col min="7" max="7" width="19.54296875" bestFit="1" customWidth="1"/>
    <col min="8" max="8" width="19.81640625" style="34" bestFit="1" customWidth="1"/>
    <col min="9" max="9" width="42.54296875" style="34" bestFit="1" customWidth="1"/>
    <col min="10" max="10" width="26.08984375" style="34" bestFit="1" customWidth="1"/>
    <col min="11" max="11" width="29.81640625" style="34" bestFit="1" customWidth="1"/>
    <col min="12" max="12" width="25.26953125" style="34" bestFit="1" customWidth="1"/>
    <col min="13" max="13" width="22.54296875" style="34" bestFit="1" customWidth="1"/>
    <col min="14" max="14" width="21.453125" style="34" bestFit="1" customWidth="1"/>
    <col min="15" max="15" width="27.90625" style="34" bestFit="1" customWidth="1"/>
    <col min="16" max="16" width="26.1796875" style="34" bestFit="1" customWidth="1"/>
    <col min="17" max="17" width="61.81640625" bestFit="1" customWidth="1"/>
    <col min="19" max="19" width="22.54296875" bestFit="1" customWidth="1"/>
  </cols>
  <sheetData>
    <row r="1" spans="1:19" s="11" customFormat="1">
      <c r="A1" s="12" t="s">
        <v>0</v>
      </c>
      <c r="B1" s="12" t="s">
        <v>1</v>
      </c>
      <c r="C1" s="12" t="s">
        <v>2</v>
      </c>
      <c r="D1" s="12" t="s">
        <v>3</v>
      </c>
      <c r="E1" s="12" t="s">
        <v>27</v>
      </c>
      <c r="F1" s="12" t="s">
        <v>28</v>
      </c>
      <c r="G1" s="12" t="s">
        <v>4</v>
      </c>
      <c r="H1" s="14" t="s">
        <v>5</v>
      </c>
      <c r="I1" s="12" t="s">
        <v>6</v>
      </c>
      <c r="J1" s="14" t="s">
        <v>7</v>
      </c>
      <c r="K1" s="12" t="s">
        <v>8</v>
      </c>
      <c r="L1" s="12" t="s">
        <v>9</v>
      </c>
      <c r="M1" s="14" t="s">
        <v>10</v>
      </c>
      <c r="N1" s="14" t="s">
        <v>11</v>
      </c>
      <c r="O1" s="12" t="s">
        <v>12</v>
      </c>
      <c r="P1" s="12" t="s">
        <v>13</v>
      </c>
      <c r="Q1" s="12" t="s">
        <v>14</v>
      </c>
      <c r="R1" s="12" t="s">
        <v>59</v>
      </c>
      <c r="S1" s="12" t="s">
        <v>50</v>
      </c>
    </row>
    <row r="2" spans="1:19">
      <c r="A2" s="13">
        <v>1</v>
      </c>
      <c r="B2" s="13" t="s">
        <v>29</v>
      </c>
      <c r="C2" s="13" t="s">
        <v>29</v>
      </c>
      <c r="D2" s="13" t="s">
        <v>84</v>
      </c>
      <c r="E2" s="13" t="s">
        <v>67</v>
      </c>
      <c r="F2" s="13" t="s">
        <v>67</v>
      </c>
      <c r="G2" s="13" t="s">
        <v>68</v>
      </c>
      <c r="H2" s="33">
        <v>46022</v>
      </c>
      <c r="I2" s="33"/>
      <c r="J2" s="33">
        <v>46017</v>
      </c>
      <c r="K2" s="33"/>
      <c r="L2" s="33"/>
      <c r="M2" s="33">
        <v>46028</v>
      </c>
      <c r="N2" s="33">
        <v>46024</v>
      </c>
      <c r="O2" s="33"/>
      <c r="P2" s="33"/>
      <c r="Q2" s="13"/>
      <c r="R2" s="13" t="s">
        <v>62</v>
      </c>
      <c r="S2" s="13" t="str">
        <f>VLOOKUP(R2,Mappings!$E$1:$F$6,2,FALSE)</f>
        <v>Void</v>
      </c>
    </row>
    <row r="3" spans="1:19">
      <c r="A3" s="13">
        <v>2</v>
      </c>
      <c r="B3" s="13" t="s">
        <v>29</v>
      </c>
      <c r="C3" s="13" t="s">
        <v>29</v>
      </c>
      <c r="D3" s="13" t="s">
        <v>85</v>
      </c>
      <c r="E3" s="13" t="s">
        <v>69</v>
      </c>
      <c r="F3" s="13" t="s">
        <v>69</v>
      </c>
      <c r="G3" s="13" t="s">
        <v>68</v>
      </c>
      <c r="H3" s="33">
        <v>46029</v>
      </c>
      <c r="I3" s="33"/>
      <c r="J3" s="33">
        <v>46045</v>
      </c>
      <c r="K3" s="33"/>
      <c r="L3" s="33"/>
      <c r="M3" s="33">
        <v>46034</v>
      </c>
      <c r="N3" s="33">
        <v>46059</v>
      </c>
      <c r="O3" s="33"/>
      <c r="P3" s="33"/>
      <c r="Q3" s="13"/>
      <c r="R3" s="13">
        <v>2</v>
      </c>
      <c r="S3" s="13" t="str">
        <f>VLOOKUP(R3,Mappings!$E$1:$F$6,2,FALSE)</f>
        <v>Approved with comments</v>
      </c>
    </row>
    <row r="4" spans="1:19">
      <c r="A4" s="13">
        <v>3</v>
      </c>
      <c r="B4" s="13" t="s">
        <v>29</v>
      </c>
      <c r="C4" s="13" t="s">
        <v>29</v>
      </c>
      <c r="D4" s="13" t="s">
        <v>86</v>
      </c>
      <c r="E4" s="13" t="s">
        <v>70</v>
      </c>
      <c r="F4" s="13" t="s">
        <v>70</v>
      </c>
      <c r="G4" s="13" t="s">
        <v>68</v>
      </c>
      <c r="H4" s="33">
        <v>46029</v>
      </c>
      <c r="I4" s="33"/>
      <c r="J4" s="33">
        <v>46045</v>
      </c>
      <c r="K4" s="33"/>
      <c r="L4" s="33"/>
      <c r="M4" s="33">
        <v>46034</v>
      </c>
      <c r="N4" s="33">
        <v>46059</v>
      </c>
      <c r="O4" s="33"/>
      <c r="P4" s="33"/>
      <c r="Q4" s="13"/>
      <c r="R4" s="13">
        <v>2</v>
      </c>
      <c r="S4" s="13" t="str">
        <f>VLOOKUP(R4,Mappings!$E$1:$F$6,2,FALSE)</f>
        <v>Approved with comments</v>
      </c>
    </row>
    <row r="5" spans="1:19">
      <c r="A5" s="13">
        <v>4</v>
      </c>
      <c r="B5" s="13" t="s">
        <v>29</v>
      </c>
      <c r="C5" s="13" t="s">
        <v>29</v>
      </c>
      <c r="D5" s="13" t="s">
        <v>87</v>
      </c>
      <c r="E5" s="13" t="s">
        <v>71</v>
      </c>
      <c r="F5" s="13" t="s">
        <v>71</v>
      </c>
      <c r="G5" s="13" t="s">
        <v>68</v>
      </c>
      <c r="H5" s="33">
        <v>46029</v>
      </c>
      <c r="I5" s="33"/>
      <c r="J5" s="33">
        <v>46045</v>
      </c>
      <c r="K5" s="33"/>
      <c r="L5" s="33"/>
      <c r="M5" s="33">
        <v>46034</v>
      </c>
      <c r="N5" s="33">
        <v>46059</v>
      </c>
      <c r="O5" s="33"/>
      <c r="P5" s="33"/>
      <c r="Q5" s="13"/>
      <c r="R5" s="13">
        <v>2</v>
      </c>
      <c r="S5" s="13" t="str">
        <f>VLOOKUP(R5,Mappings!$E$1:$F$6,2,FALSE)</f>
        <v>Approved with comments</v>
      </c>
    </row>
    <row r="6" spans="1:19">
      <c r="A6" s="13">
        <v>5</v>
      </c>
      <c r="B6" s="13" t="s">
        <v>29</v>
      </c>
      <c r="C6" s="13" t="s">
        <v>29</v>
      </c>
      <c r="D6" s="13" t="s">
        <v>88</v>
      </c>
      <c r="E6" s="13" t="s">
        <v>72</v>
      </c>
      <c r="F6" s="13" t="s">
        <v>72</v>
      </c>
      <c r="G6" s="13" t="s">
        <v>68</v>
      </c>
      <c r="H6" s="33">
        <v>46029</v>
      </c>
      <c r="I6" s="33"/>
      <c r="J6" s="33">
        <v>46045</v>
      </c>
      <c r="K6" s="33"/>
      <c r="L6" s="33"/>
      <c r="M6" s="33">
        <v>46034</v>
      </c>
      <c r="N6" s="33">
        <v>46059</v>
      </c>
      <c r="O6" s="33"/>
      <c r="P6" s="33"/>
      <c r="Q6" s="13"/>
      <c r="R6" s="13">
        <v>2</v>
      </c>
      <c r="S6" s="13" t="str">
        <f>VLOOKUP(R6,Mappings!$E$1:$F$6,2,FALSE)</f>
        <v>Approved with comments</v>
      </c>
    </row>
    <row r="7" spans="1:19">
      <c r="A7" s="13">
        <v>6</v>
      </c>
      <c r="B7" s="13" t="s">
        <v>29</v>
      </c>
      <c r="C7" s="13" t="s">
        <v>29</v>
      </c>
      <c r="D7" s="13" t="s">
        <v>89</v>
      </c>
      <c r="E7" s="13" t="s">
        <v>73</v>
      </c>
      <c r="F7" s="13" t="s">
        <v>73</v>
      </c>
      <c r="G7" s="13" t="s">
        <v>68</v>
      </c>
      <c r="H7" s="33">
        <v>46036</v>
      </c>
      <c r="I7" s="33"/>
      <c r="J7" s="33">
        <v>46121</v>
      </c>
      <c r="K7" s="33"/>
      <c r="L7" s="33"/>
      <c r="M7" s="33">
        <v>46041</v>
      </c>
      <c r="N7" s="33">
        <v>46133</v>
      </c>
      <c r="O7" s="33"/>
      <c r="P7" s="33"/>
      <c r="Q7" s="13"/>
      <c r="R7" s="13">
        <v>1</v>
      </c>
      <c r="S7" s="13" t="str">
        <f>VLOOKUP(R7,Mappings!$E$1:$F$6,2,FALSE)</f>
        <v>Approved</v>
      </c>
    </row>
    <row r="8" spans="1:19">
      <c r="A8" s="13">
        <v>7</v>
      </c>
      <c r="B8" s="13" t="s">
        <v>29</v>
      </c>
      <c r="C8" s="13" t="s">
        <v>29</v>
      </c>
      <c r="D8" s="13" t="s">
        <v>90</v>
      </c>
      <c r="E8" s="13" t="s">
        <v>74</v>
      </c>
      <c r="F8" s="13" t="s">
        <v>74</v>
      </c>
      <c r="G8" s="13" t="s">
        <v>68</v>
      </c>
      <c r="H8" s="33">
        <v>46038</v>
      </c>
      <c r="I8" s="33"/>
      <c r="J8" s="33">
        <v>46121</v>
      </c>
      <c r="K8" s="33"/>
      <c r="L8" s="33"/>
      <c r="M8" s="33">
        <v>46043</v>
      </c>
      <c r="N8" s="33">
        <v>46133</v>
      </c>
      <c r="O8" s="33"/>
      <c r="P8" s="33"/>
      <c r="Q8" s="13"/>
      <c r="R8" s="13">
        <v>1</v>
      </c>
      <c r="S8" s="13" t="str">
        <f>VLOOKUP(R8,Mappings!$E$1:$F$6,2,FALSE)</f>
        <v>Approved</v>
      </c>
    </row>
    <row r="9" spans="1:19">
      <c r="A9" s="13">
        <v>8</v>
      </c>
      <c r="B9" s="13" t="s">
        <v>29</v>
      </c>
      <c r="C9" s="13" t="s">
        <v>29</v>
      </c>
      <c r="D9" s="13" t="s">
        <v>91</v>
      </c>
      <c r="E9" s="13" t="s">
        <v>92</v>
      </c>
      <c r="F9" s="13" t="s">
        <v>92</v>
      </c>
      <c r="G9" s="13" t="s">
        <v>68</v>
      </c>
      <c r="H9" s="33">
        <v>46042</v>
      </c>
      <c r="I9" s="33"/>
      <c r="J9" s="33">
        <v>46121</v>
      </c>
      <c r="K9" s="33"/>
      <c r="L9" s="33"/>
      <c r="M9" s="33">
        <v>46045</v>
      </c>
      <c r="N9" s="33">
        <v>46133</v>
      </c>
      <c r="O9" s="33"/>
      <c r="P9" s="33"/>
      <c r="Q9" s="13"/>
      <c r="R9" s="13">
        <v>1</v>
      </c>
      <c r="S9" s="13" t="str">
        <f>VLOOKUP(R9,Mappings!$E$1:$F$6,2,FALSE)</f>
        <v>Approved</v>
      </c>
    </row>
    <row r="10" spans="1:19">
      <c r="A10" s="13">
        <v>9</v>
      </c>
      <c r="B10" s="13" t="s">
        <v>29</v>
      </c>
      <c r="C10" s="13" t="s">
        <v>29</v>
      </c>
      <c r="D10" s="13" t="s">
        <v>93</v>
      </c>
      <c r="E10" s="13" t="s">
        <v>94</v>
      </c>
      <c r="F10" s="13" t="s">
        <v>94</v>
      </c>
      <c r="G10" s="13" t="s">
        <v>68</v>
      </c>
      <c r="H10" s="33">
        <v>46044</v>
      </c>
      <c r="I10" s="33"/>
      <c r="J10" s="33">
        <v>46121</v>
      </c>
      <c r="K10" s="33"/>
      <c r="L10" s="33"/>
      <c r="M10" s="33">
        <v>46049</v>
      </c>
      <c r="N10" s="33">
        <v>46133</v>
      </c>
      <c r="O10" s="33"/>
      <c r="P10" s="33"/>
      <c r="Q10" s="13"/>
      <c r="R10" s="13">
        <v>1</v>
      </c>
      <c r="S10" s="13" t="str">
        <f>VLOOKUP(R10,Mappings!$E$1:$F$6,2,FALSE)</f>
        <v>Approved</v>
      </c>
    </row>
    <row r="11" spans="1:19">
      <c r="A11" s="13">
        <v>10</v>
      </c>
      <c r="B11" s="13" t="s">
        <v>29</v>
      </c>
      <c r="C11" s="13" t="s">
        <v>29</v>
      </c>
      <c r="D11" s="13" t="s">
        <v>95</v>
      </c>
      <c r="E11" s="13" t="s">
        <v>96</v>
      </c>
      <c r="F11" s="13" t="s">
        <v>96</v>
      </c>
      <c r="G11" s="13" t="s">
        <v>68</v>
      </c>
      <c r="H11" s="33">
        <v>46049</v>
      </c>
      <c r="I11" s="33"/>
      <c r="J11" s="33">
        <v>46121</v>
      </c>
      <c r="K11" s="33"/>
      <c r="L11" s="33"/>
      <c r="M11" s="33">
        <v>46052</v>
      </c>
      <c r="N11" s="33">
        <v>46133</v>
      </c>
      <c r="O11" s="33"/>
      <c r="P11" s="33"/>
      <c r="Q11" s="13"/>
      <c r="R11" s="13">
        <v>1</v>
      </c>
      <c r="S11" s="13" t="str">
        <f>VLOOKUP(R11,Mappings!$E$1:$F$6,2,FALSE)</f>
        <v>Approved</v>
      </c>
    </row>
    <row r="12" spans="1:19">
      <c r="A12" s="13">
        <v>11</v>
      </c>
      <c r="B12" s="13" t="s">
        <v>29</v>
      </c>
      <c r="C12" s="13" t="s">
        <v>29</v>
      </c>
      <c r="D12" s="13" t="s">
        <v>97</v>
      </c>
      <c r="E12" s="13" t="s">
        <v>98</v>
      </c>
      <c r="F12" s="13" t="s">
        <v>98</v>
      </c>
      <c r="G12" s="13" t="s">
        <v>68</v>
      </c>
      <c r="H12" s="33">
        <v>46051</v>
      </c>
      <c r="I12" s="33"/>
      <c r="J12" s="33">
        <v>46121</v>
      </c>
      <c r="K12" s="33"/>
      <c r="L12" s="33"/>
      <c r="M12" s="33">
        <v>46056</v>
      </c>
      <c r="N12" s="33">
        <v>46133</v>
      </c>
      <c r="O12" s="33"/>
      <c r="P12" s="33"/>
      <c r="Q12" s="13"/>
      <c r="R12" s="13">
        <v>1</v>
      </c>
      <c r="S12" s="13" t="str">
        <f>VLOOKUP(R12,Mappings!$E$1:$F$6,2,FALSE)</f>
        <v>Approved</v>
      </c>
    </row>
    <row r="13" spans="1:19">
      <c r="A13" s="13">
        <v>12</v>
      </c>
      <c r="B13" s="13" t="s">
        <v>29</v>
      </c>
      <c r="C13" s="13" t="s">
        <v>29</v>
      </c>
      <c r="D13" s="13" t="s">
        <v>99</v>
      </c>
      <c r="E13" s="13" t="s">
        <v>100</v>
      </c>
      <c r="F13" s="13" t="s">
        <v>100</v>
      </c>
      <c r="G13" s="13" t="s">
        <v>68</v>
      </c>
      <c r="H13" s="33">
        <v>46055</v>
      </c>
      <c r="I13" s="33"/>
      <c r="J13" s="33">
        <v>46121</v>
      </c>
      <c r="K13" s="33"/>
      <c r="L13" s="33"/>
      <c r="M13" s="33">
        <v>46058</v>
      </c>
      <c r="N13" s="33">
        <v>46133</v>
      </c>
      <c r="O13" s="33"/>
      <c r="P13" s="33"/>
      <c r="Q13" s="13"/>
      <c r="R13" s="13">
        <v>1</v>
      </c>
      <c r="S13" s="13" t="str">
        <f>VLOOKUP(R13,Mappings!$E$1:$F$6,2,FALSE)</f>
        <v>Approved</v>
      </c>
    </row>
    <row r="14" spans="1:19">
      <c r="A14" s="13">
        <v>13</v>
      </c>
      <c r="B14" s="13" t="s">
        <v>29</v>
      </c>
      <c r="C14" s="13" t="s">
        <v>29</v>
      </c>
      <c r="D14" s="13" t="s">
        <v>101</v>
      </c>
      <c r="E14" s="13" t="s">
        <v>102</v>
      </c>
      <c r="F14" s="13" t="s">
        <v>102</v>
      </c>
      <c r="G14" s="13" t="s">
        <v>68</v>
      </c>
      <c r="H14" s="33">
        <v>46057</v>
      </c>
      <c r="I14" s="33"/>
      <c r="J14" s="33">
        <v>46121</v>
      </c>
      <c r="K14" s="33"/>
      <c r="L14" s="33"/>
      <c r="M14" s="33">
        <v>46062</v>
      </c>
      <c r="N14" s="33">
        <v>46133</v>
      </c>
      <c r="O14" s="33"/>
      <c r="P14" s="33"/>
      <c r="Q14" s="13"/>
      <c r="R14" s="13">
        <v>1</v>
      </c>
      <c r="S14" s="13" t="str">
        <f>VLOOKUP(R14,Mappings!$E$1:$F$6,2,FALSE)</f>
        <v>Approved</v>
      </c>
    </row>
    <row r="15" spans="1:19">
      <c r="A15" s="13">
        <v>14</v>
      </c>
      <c r="B15" s="13" t="s">
        <v>29</v>
      </c>
      <c r="C15" s="13" t="s">
        <v>29</v>
      </c>
      <c r="D15" s="13" t="s">
        <v>103</v>
      </c>
      <c r="E15" s="13" t="s">
        <v>75</v>
      </c>
      <c r="F15" s="13" t="s">
        <v>75</v>
      </c>
      <c r="G15" s="13" t="s">
        <v>68</v>
      </c>
      <c r="H15" s="33">
        <v>46059</v>
      </c>
      <c r="I15" s="33"/>
      <c r="J15" s="33">
        <v>46121</v>
      </c>
      <c r="K15" s="33"/>
      <c r="L15" s="33"/>
      <c r="M15" s="33">
        <v>46064</v>
      </c>
      <c r="N15" s="33">
        <v>46133</v>
      </c>
      <c r="O15" s="33"/>
      <c r="P15" s="33"/>
      <c r="Q15" s="13"/>
      <c r="R15" s="13">
        <v>1</v>
      </c>
      <c r="S15" s="13" t="str">
        <f>VLOOKUP(R15,Mappings!$E$1:$F$6,2,FALSE)</f>
        <v>Approved</v>
      </c>
    </row>
    <row r="16" spans="1:19">
      <c r="A16" s="13">
        <v>15</v>
      </c>
      <c r="B16" s="13" t="s">
        <v>29</v>
      </c>
      <c r="C16" s="13" t="s">
        <v>29</v>
      </c>
      <c r="D16" s="13" t="s">
        <v>104</v>
      </c>
      <c r="E16" s="13" t="s">
        <v>76</v>
      </c>
      <c r="F16" s="13" t="s">
        <v>76</v>
      </c>
      <c r="G16" s="13" t="s">
        <v>68</v>
      </c>
      <c r="H16" s="33">
        <v>46063</v>
      </c>
      <c r="I16" s="33"/>
      <c r="J16" s="33">
        <v>46121</v>
      </c>
      <c r="K16" s="33"/>
      <c r="L16" s="33"/>
      <c r="M16" s="33">
        <v>46066</v>
      </c>
      <c r="N16" s="33">
        <v>46133</v>
      </c>
      <c r="O16" s="33"/>
      <c r="P16" s="33"/>
      <c r="Q16" s="13"/>
      <c r="R16" s="13">
        <v>1</v>
      </c>
      <c r="S16" s="13" t="str">
        <f>VLOOKUP(R16,Mappings!$E$1:$F$6,2,FALSE)</f>
        <v>Approved</v>
      </c>
    </row>
    <row r="17" spans="1:19">
      <c r="A17" s="13">
        <v>16</v>
      </c>
      <c r="B17" s="13" t="s">
        <v>29</v>
      </c>
      <c r="C17" s="13" t="s">
        <v>29</v>
      </c>
      <c r="D17" s="13" t="s">
        <v>105</v>
      </c>
      <c r="E17" s="13" t="s">
        <v>77</v>
      </c>
      <c r="F17" s="13" t="s">
        <v>77</v>
      </c>
      <c r="G17" s="13" t="s">
        <v>68</v>
      </c>
      <c r="H17" s="33">
        <v>46065</v>
      </c>
      <c r="I17" s="33"/>
      <c r="J17" s="33">
        <v>46121</v>
      </c>
      <c r="K17" s="33"/>
      <c r="L17" s="33"/>
      <c r="M17" s="33">
        <v>46070</v>
      </c>
      <c r="N17" s="33">
        <v>46133</v>
      </c>
      <c r="O17" s="33"/>
      <c r="P17" s="33"/>
      <c r="Q17" s="13"/>
      <c r="R17" s="13">
        <v>1</v>
      </c>
      <c r="S17" s="13" t="str">
        <f>VLOOKUP(R17,Mappings!$E$1:$F$6,2,FALSE)</f>
        <v>Approved</v>
      </c>
    </row>
    <row r="18" spans="1:19">
      <c r="A18" s="13">
        <v>17</v>
      </c>
      <c r="B18" s="13" t="s">
        <v>16</v>
      </c>
      <c r="C18" s="13" t="s">
        <v>16</v>
      </c>
      <c r="D18" s="13" t="s">
        <v>106</v>
      </c>
      <c r="E18" s="13" t="s">
        <v>78</v>
      </c>
      <c r="F18" s="13" t="s">
        <v>78</v>
      </c>
      <c r="G18" s="13" t="s">
        <v>79</v>
      </c>
      <c r="H18" s="33">
        <v>46043</v>
      </c>
      <c r="I18" s="33"/>
      <c r="J18" s="33">
        <v>46183</v>
      </c>
      <c r="K18" s="33"/>
      <c r="L18" s="33"/>
      <c r="M18" s="33">
        <v>46048</v>
      </c>
      <c r="N18" s="33">
        <v>46147</v>
      </c>
      <c r="O18" s="33"/>
      <c r="P18" s="33"/>
      <c r="Q18" s="13"/>
      <c r="R18" s="13">
        <v>2</v>
      </c>
      <c r="S18" s="13" t="str">
        <f>VLOOKUP(R18,Mappings!$E$1:$F$6,2,FALSE)</f>
        <v>Approved with comments</v>
      </c>
    </row>
    <row r="19" spans="1:19">
      <c r="A19" s="13">
        <v>18</v>
      </c>
      <c r="B19" s="13" t="s">
        <v>16</v>
      </c>
      <c r="C19" s="13" t="s">
        <v>16</v>
      </c>
      <c r="D19" s="13" t="s">
        <v>107</v>
      </c>
      <c r="E19" s="13" t="s">
        <v>108</v>
      </c>
      <c r="F19" s="13" t="s">
        <v>108</v>
      </c>
      <c r="G19" s="13" t="s">
        <v>79</v>
      </c>
      <c r="H19" s="33">
        <v>46049</v>
      </c>
      <c r="I19" s="33"/>
      <c r="J19" s="33">
        <v>46183</v>
      </c>
      <c r="K19" s="33"/>
      <c r="L19" s="33"/>
      <c r="M19" s="33">
        <v>46052</v>
      </c>
      <c r="N19" s="33">
        <v>46147</v>
      </c>
      <c r="O19" s="33"/>
      <c r="P19" s="33"/>
      <c r="Q19" s="13"/>
      <c r="R19" s="13">
        <v>2</v>
      </c>
      <c r="S19" s="13" t="str">
        <f>VLOOKUP(R19,Mappings!$E$1:$F$6,2,FALSE)</f>
        <v>Approved with comments</v>
      </c>
    </row>
    <row r="20" spans="1:19">
      <c r="A20" s="13">
        <v>19</v>
      </c>
      <c r="B20" s="13" t="s">
        <v>16</v>
      </c>
      <c r="C20" s="13" t="s">
        <v>16</v>
      </c>
      <c r="D20" s="13" t="s">
        <v>109</v>
      </c>
      <c r="E20" s="13" t="s">
        <v>80</v>
      </c>
      <c r="F20" s="13" t="s">
        <v>80</v>
      </c>
      <c r="G20" s="13" t="s">
        <v>79</v>
      </c>
      <c r="H20" s="33">
        <v>46052</v>
      </c>
      <c r="I20" s="33"/>
      <c r="J20" s="33">
        <v>46183</v>
      </c>
      <c r="K20" s="33"/>
      <c r="L20" s="33"/>
      <c r="M20" s="33">
        <v>46057</v>
      </c>
      <c r="N20" s="33">
        <v>46147</v>
      </c>
      <c r="O20" s="33"/>
      <c r="P20" s="33"/>
      <c r="Q20" s="13"/>
      <c r="R20" s="13">
        <v>2</v>
      </c>
      <c r="S20" s="13" t="str">
        <f>VLOOKUP(R20,Mappings!$E$1:$F$6,2,FALSE)</f>
        <v>Approved with comments</v>
      </c>
    </row>
    <row r="21" spans="1:19">
      <c r="A21" s="13">
        <v>20</v>
      </c>
      <c r="B21" s="13" t="s">
        <v>16</v>
      </c>
      <c r="C21" s="13" t="s">
        <v>16</v>
      </c>
      <c r="D21" s="13" t="s">
        <v>110</v>
      </c>
      <c r="E21" s="13" t="s">
        <v>111</v>
      </c>
      <c r="F21" s="13" t="s">
        <v>111</v>
      </c>
      <c r="G21" s="13" t="s">
        <v>79</v>
      </c>
      <c r="H21" s="33">
        <v>46052</v>
      </c>
      <c r="I21" s="33"/>
      <c r="J21" s="33">
        <v>46183</v>
      </c>
      <c r="K21" s="33"/>
      <c r="L21" s="33"/>
      <c r="M21" s="33">
        <v>46057</v>
      </c>
      <c r="N21" s="33">
        <v>46147</v>
      </c>
      <c r="O21" s="33"/>
      <c r="P21" s="33"/>
      <c r="Q21" s="13"/>
      <c r="R21" s="13">
        <v>2</v>
      </c>
      <c r="S21" s="13" t="str">
        <f>VLOOKUP(R21,Mappings!$E$1:$F$6,2,FALSE)</f>
        <v>Approved with comments</v>
      </c>
    </row>
    <row r="22" spans="1:19">
      <c r="A22" s="13"/>
      <c r="B22" s="13"/>
      <c r="C22" s="13"/>
      <c r="D22" s="13"/>
      <c r="E22" s="13"/>
      <c r="F22" s="13"/>
      <c r="G22" s="13"/>
      <c r="H22" s="33"/>
      <c r="I22" s="33"/>
      <c r="J22" s="33"/>
      <c r="K22" s="33"/>
      <c r="L22" s="33"/>
      <c r="M22" s="33"/>
      <c r="N22" s="33"/>
      <c r="O22" s="33"/>
      <c r="P22" s="33"/>
      <c r="Q22" s="13"/>
      <c r="R22" s="13"/>
      <c r="S22" s="13"/>
    </row>
    <row r="23" spans="1:19">
      <c r="A23" s="35"/>
      <c r="B23" s="35"/>
      <c r="C23" s="35"/>
      <c r="D23" s="35"/>
      <c r="E23" s="35"/>
      <c r="F23" s="35"/>
      <c r="G23" s="35"/>
      <c r="H23" s="36"/>
      <c r="I23" s="36"/>
      <c r="J23" s="36"/>
      <c r="K23" s="36"/>
      <c r="L23" s="36"/>
      <c r="M23" s="36"/>
      <c r="N23" s="36"/>
      <c r="O23" s="36"/>
      <c r="P23" s="36"/>
      <c r="Q23" s="35"/>
    </row>
    <row r="24" spans="1:19">
      <c r="A24" s="13"/>
      <c r="B24" s="13"/>
      <c r="C24" s="13"/>
      <c r="D24" s="13"/>
      <c r="E24" s="13"/>
      <c r="F24" s="13"/>
      <c r="G24" s="13"/>
      <c r="H24" s="33"/>
      <c r="I24" s="33"/>
      <c r="J24" s="33"/>
      <c r="K24" s="33"/>
      <c r="L24" s="33"/>
      <c r="M24" s="33"/>
      <c r="N24" s="33"/>
      <c r="O24" s="33"/>
      <c r="P24" s="33"/>
      <c r="Q24" s="13"/>
    </row>
    <row r="25" spans="1:19">
      <c r="A25" s="13"/>
      <c r="B25" s="13"/>
      <c r="C25" s="13"/>
      <c r="D25" s="13"/>
      <c r="E25" s="13"/>
      <c r="F25" s="13"/>
      <c r="G25" s="13"/>
      <c r="H25" s="33"/>
      <c r="I25" s="33"/>
      <c r="J25" s="33"/>
      <c r="K25" s="33"/>
      <c r="L25" s="33"/>
      <c r="M25" s="33"/>
      <c r="N25" s="33"/>
      <c r="O25" s="33"/>
      <c r="P25" s="33"/>
      <c r="Q25" s="13"/>
    </row>
    <row r="26" spans="1:19">
      <c r="A26" s="13"/>
      <c r="B26" s="13"/>
      <c r="C26" s="13"/>
      <c r="D26" s="13"/>
      <c r="E26" s="13"/>
      <c r="F26" s="13"/>
      <c r="G26" s="13"/>
      <c r="H26" s="33"/>
      <c r="I26" s="33"/>
      <c r="J26" s="33"/>
      <c r="K26" s="33"/>
      <c r="L26" s="33"/>
      <c r="M26" s="33"/>
      <c r="N26" s="33"/>
      <c r="O26" s="33"/>
      <c r="P26" s="33"/>
      <c r="Q26" s="13"/>
    </row>
    <row r="27" spans="1:19">
      <c r="A27" s="13"/>
      <c r="B27" s="13"/>
      <c r="C27" s="13"/>
      <c r="D27" s="13"/>
      <c r="E27" s="13"/>
      <c r="F27" s="13"/>
      <c r="G27" s="13"/>
      <c r="H27" s="33"/>
      <c r="I27" s="33"/>
      <c r="J27" s="33"/>
      <c r="K27" s="33"/>
      <c r="L27" s="33"/>
      <c r="M27" s="33"/>
      <c r="N27" s="33"/>
      <c r="O27" s="33"/>
      <c r="P27" s="33"/>
      <c r="Q27" s="13"/>
    </row>
    <row r="28" spans="1:19">
      <c r="A28" s="13"/>
      <c r="B28" s="13"/>
      <c r="C28" s="13"/>
      <c r="D28" s="13"/>
      <c r="E28" s="13"/>
      <c r="F28" s="13"/>
      <c r="G28" s="13"/>
      <c r="H28" s="33"/>
      <c r="I28" s="33"/>
      <c r="J28" s="33"/>
      <c r="K28" s="33"/>
      <c r="L28" s="33"/>
      <c r="M28" s="33"/>
      <c r="N28" s="33"/>
      <c r="O28" s="33"/>
      <c r="P28" s="33"/>
      <c r="Q28" s="13"/>
    </row>
    <row r="29" spans="1:19">
      <c r="A29" s="13"/>
      <c r="B29" s="13"/>
      <c r="C29" s="13"/>
      <c r="D29" s="13"/>
      <c r="E29" s="13"/>
      <c r="F29" s="13"/>
      <c r="G29" s="13"/>
      <c r="H29" s="33"/>
      <c r="I29" s="33"/>
      <c r="J29" s="33"/>
      <c r="K29" s="33"/>
      <c r="L29" s="33"/>
      <c r="M29" s="33"/>
      <c r="N29" s="33"/>
      <c r="O29" s="33"/>
      <c r="P29" s="33"/>
      <c r="Q29" s="13"/>
    </row>
    <row r="30" spans="1:19">
      <c r="A30" s="13"/>
      <c r="B30" s="13"/>
      <c r="C30" s="13"/>
      <c r="D30" s="13"/>
      <c r="E30" s="13"/>
      <c r="F30" s="13"/>
      <c r="G30" s="13"/>
      <c r="H30" s="33"/>
      <c r="I30" s="33"/>
      <c r="J30" s="33"/>
      <c r="K30" s="33"/>
      <c r="L30" s="33"/>
      <c r="M30" s="33"/>
      <c r="N30" s="33"/>
      <c r="O30" s="33"/>
      <c r="P30" s="33"/>
      <c r="Q30" s="13"/>
    </row>
    <row r="31" spans="1:19">
      <c r="A31" s="13"/>
      <c r="B31" s="13"/>
      <c r="C31" s="13"/>
      <c r="D31" s="13"/>
      <c r="E31" s="13"/>
      <c r="F31" s="13"/>
      <c r="G31" s="13"/>
      <c r="H31" s="33"/>
      <c r="I31" s="33"/>
      <c r="J31" s="33"/>
      <c r="K31" s="33"/>
      <c r="L31" s="33"/>
      <c r="M31" s="33"/>
      <c r="N31" s="33"/>
      <c r="O31" s="33"/>
      <c r="P31" s="33"/>
      <c r="Q31" s="13"/>
    </row>
    <row r="32" spans="1:19">
      <c r="A32" s="13"/>
      <c r="B32" s="13"/>
      <c r="C32" s="13"/>
      <c r="D32" s="13"/>
      <c r="E32" s="13"/>
      <c r="F32" s="13"/>
      <c r="G32" s="13"/>
      <c r="H32" s="33"/>
      <c r="I32" s="33"/>
      <c r="J32" s="33"/>
      <c r="K32" s="33"/>
      <c r="L32" s="33"/>
      <c r="M32" s="33"/>
      <c r="N32" s="33"/>
      <c r="O32" s="33"/>
      <c r="P32" s="33"/>
      <c r="Q32" s="13"/>
    </row>
    <row r="33" spans="1:17">
      <c r="A33" s="13"/>
      <c r="B33" s="13"/>
      <c r="C33" s="13"/>
      <c r="D33" s="13"/>
      <c r="E33" s="13"/>
      <c r="F33" s="13"/>
      <c r="G33" s="13"/>
      <c r="H33" s="33"/>
      <c r="I33" s="33"/>
      <c r="J33" s="33"/>
      <c r="K33" s="33"/>
      <c r="L33" s="33"/>
      <c r="M33" s="33"/>
      <c r="N33" s="33"/>
      <c r="O33" s="33"/>
      <c r="P33" s="33"/>
      <c r="Q33" s="13"/>
    </row>
    <row r="34" spans="1:17">
      <c r="A34" s="13"/>
      <c r="B34" s="13"/>
      <c r="C34" s="13"/>
      <c r="D34" s="13"/>
      <c r="E34" s="13"/>
      <c r="F34" s="13"/>
      <c r="G34" s="13"/>
      <c r="H34" s="33"/>
      <c r="I34" s="33"/>
      <c r="J34" s="33"/>
      <c r="K34" s="33"/>
      <c r="L34" s="33"/>
      <c r="M34" s="33"/>
      <c r="N34" s="33"/>
      <c r="O34" s="33"/>
      <c r="P34" s="33"/>
      <c r="Q34" s="13"/>
    </row>
    <row r="35" spans="1:17">
      <c r="A35" s="13"/>
      <c r="B35" s="13"/>
      <c r="C35" s="13"/>
      <c r="D35" s="13"/>
      <c r="E35" s="13"/>
      <c r="F35" s="13"/>
      <c r="G35" s="13"/>
      <c r="H35" s="33"/>
      <c r="I35" s="33"/>
      <c r="J35" s="33"/>
      <c r="K35" s="33"/>
      <c r="L35" s="33"/>
      <c r="M35" s="33"/>
      <c r="N35" s="33"/>
      <c r="O35" s="33"/>
      <c r="P35" s="33"/>
      <c r="Q35" s="13"/>
    </row>
    <row r="36" spans="1:17">
      <c r="A36" s="13"/>
      <c r="B36" s="13"/>
      <c r="C36" s="13"/>
      <c r="D36" s="13"/>
      <c r="E36" s="13"/>
      <c r="F36" s="13"/>
      <c r="G36" s="13"/>
      <c r="H36" s="33"/>
      <c r="I36" s="33"/>
      <c r="J36" s="33"/>
      <c r="K36" s="33"/>
      <c r="L36" s="33"/>
      <c r="M36" s="33"/>
      <c r="N36" s="33"/>
      <c r="O36" s="33"/>
      <c r="P36" s="33"/>
      <c r="Q36" s="13"/>
    </row>
    <row r="37" spans="1:17">
      <c r="A37" s="13"/>
      <c r="B37" s="13"/>
      <c r="C37" s="13"/>
      <c r="D37" s="13"/>
      <c r="E37" s="13"/>
      <c r="F37" s="13"/>
      <c r="G37" s="13"/>
      <c r="H37" s="33"/>
      <c r="I37" s="33"/>
      <c r="J37" s="33"/>
      <c r="K37" s="33"/>
      <c r="L37" s="33"/>
      <c r="M37" s="33"/>
      <c r="N37" s="33"/>
      <c r="O37" s="33"/>
      <c r="P37" s="33"/>
      <c r="Q37" s="13"/>
    </row>
    <row r="38" spans="1:17">
      <c r="A38" s="13"/>
      <c r="B38" s="13"/>
      <c r="C38" s="13"/>
      <c r="D38" s="13"/>
      <c r="E38" s="13"/>
      <c r="F38" s="13"/>
      <c r="G38" s="13"/>
      <c r="H38" s="33"/>
      <c r="I38" s="33"/>
      <c r="J38" s="33"/>
      <c r="K38" s="33"/>
      <c r="L38" s="33"/>
      <c r="M38" s="33"/>
      <c r="N38" s="33"/>
      <c r="O38" s="33"/>
      <c r="P38" s="33"/>
      <c r="Q38" s="13"/>
    </row>
    <row r="39" spans="1:17">
      <c r="A39" s="13"/>
      <c r="B39" s="13"/>
      <c r="C39" s="13"/>
      <c r="D39" s="13"/>
      <c r="E39" s="13"/>
      <c r="F39" s="13"/>
      <c r="G39" s="13"/>
      <c r="H39" s="33"/>
      <c r="I39" s="33"/>
      <c r="J39" s="33"/>
      <c r="K39" s="33"/>
      <c r="L39" s="33"/>
      <c r="M39" s="33"/>
      <c r="N39" s="33"/>
      <c r="O39" s="33"/>
      <c r="P39" s="33"/>
      <c r="Q39" s="13"/>
    </row>
    <row r="40" spans="1:17">
      <c r="A40" s="13"/>
      <c r="B40" s="13"/>
      <c r="C40" s="13"/>
      <c r="D40" s="13"/>
      <c r="E40" s="13"/>
      <c r="F40" s="13"/>
      <c r="G40" s="13"/>
      <c r="H40" s="33"/>
      <c r="I40" s="33"/>
      <c r="J40" s="33"/>
      <c r="K40" s="33"/>
      <c r="L40" s="33"/>
      <c r="M40" s="33"/>
      <c r="N40" s="33"/>
      <c r="O40" s="33"/>
      <c r="P40" s="33"/>
      <c r="Q40" s="13"/>
    </row>
    <row r="41" spans="1:17">
      <c r="A41" s="13"/>
      <c r="B41" s="13"/>
      <c r="C41" s="13"/>
      <c r="D41" s="13"/>
      <c r="E41" s="13"/>
      <c r="F41" s="13"/>
      <c r="G41" s="13"/>
      <c r="H41" s="33"/>
      <c r="I41" s="33"/>
      <c r="J41" s="33"/>
      <c r="K41" s="33"/>
      <c r="L41" s="33"/>
      <c r="M41" s="33"/>
      <c r="N41" s="33"/>
      <c r="O41" s="33"/>
      <c r="P41" s="33"/>
      <c r="Q41" s="13"/>
    </row>
    <row r="42" spans="1:17">
      <c r="A42" s="13"/>
      <c r="B42" s="13"/>
      <c r="C42" s="13"/>
      <c r="D42" s="13"/>
      <c r="E42" s="13"/>
      <c r="F42" s="13"/>
      <c r="G42" s="13"/>
      <c r="H42" s="33"/>
      <c r="I42" s="33"/>
      <c r="J42" s="33"/>
      <c r="K42" s="33"/>
      <c r="L42" s="33"/>
      <c r="M42" s="33"/>
      <c r="N42" s="33"/>
      <c r="O42" s="33"/>
      <c r="P42" s="33"/>
      <c r="Q42" s="13"/>
    </row>
    <row r="43" spans="1:17">
      <c r="A43" s="13"/>
      <c r="B43" s="13"/>
      <c r="C43" s="13"/>
      <c r="D43" s="13"/>
      <c r="E43" s="13"/>
      <c r="F43" s="13"/>
      <c r="G43" s="13"/>
      <c r="H43" s="33"/>
      <c r="I43" s="33"/>
      <c r="J43" s="33"/>
      <c r="K43" s="33"/>
      <c r="L43" s="33"/>
      <c r="M43" s="33"/>
      <c r="N43" s="33"/>
      <c r="O43" s="33"/>
      <c r="P43" s="33"/>
      <c r="Q43" s="13"/>
    </row>
    <row r="44" spans="1:17">
      <c r="A44" s="13"/>
      <c r="B44" s="13"/>
      <c r="C44" s="13"/>
      <c r="D44" s="13"/>
      <c r="E44" s="13"/>
      <c r="F44" s="13"/>
      <c r="G44" s="13"/>
      <c r="H44" s="33"/>
      <c r="I44" s="33"/>
      <c r="J44" s="33"/>
      <c r="K44" s="33"/>
      <c r="L44" s="33"/>
      <c r="M44" s="33"/>
      <c r="N44" s="33"/>
      <c r="O44" s="33"/>
      <c r="P44" s="33"/>
      <c r="Q44" s="13"/>
    </row>
    <row r="45" spans="1:17">
      <c r="A45" s="13"/>
      <c r="B45" s="13"/>
      <c r="C45" s="13"/>
      <c r="D45" s="13"/>
      <c r="E45" s="13"/>
      <c r="F45" s="13"/>
      <c r="G45" s="13"/>
      <c r="H45" s="33"/>
      <c r="I45" s="33"/>
      <c r="J45" s="33"/>
      <c r="K45" s="33"/>
      <c r="L45" s="33"/>
      <c r="M45" s="33"/>
      <c r="N45" s="33"/>
      <c r="O45" s="33"/>
      <c r="P45" s="33"/>
      <c r="Q45" s="13"/>
    </row>
    <row r="46" spans="1:17">
      <c r="A46" s="13"/>
      <c r="B46" s="13"/>
      <c r="C46" s="13"/>
      <c r="D46" s="13"/>
      <c r="E46" s="13"/>
      <c r="F46" s="13"/>
      <c r="G46" s="13"/>
      <c r="H46" s="33"/>
      <c r="I46" s="33"/>
      <c r="J46" s="33"/>
      <c r="K46" s="33"/>
      <c r="L46" s="33"/>
      <c r="M46" s="33"/>
      <c r="N46" s="33"/>
      <c r="O46" s="33"/>
      <c r="P46" s="33"/>
      <c r="Q46" s="13"/>
    </row>
    <row r="47" spans="1:17">
      <c r="A47" s="13"/>
      <c r="B47" s="13"/>
      <c r="C47" s="13"/>
      <c r="D47" s="13"/>
      <c r="E47" s="13"/>
      <c r="F47" s="13"/>
      <c r="G47" s="13"/>
      <c r="H47" s="33"/>
      <c r="I47" s="33"/>
      <c r="J47" s="33"/>
      <c r="K47" s="33"/>
      <c r="L47" s="33"/>
      <c r="M47" s="33"/>
      <c r="N47" s="33"/>
      <c r="O47" s="33"/>
      <c r="P47" s="33"/>
      <c r="Q47" s="13"/>
    </row>
    <row r="48" spans="1:17">
      <c r="A48" s="13"/>
      <c r="B48" s="13"/>
      <c r="C48" s="13"/>
      <c r="D48" s="13"/>
      <c r="E48" s="13"/>
      <c r="F48" s="13"/>
      <c r="G48" s="13"/>
      <c r="H48" s="33"/>
      <c r="I48" s="33"/>
      <c r="J48" s="33"/>
      <c r="K48" s="33"/>
      <c r="L48" s="33"/>
      <c r="M48" s="33"/>
      <c r="N48" s="33"/>
      <c r="O48" s="33"/>
      <c r="P48" s="33"/>
      <c r="Q48" s="13"/>
    </row>
    <row r="49" spans="1:17">
      <c r="A49" s="13"/>
      <c r="B49" s="13"/>
      <c r="C49" s="13"/>
      <c r="D49" s="13"/>
      <c r="E49" s="13"/>
      <c r="F49" s="13"/>
      <c r="G49" s="13"/>
      <c r="H49" s="33"/>
      <c r="I49" s="33"/>
      <c r="J49" s="33"/>
      <c r="K49" s="33"/>
      <c r="L49" s="33"/>
      <c r="M49" s="33"/>
      <c r="N49" s="33"/>
      <c r="O49" s="33"/>
      <c r="P49" s="33"/>
      <c r="Q49" s="13"/>
    </row>
    <row r="50" spans="1:17">
      <c r="A50" s="13"/>
      <c r="B50" s="13"/>
      <c r="C50" s="13"/>
      <c r="D50" s="13"/>
      <c r="E50" s="13"/>
      <c r="F50" s="13"/>
      <c r="G50" s="13"/>
      <c r="H50" s="33"/>
      <c r="I50" s="33"/>
      <c r="J50" s="33"/>
      <c r="K50" s="33"/>
      <c r="L50" s="33"/>
      <c r="M50" s="33"/>
      <c r="N50" s="33"/>
      <c r="O50" s="33"/>
      <c r="P50" s="33"/>
      <c r="Q50" s="13"/>
    </row>
    <row r="51" spans="1:17">
      <c r="A51" s="13"/>
      <c r="B51" s="13"/>
      <c r="C51" s="13"/>
      <c r="D51" s="13"/>
      <c r="E51" s="13"/>
      <c r="F51" s="13"/>
      <c r="G51" s="13"/>
      <c r="H51" s="33"/>
      <c r="I51" s="33"/>
      <c r="J51" s="33"/>
      <c r="K51" s="33"/>
      <c r="L51" s="33"/>
      <c r="M51" s="33"/>
      <c r="N51" s="33"/>
      <c r="O51" s="33"/>
      <c r="P51" s="33"/>
      <c r="Q51" s="13"/>
    </row>
    <row r="52" spans="1:17">
      <c r="A52" s="13"/>
      <c r="B52" s="13"/>
      <c r="C52" s="13"/>
      <c r="D52" s="13"/>
      <c r="E52" s="13"/>
      <c r="F52" s="13"/>
      <c r="G52" s="13"/>
      <c r="H52" s="33"/>
      <c r="I52" s="33"/>
      <c r="J52" s="33"/>
      <c r="K52" s="33"/>
      <c r="L52" s="33"/>
      <c r="M52" s="33"/>
      <c r="N52" s="33"/>
      <c r="O52" s="33"/>
      <c r="P52" s="33"/>
      <c r="Q52" s="13"/>
    </row>
    <row r="53" spans="1:17">
      <c r="A53" s="13"/>
      <c r="B53" s="13"/>
      <c r="C53" s="13"/>
      <c r="D53" s="13"/>
      <c r="E53" s="13"/>
      <c r="F53" s="13"/>
      <c r="G53" s="13"/>
      <c r="H53" s="33"/>
      <c r="I53" s="33"/>
      <c r="J53" s="33"/>
      <c r="K53" s="33"/>
      <c r="L53" s="33"/>
      <c r="M53" s="33"/>
      <c r="N53" s="33"/>
      <c r="O53" s="33"/>
      <c r="P53" s="33"/>
      <c r="Q53" s="13"/>
    </row>
    <row r="54" spans="1:17">
      <c r="A54" s="13"/>
      <c r="B54" s="13"/>
      <c r="C54" s="13"/>
      <c r="D54" s="13"/>
      <c r="E54" s="13"/>
      <c r="F54" s="13"/>
      <c r="G54" s="13"/>
      <c r="H54" s="33"/>
      <c r="I54" s="33"/>
      <c r="J54" s="33"/>
      <c r="K54" s="33"/>
      <c r="L54" s="33"/>
      <c r="M54" s="33"/>
      <c r="N54" s="33"/>
      <c r="O54" s="33"/>
      <c r="P54" s="33"/>
      <c r="Q54" s="13"/>
    </row>
    <row r="55" spans="1:17">
      <c r="A55" s="13"/>
      <c r="B55" s="13"/>
      <c r="C55" s="13"/>
      <c r="D55" s="13"/>
      <c r="E55" s="13"/>
      <c r="F55" s="13"/>
      <c r="G55" s="13"/>
      <c r="H55" s="33"/>
      <c r="I55" s="33"/>
      <c r="J55" s="33"/>
      <c r="K55" s="33"/>
      <c r="L55" s="33"/>
      <c r="M55" s="33"/>
      <c r="N55" s="33"/>
      <c r="O55" s="33"/>
      <c r="P55" s="33"/>
      <c r="Q55" s="13"/>
    </row>
    <row r="56" spans="1:17">
      <c r="A56" s="13"/>
      <c r="B56" s="13"/>
      <c r="C56" s="13"/>
      <c r="D56" s="13"/>
      <c r="E56" s="13"/>
      <c r="F56" s="13"/>
      <c r="G56" s="13"/>
      <c r="H56" s="33"/>
      <c r="I56" s="33"/>
      <c r="J56" s="33"/>
      <c r="K56" s="33"/>
      <c r="L56" s="33"/>
      <c r="M56" s="33"/>
      <c r="N56" s="33"/>
      <c r="O56" s="33"/>
      <c r="P56" s="33"/>
      <c r="Q56" s="13"/>
    </row>
    <row r="57" spans="1:17">
      <c r="A57" s="13"/>
      <c r="B57" s="13"/>
      <c r="C57" s="13"/>
      <c r="D57" s="13"/>
      <c r="E57" s="13"/>
      <c r="F57" s="13"/>
      <c r="G57" s="13"/>
      <c r="H57" s="33"/>
      <c r="I57" s="33"/>
      <c r="J57" s="33"/>
      <c r="K57" s="33"/>
      <c r="L57" s="33"/>
      <c r="M57" s="33"/>
      <c r="N57" s="33"/>
      <c r="O57" s="33"/>
      <c r="P57" s="33"/>
      <c r="Q57" s="13"/>
    </row>
    <row r="58" spans="1:17">
      <c r="A58" s="13"/>
      <c r="B58" s="13"/>
      <c r="C58" s="13"/>
      <c r="D58" s="13"/>
      <c r="E58" s="13"/>
      <c r="F58" s="13"/>
      <c r="G58" s="13"/>
      <c r="H58" s="33"/>
      <c r="I58" s="33"/>
      <c r="J58" s="33"/>
      <c r="K58" s="33"/>
      <c r="L58" s="33"/>
      <c r="M58" s="33"/>
      <c r="N58" s="33"/>
      <c r="O58" s="33"/>
      <c r="P58" s="33"/>
      <c r="Q58" s="13"/>
    </row>
    <row r="59" spans="1:17">
      <c r="A59" s="13"/>
      <c r="B59" s="13"/>
      <c r="C59" s="13"/>
      <c r="D59" s="13"/>
      <c r="E59" s="13"/>
      <c r="F59" s="13"/>
      <c r="G59" s="13"/>
      <c r="H59" s="33"/>
      <c r="I59" s="33"/>
      <c r="J59" s="33"/>
      <c r="K59" s="33"/>
      <c r="L59" s="33"/>
      <c r="M59" s="33"/>
      <c r="N59" s="33"/>
      <c r="O59" s="33"/>
      <c r="P59" s="33"/>
      <c r="Q59" s="13"/>
    </row>
    <row r="60" spans="1:17">
      <c r="A60" s="13"/>
      <c r="B60" s="13"/>
      <c r="C60" s="13"/>
      <c r="D60" s="13"/>
      <c r="E60" s="13"/>
      <c r="F60" s="13"/>
      <c r="G60" s="13"/>
      <c r="H60" s="33"/>
      <c r="I60" s="33"/>
      <c r="J60" s="33"/>
      <c r="K60" s="33"/>
      <c r="L60" s="33"/>
      <c r="M60" s="33"/>
      <c r="N60" s="33"/>
      <c r="O60" s="33"/>
      <c r="P60" s="33"/>
      <c r="Q60" s="13"/>
    </row>
    <row r="61" spans="1:17">
      <c r="A61" s="13"/>
      <c r="B61" s="13"/>
      <c r="C61" s="13"/>
      <c r="D61" s="13"/>
      <c r="E61" s="13"/>
      <c r="F61" s="13"/>
      <c r="G61" s="13"/>
      <c r="H61" s="33"/>
      <c r="I61" s="33"/>
      <c r="J61" s="33"/>
      <c r="K61" s="33"/>
      <c r="L61" s="33"/>
      <c r="M61" s="33"/>
      <c r="N61" s="33"/>
      <c r="O61" s="33"/>
      <c r="P61" s="33"/>
      <c r="Q61" s="13"/>
    </row>
    <row r="62" spans="1:17">
      <c r="A62" s="13"/>
      <c r="B62" s="13"/>
      <c r="C62" s="13"/>
      <c r="D62" s="13"/>
      <c r="E62" s="13"/>
      <c r="F62" s="13"/>
      <c r="G62" s="13"/>
      <c r="H62" s="33"/>
      <c r="I62" s="33"/>
      <c r="J62" s="33"/>
      <c r="K62" s="33"/>
      <c r="L62" s="33"/>
      <c r="M62" s="33"/>
      <c r="N62" s="33"/>
      <c r="O62" s="33"/>
      <c r="P62" s="33"/>
      <c r="Q62" s="13"/>
    </row>
    <row r="63" spans="1:17">
      <c r="A63" s="13"/>
      <c r="B63" s="13"/>
      <c r="C63" s="13"/>
      <c r="D63" s="13"/>
      <c r="E63" s="13"/>
      <c r="F63" s="13"/>
      <c r="G63" s="13"/>
      <c r="H63" s="33"/>
      <c r="I63" s="33"/>
      <c r="J63" s="33"/>
      <c r="K63" s="33"/>
      <c r="L63" s="33"/>
      <c r="M63" s="33"/>
      <c r="N63" s="33"/>
      <c r="O63" s="33"/>
      <c r="P63" s="33"/>
      <c r="Q63" s="13"/>
    </row>
    <row r="64" spans="1:17">
      <c r="A64" s="13"/>
      <c r="B64" s="13"/>
      <c r="C64" s="13"/>
      <c r="D64" s="13"/>
      <c r="E64" s="13"/>
      <c r="F64" s="13"/>
      <c r="G64" s="13"/>
      <c r="H64" s="33"/>
      <c r="I64" s="33"/>
      <c r="J64" s="33"/>
      <c r="K64" s="33"/>
      <c r="L64" s="33"/>
      <c r="M64" s="33"/>
      <c r="N64" s="33"/>
      <c r="O64" s="33"/>
      <c r="P64" s="33"/>
      <c r="Q64" s="13"/>
    </row>
    <row r="65" spans="1:17">
      <c r="A65" s="13"/>
      <c r="B65" s="13"/>
      <c r="C65" s="13"/>
      <c r="D65" s="13"/>
      <c r="E65" s="13"/>
      <c r="F65" s="13"/>
      <c r="G65" s="13"/>
      <c r="H65" s="33"/>
      <c r="I65" s="33"/>
      <c r="J65" s="33"/>
      <c r="K65" s="33"/>
      <c r="L65" s="33"/>
      <c r="M65" s="33"/>
      <c r="N65" s="33"/>
      <c r="O65" s="33"/>
      <c r="P65" s="33"/>
      <c r="Q65" s="13"/>
    </row>
    <row r="66" spans="1:17">
      <c r="A66" s="13"/>
      <c r="B66" s="13"/>
      <c r="C66" s="13"/>
      <c r="D66" s="13"/>
      <c r="E66" s="13"/>
      <c r="F66" s="13"/>
      <c r="G66" s="13"/>
      <c r="H66" s="33"/>
      <c r="I66" s="33"/>
      <c r="J66" s="33"/>
      <c r="K66" s="33"/>
      <c r="L66" s="33"/>
      <c r="M66" s="33"/>
      <c r="N66" s="33"/>
      <c r="O66" s="33"/>
      <c r="P66" s="33"/>
      <c r="Q66" s="13"/>
    </row>
    <row r="67" spans="1:17">
      <c r="A67" s="13"/>
      <c r="B67" s="13"/>
      <c r="C67" s="13"/>
      <c r="D67" s="13"/>
      <c r="E67" s="13"/>
      <c r="F67" s="13"/>
      <c r="G67" s="13"/>
      <c r="H67" s="33"/>
      <c r="I67" s="33"/>
      <c r="J67" s="33"/>
      <c r="K67" s="33"/>
      <c r="L67" s="33"/>
      <c r="M67" s="33"/>
      <c r="N67" s="33"/>
      <c r="O67" s="33"/>
      <c r="P67" s="33"/>
      <c r="Q67" s="13"/>
    </row>
    <row r="68" spans="1:17">
      <c r="A68" s="13"/>
      <c r="B68" s="13"/>
      <c r="C68" s="13"/>
      <c r="D68" s="13"/>
      <c r="E68" s="13"/>
      <c r="F68" s="13"/>
      <c r="G68" s="13"/>
      <c r="H68" s="33"/>
      <c r="I68" s="33"/>
      <c r="J68" s="33"/>
      <c r="K68" s="33"/>
      <c r="L68" s="33"/>
      <c r="M68" s="33"/>
      <c r="N68" s="33"/>
      <c r="O68" s="33"/>
      <c r="P68" s="33"/>
      <c r="Q68" s="13"/>
    </row>
    <row r="69" spans="1:17">
      <c r="A69" s="13"/>
      <c r="B69" s="13"/>
      <c r="C69" s="13"/>
      <c r="D69" s="13"/>
      <c r="E69" s="13"/>
      <c r="F69" s="13"/>
      <c r="G69" s="13"/>
      <c r="H69" s="33"/>
      <c r="I69" s="33"/>
      <c r="J69" s="33"/>
      <c r="K69" s="33"/>
      <c r="L69" s="33"/>
      <c r="M69" s="33"/>
      <c r="N69" s="33"/>
      <c r="O69" s="33"/>
      <c r="P69" s="33"/>
      <c r="Q69" s="13"/>
    </row>
    <row r="70" spans="1:17">
      <c r="A70" s="13"/>
      <c r="B70" s="13"/>
      <c r="C70" s="13"/>
      <c r="D70" s="13"/>
      <c r="E70" s="13"/>
      <c r="F70" s="13"/>
      <c r="G70" s="13"/>
      <c r="H70" s="33"/>
      <c r="I70" s="33"/>
      <c r="J70" s="33"/>
      <c r="K70" s="33"/>
      <c r="L70" s="33"/>
      <c r="M70" s="33"/>
      <c r="N70" s="33"/>
      <c r="O70" s="33"/>
      <c r="P70" s="33"/>
      <c r="Q70" s="13"/>
    </row>
    <row r="71" spans="1:17">
      <c r="A71" s="13"/>
      <c r="B71" s="13"/>
      <c r="C71" s="13"/>
      <c r="D71" s="13"/>
      <c r="E71" s="13"/>
      <c r="F71" s="13"/>
      <c r="G71" s="13"/>
      <c r="H71" s="33"/>
      <c r="I71" s="33"/>
      <c r="J71" s="33"/>
      <c r="K71" s="33"/>
      <c r="L71" s="33"/>
      <c r="M71" s="33"/>
      <c r="N71" s="33"/>
      <c r="O71" s="33"/>
      <c r="P71" s="33"/>
      <c r="Q71" s="13"/>
    </row>
    <row r="72" spans="1:17">
      <c r="A72" s="13"/>
      <c r="B72" s="13"/>
      <c r="C72" s="13"/>
      <c r="D72" s="13"/>
      <c r="E72" s="13"/>
      <c r="F72" s="13"/>
      <c r="G72" s="13"/>
      <c r="H72" s="33"/>
      <c r="I72" s="33"/>
      <c r="J72" s="33"/>
      <c r="K72" s="33"/>
      <c r="L72" s="33"/>
      <c r="M72" s="33"/>
      <c r="N72" s="33"/>
      <c r="O72" s="33"/>
      <c r="P72" s="33"/>
      <c r="Q72" s="13"/>
    </row>
    <row r="73" spans="1:17">
      <c r="A73" s="13"/>
      <c r="B73" s="13"/>
      <c r="C73" s="13"/>
      <c r="D73" s="13"/>
      <c r="E73" s="13"/>
      <c r="F73" s="13"/>
      <c r="G73" s="13"/>
      <c r="H73" s="33"/>
      <c r="I73" s="33"/>
      <c r="J73" s="33"/>
      <c r="K73" s="33"/>
      <c r="L73" s="33"/>
      <c r="M73" s="33"/>
      <c r="N73" s="33"/>
      <c r="O73" s="33"/>
      <c r="P73" s="33"/>
      <c r="Q73" s="13"/>
    </row>
    <row r="74" spans="1:17">
      <c r="A74" s="13"/>
      <c r="B74" s="13"/>
      <c r="C74" s="13"/>
      <c r="D74" s="13"/>
      <c r="E74" s="13"/>
      <c r="F74" s="13"/>
      <c r="G74" s="13"/>
      <c r="H74" s="33"/>
      <c r="I74" s="33"/>
      <c r="J74" s="33"/>
      <c r="K74" s="33"/>
      <c r="L74" s="33"/>
      <c r="M74" s="33"/>
      <c r="N74" s="33"/>
      <c r="O74" s="33"/>
      <c r="P74" s="33"/>
      <c r="Q74" s="13"/>
    </row>
    <row r="75" spans="1:17">
      <c r="A75" s="13"/>
      <c r="B75" s="13"/>
      <c r="C75" s="13"/>
      <c r="D75" s="13"/>
      <c r="E75" s="13"/>
      <c r="F75" s="13"/>
      <c r="G75" s="13"/>
      <c r="H75" s="33"/>
      <c r="I75" s="33"/>
      <c r="J75" s="33"/>
      <c r="K75" s="33"/>
      <c r="L75" s="33"/>
      <c r="M75" s="33"/>
      <c r="N75" s="33"/>
      <c r="O75" s="33"/>
      <c r="P75" s="33"/>
      <c r="Q75" s="13"/>
    </row>
    <row r="76" spans="1:17">
      <c r="A76" s="13"/>
      <c r="B76" s="13"/>
      <c r="C76" s="13"/>
      <c r="D76" s="13"/>
      <c r="E76" s="13"/>
      <c r="F76" s="13"/>
      <c r="G76" s="13"/>
      <c r="H76" s="33"/>
      <c r="I76" s="33"/>
      <c r="J76" s="33"/>
      <c r="K76" s="33"/>
      <c r="L76" s="33"/>
      <c r="M76" s="33"/>
      <c r="N76" s="33"/>
      <c r="O76" s="33"/>
      <c r="P76" s="33"/>
      <c r="Q76" s="13"/>
    </row>
    <row r="77" spans="1:17">
      <c r="A77" s="13"/>
      <c r="B77" s="13"/>
      <c r="C77" s="13"/>
      <c r="D77" s="13"/>
      <c r="E77" s="13"/>
      <c r="F77" s="13"/>
      <c r="G77" s="13"/>
      <c r="H77" s="33"/>
      <c r="I77" s="33"/>
      <c r="J77" s="33"/>
      <c r="K77" s="33"/>
      <c r="L77" s="33"/>
      <c r="M77" s="33"/>
      <c r="N77" s="33"/>
      <c r="O77" s="33"/>
      <c r="P77" s="33"/>
      <c r="Q77" s="13"/>
    </row>
    <row r="78" spans="1:17">
      <c r="A78" s="13"/>
      <c r="B78" s="13"/>
      <c r="C78" s="13"/>
      <c r="D78" s="13"/>
      <c r="E78" s="13"/>
      <c r="F78" s="13"/>
      <c r="G78" s="13"/>
      <c r="H78" s="33"/>
      <c r="I78" s="33"/>
      <c r="J78" s="33"/>
      <c r="K78" s="33"/>
      <c r="L78" s="33"/>
      <c r="M78" s="33"/>
      <c r="N78" s="33"/>
      <c r="O78" s="33"/>
      <c r="P78" s="33"/>
      <c r="Q78" s="13"/>
    </row>
    <row r="79" spans="1:17">
      <c r="A79" s="13"/>
      <c r="B79" s="13"/>
      <c r="C79" s="13"/>
      <c r="D79" s="13"/>
      <c r="E79" s="13"/>
      <c r="F79" s="13"/>
      <c r="G79" s="13"/>
      <c r="H79" s="33"/>
      <c r="I79" s="33"/>
      <c r="J79" s="33"/>
      <c r="K79" s="33"/>
      <c r="L79" s="33"/>
      <c r="M79" s="33"/>
      <c r="N79" s="33"/>
      <c r="O79" s="33"/>
      <c r="P79" s="33"/>
      <c r="Q79" s="13"/>
    </row>
    <row r="80" spans="1:17">
      <c r="A80" s="13"/>
      <c r="B80" s="13"/>
      <c r="C80" s="13"/>
      <c r="D80" s="13"/>
      <c r="E80" s="13"/>
      <c r="F80" s="13"/>
      <c r="G80" s="13"/>
      <c r="H80" s="33"/>
      <c r="I80" s="33"/>
      <c r="J80" s="33"/>
      <c r="K80" s="33"/>
      <c r="L80" s="33"/>
      <c r="M80" s="33"/>
      <c r="N80" s="33"/>
      <c r="O80" s="33"/>
      <c r="P80" s="33"/>
      <c r="Q80" s="13"/>
    </row>
    <row r="81" spans="1:17">
      <c r="A81" s="13"/>
      <c r="B81" s="13"/>
      <c r="C81" s="13"/>
      <c r="D81" s="13"/>
      <c r="E81" s="13"/>
      <c r="F81" s="13"/>
      <c r="G81" s="13"/>
      <c r="H81" s="33"/>
      <c r="I81" s="33"/>
      <c r="J81" s="33"/>
      <c r="K81" s="33"/>
      <c r="L81" s="33"/>
      <c r="M81" s="33"/>
      <c r="N81" s="33"/>
      <c r="O81" s="33"/>
      <c r="P81" s="33"/>
      <c r="Q81" s="13"/>
    </row>
    <row r="82" spans="1:17">
      <c r="A82" s="13"/>
      <c r="B82" s="13"/>
      <c r="C82" s="13"/>
      <c r="D82" s="13"/>
      <c r="E82" s="13"/>
      <c r="F82" s="13"/>
      <c r="G82" s="13"/>
      <c r="H82" s="33"/>
      <c r="I82" s="33"/>
      <c r="J82" s="33"/>
      <c r="K82" s="33"/>
      <c r="L82" s="33"/>
      <c r="M82" s="33"/>
      <c r="N82" s="33"/>
      <c r="O82" s="33"/>
      <c r="P82" s="33"/>
      <c r="Q82" s="13"/>
    </row>
    <row r="83" spans="1:17">
      <c r="A83" s="13"/>
      <c r="B83" s="13"/>
      <c r="C83" s="13"/>
      <c r="D83" s="13"/>
      <c r="E83" s="13"/>
      <c r="F83" s="13"/>
      <c r="G83" s="13"/>
      <c r="H83" s="33"/>
      <c r="I83" s="33"/>
      <c r="J83" s="33"/>
      <c r="K83" s="33"/>
      <c r="L83" s="33"/>
      <c r="M83" s="33"/>
      <c r="N83" s="33"/>
      <c r="O83" s="33"/>
      <c r="P83" s="33"/>
      <c r="Q83" s="13"/>
    </row>
    <row r="84" spans="1:17">
      <c r="A84" s="13"/>
      <c r="B84" s="13"/>
      <c r="C84" s="13"/>
      <c r="D84" s="13"/>
      <c r="E84" s="13"/>
      <c r="F84" s="13"/>
      <c r="G84" s="13"/>
      <c r="H84" s="33"/>
      <c r="I84" s="33"/>
      <c r="J84" s="33"/>
      <c r="K84" s="33"/>
      <c r="L84" s="33"/>
      <c r="M84" s="33"/>
      <c r="N84" s="33"/>
      <c r="O84" s="33"/>
      <c r="P84" s="33"/>
      <c r="Q84" s="13"/>
    </row>
    <row r="85" spans="1:17">
      <c r="A85" s="13"/>
      <c r="B85" s="13"/>
      <c r="C85" s="13"/>
      <c r="D85" s="13"/>
      <c r="E85" s="13"/>
      <c r="F85" s="13"/>
      <c r="G85" s="13"/>
      <c r="H85" s="33"/>
      <c r="I85" s="33"/>
      <c r="J85" s="33"/>
      <c r="K85" s="33"/>
      <c r="L85" s="33"/>
      <c r="M85" s="33"/>
      <c r="N85" s="33"/>
      <c r="O85" s="33"/>
      <c r="P85" s="33"/>
      <c r="Q85" s="13"/>
    </row>
    <row r="86" spans="1:17">
      <c r="A86" s="13"/>
      <c r="B86" s="13"/>
      <c r="C86" s="13"/>
      <c r="D86" s="13"/>
      <c r="E86" s="13"/>
      <c r="F86" s="13"/>
      <c r="G86" s="13"/>
      <c r="H86" s="33"/>
      <c r="I86" s="33"/>
      <c r="J86" s="33"/>
      <c r="K86" s="33"/>
      <c r="L86" s="33"/>
      <c r="M86" s="33"/>
      <c r="N86" s="33"/>
      <c r="O86" s="33"/>
      <c r="P86" s="33"/>
      <c r="Q86" s="13"/>
    </row>
    <row r="87" spans="1:17">
      <c r="A87" s="13"/>
      <c r="B87" s="13"/>
      <c r="C87" s="13"/>
      <c r="D87" s="13"/>
      <c r="E87" s="13"/>
      <c r="F87" s="13"/>
      <c r="G87" s="13"/>
      <c r="H87" s="33"/>
      <c r="I87" s="33"/>
      <c r="J87" s="33"/>
      <c r="K87" s="33"/>
      <c r="L87" s="33"/>
      <c r="M87" s="33"/>
      <c r="N87" s="33"/>
      <c r="O87" s="33"/>
      <c r="P87" s="33"/>
      <c r="Q87" s="13"/>
    </row>
    <row r="88" spans="1:17">
      <c r="A88" s="13"/>
      <c r="B88" s="13"/>
      <c r="C88" s="13"/>
      <c r="D88" s="13"/>
      <c r="E88" s="13"/>
      <c r="F88" s="13"/>
      <c r="G88" s="13"/>
      <c r="H88" s="33"/>
      <c r="I88" s="33"/>
      <c r="J88" s="33"/>
      <c r="K88" s="33"/>
      <c r="L88" s="33"/>
      <c r="M88" s="33"/>
      <c r="N88" s="33"/>
      <c r="O88" s="33"/>
      <c r="P88" s="33"/>
      <c r="Q88" s="13"/>
    </row>
    <row r="89" spans="1:17">
      <c r="A89" s="13"/>
      <c r="B89" s="13"/>
      <c r="C89" s="13"/>
      <c r="D89" s="13"/>
      <c r="E89" s="13"/>
      <c r="F89" s="13"/>
      <c r="G89" s="13"/>
      <c r="H89" s="33"/>
      <c r="I89" s="33"/>
      <c r="J89" s="33"/>
      <c r="K89" s="33"/>
      <c r="L89" s="33"/>
      <c r="M89" s="33"/>
      <c r="N89" s="33"/>
      <c r="O89" s="33"/>
      <c r="P89" s="33"/>
      <c r="Q89" s="13"/>
    </row>
    <row r="90" spans="1:17">
      <c r="A90" s="13"/>
      <c r="B90" s="13"/>
      <c r="C90" s="13"/>
      <c r="D90" s="13"/>
      <c r="E90" s="13"/>
      <c r="F90" s="13"/>
      <c r="G90" s="13"/>
      <c r="H90" s="33"/>
      <c r="I90" s="33"/>
      <c r="J90" s="33"/>
      <c r="K90" s="33"/>
      <c r="L90" s="33"/>
      <c r="M90" s="33"/>
      <c r="N90" s="33"/>
      <c r="O90" s="33"/>
      <c r="P90" s="33"/>
      <c r="Q90" s="13"/>
    </row>
    <row r="91" spans="1:17">
      <c r="A91" s="13"/>
      <c r="B91" s="13"/>
      <c r="C91" s="13"/>
      <c r="D91" s="13"/>
      <c r="E91" s="13"/>
      <c r="F91" s="13"/>
      <c r="G91" s="13"/>
      <c r="H91" s="33"/>
      <c r="I91" s="33"/>
      <c r="J91" s="33"/>
      <c r="K91" s="33"/>
      <c r="L91" s="33"/>
      <c r="M91" s="33"/>
      <c r="N91" s="33"/>
      <c r="O91" s="33"/>
      <c r="P91" s="33"/>
      <c r="Q91" s="13"/>
    </row>
    <row r="92" spans="1:17">
      <c r="A92" s="13"/>
      <c r="B92" s="13"/>
      <c r="C92" s="13"/>
      <c r="D92" s="13"/>
      <c r="E92" s="13"/>
      <c r="F92" s="13"/>
      <c r="G92" s="13"/>
      <c r="H92" s="33"/>
      <c r="I92" s="33"/>
      <c r="J92" s="33"/>
      <c r="K92" s="33"/>
      <c r="L92" s="33"/>
      <c r="M92" s="33"/>
      <c r="N92" s="33"/>
      <c r="O92" s="33"/>
      <c r="P92" s="33"/>
      <c r="Q92" s="13"/>
    </row>
    <row r="93" spans="1:17">
      <c r="A93" s="13"/>
      <c r="B93" s="13"/>
      <c r="C93" s="13"/>
      <c r="D93" s="13"/>
      <c r="E93" s="13"/>
      <c r="F93" s="13"/>
      <c r="G93" s="13"/>
      <c r="H93" s="33"/>
      <c r="I93" s="33"/>
      <c r="J93" s="33"/>
      <c r="K93" s="33"/>
      <c r="L93" s="33"/>
      <c r="M93" s="33"/>
      <c r="N93" s="33"/>
      <c r="O93" s="33"/>
      <c r="P93" s="33"/>
      <c r="Q93" s="13"/>
    </row>
    <row r="94" spans="1:17">
      <c r="A94" s="13"/>
      <c r="B94" s="13"/>
      <c r="C94" s="13"/>
      <c r="D94" s="13"/>
      <c r="E94" s="13"/>
      <c r="F94" s="13"/>
      <c r="G94" s="13"/>
      <c r="H94" s="33"/>
      <c r="I94" s="33"/>
      <c r="J94" s="33"/>
      <c r="K94" s="33"/>
      <c r="L94" s="33"/>
      <c r="M94" s="33"/>
      <c r="N94" s="33"/>
      <c r="O94" s="33"/>
      <c r="P94" s="33"/>
      <c r="Q94" s="13"/>
    </row>
    <row r="95" spans="1:17">
      <c r="A95" s="13"/>
      <c r="B95" s="13"/>
      <c r="C95" s="13"/>
      <c r="D95" s="13"/>
      <c r="E95" s="13"/>
      <c r="F95" s="13"/>
      <c r="G95" s="13"/>
      <c r="H95" s="33"/>
      <c r="I95" s="33"/>
      <c r="J95" s="33"/>
      <c r="K95" s="33"/>
      <c r="L95" s="33"/>
      <c r="M95" s="33"/>
      <c r="N95" s="33"/>
      <c r="O95" s="33"/>
      <c r="P95" s="33"/>
      <c r="Q95" s="13"/>
    </row>
    <row r="96" spans="1:17">
      <c r="A96" s="13"/>
      <c r="B96" s="13"/>
      <c r="C96" s="13"/>
      <c r="D96" s="13"/>
      <c r="E96" s="13"/>
      <c r="F96" s="13"/>
      <c r="G96" s="13"/>
      <c r="H96" s="33"/>
      <c r="I96" s="33"/>
      <c r="J96" s="33"/>
      <c r="K96" s="33"/>
      <c r="L96" s="33"/>
      <c r="M96" s="33"/>
      <c r="N96" s="33"/>
      <c r="O96" s="33"/>
      <c r="P96" s="33"/>
      <c r="Q96" s="13"/>
    </row>
    <row r="97" spans="1:17">
      <c r="A97" s="13"/>
      <c r="B97" s="13"/>
      <c r="C97" s="13"/>
      <c r="D97" s="13"/>
      <c r="E97" s="13"/>
      <c r="F97" s="13"/>
      <c r="G97" s="13"/>
      <c r="H97" s="33"/>
      <c r="I97" s="33"/>
      <c r="J97" s="33"/>
      <c r="K97" s="33"/>
      <c r="L97" s="33"/>
      <c r="M97" s="33"/>
      <c r="N97" s="33"/>
      <c r="O97" s="33"/>
      <c r="P97" s="33"/>
      <c r="Q97" s="13"/>
    </row>
    <row r="98" spans="1:17">
      <c r="A98" s="13"/>
      <c r="B98" s="13"/>
      <c r="C98" s="13"/>
      <c r="D98" s="13"/>
      <c r="E98" s="13"/>
      <c r="F98" s="13"/>
      <c r="G98" s="13"/>
      <c r="H98" s="33"/>
      <c r="I98" s="33"/>
      <c r="J98" s="33"/>
      <c r="K98" s="33"/>
      <c r="L98" s="33"/>
      <c r="M98" s="33"/>
      <c r="N98" s="33"/>
      <c r="O98" s="33"/>
      <c r="P98" s="33"/>
      <c r="Q98" s="13"/>
    </row>
    <row r="99" spans="1:17">
      <c r="A99" s="13"/>
      <c r="B99" s="13"/>
      <c r="C99" s="13"/>
      <c r="D99" s="13"/>
      <c r="E99" s="13"/>
      <c r="F99" s="13"/>
      <c r="G99" s="13"/>
      <c r="H99" s="33"/>
      <c r="I99" s="33"/>
      <c r="J99" s="33"/>
      <c r="K99" s="33"/>
      <c r="L99" s="33"/>
      <c r="M99" s="33"/>
      <c r="N99" s="33"/>
      <c r="O99" s="33"/>
      <c r="P99" s="33"/>
      <c r="Q99" s="13"/>
    </row>
    <row r="100" spans="1:17">
      <c r="A100" s="13"/>
      <c r="B100" s="13"/>
      <c r="C100" s="13"/>
      <c r="D100" s="13"/>
      <c r="E100" s="13"/>
      <c r="F100" s="13"/>
      <c r="G100" s="13"/>
      <c r="H100" s="33"/>
      <c r="I100" s="33"/>
      <c r="J100" s="33"/>
      <c r="K100" s="33"/>
      <c r="L100" s="33"/>
      <c r="M100" s="33"/>
      <c r="N100" s="33"/>
      <c r="O100" s="33"/>
      <c r="P100" s="33"/>
      <c r="Q100" s="13"/>
    </row>
    <row r="101" spans="1:17">
      <c r="A101" s="13"/>
      <c r="B101" s="13"/>
      <c r="C101" s="13"/>
      <c r="D101" s="13"/>
      <c r="E101" s="13"/>
      <c r="F101" s="13"/>
      <c r="G101" s="13"/>
      <c r="H101" s="33"/>
      <c r="I101" s="33"/>
      <c r="J101" s="33"/>
      <c r="K101" s="33"/>
      <c r="L101" s="33"/>
      <c r="M101" s="33"/>
      <c r="N101" s="33"/>
      <c r="O101" s="33"/>
      <c r="P101" s="33"/>
      <c r="Q101" s="13"/>
    </row>
    <row r="102" spans="1:17">
      <c r="A102" s="13"/>
      <c r="B102" s="13"/>
      <c r="C102" s="13"/>
      <c r="D102" s="13"/>
      <c r="E102" s="13"/>
      <c r="F102" s="13"/>
      <c r="G102" s="13"/>
      <c r="H102" s="33"/>
      <c r="I102" s="33"/>
      <c r="J102" s="33"/>
      <c r="K102" s="33"/>
      <c r="L102" s="33"/>
      <c r="M102" s="33"/>
      <c r="N102" s="33"/>
      <c r="O102" s="33"/>
      <c r="P102" s="33"/>
      <c r="Q102" s="13"/>
    </row>
    <row r="103" spans="1:17">
      <c r="A103" s="13"/>
      <c r="B103" s="13"/>
      <c r="C103" s="13"/>
      <c r="D103" s="13"/>
      <c r="E103" s="13"/>
      <c r="F103" s="13"/>
      <c r="G103" s="13"/>
      <c r="H103" s="33"/>
      <c r="I103" s="33"/>
      <c r="J103" s="33"/>
      <c r="K103" s="33"/>
      <c r="L103" s="33"/>
      <c r="M103" s="33"/>
      <c r="N103" s="33"/>
      <c r="O103" s="33"/>
      <c r="P103" s="33"/>
      <c r="Q103" s="13"/>
    </row>
    <row r="104" spans="1:17">
      <c r="A104" s="13"/>
      <c r="B104" s="13"/>
      <c r="C104" s="13"/>
      <c r="D104" s="13"/>
      <c r="E104" s="13"/>
      <c r="F104" s="13"/>
      <c r="G104" s="13"/>
      <c r="H104" s="33"/>
      <c r="I104" s="33"/>
      <c r="J104" s="33"/>
      <c r="K104" s="33"/>
      <c r="L104" s="33"/>
      <c r="M104" s="33"/>
      <c r="N104" s="33"/>
      <c r="O104" s="33"/>
      <c r="P104" s="33"/>
      <c r="Q104" s="13"/>
    </row>
    <row r="105" spans="1:17">
      <c r="A105" s="13"/>
      <c r="B105" s="13"/>
      <c r="C105" s="13"/>
      <c r="D105" s="13"/>
      <c r="E105" s="13"/>
      <c r="F105" s="13"/>
      <c r="G105" s="13"/>
      <c r="H105" s="33"/>
      <c r="I105" s="33"/>
      <c r="J105" s="33"/>
      <c r="K105" s="33"/>
      <c r="L105" s="33"/>
      <c r="M105" s="33"/>
      <c r="N105" s="33"/>
      <c r="O105" s="33"/>
      <c r="P105" s="33"/>
      <c r="Q105" s="13"/>
    </row>
    <row r="106" spans="1:17">
      <c r="A106" s="13"/>
      <c r="B106" s="13"/>
      <c r="C106" s="13"/>
      <c r="D106" s="13"/>
      <c r="E106" s="13"/>
      <c r="F106" s="13"/>
      <c r="G106" s="13"/>
      <c r="H106" s="33"/>
      <c r="I106" s="33"/>
      <c r="J106" s="33"/>
      <c r="K106" s="33"/>
      <c r="L106" s="33"/>
      <c r="M106" s="33"/>
      <c r="N106" s="33"/>
      <c r="O106" s="33"/>
      <c r="P106" s="33"/>
      <c r="Q106" s="13"/>
    </row>
    <row r="107" spans="1:17">
      <c r="A107" s="13"/>
      <c r="B107" s="13"/>
      <c r="C107" s="13"/>
      <c r="D107" s="13"/>
      <c r="E107" s="13"/>
      <c r="F107" s="13"/>
      <c r="G107" s="13"/>
      <c r="H107" s="33"/>
      <c r="I107" s="33"/>
      <c r="J107" s="33"/>
      <c r="K107" s="33"/>
      <c r="L107" s="33"/>
      <c r="M107" s="33"/>
      <c r="N107" s="33"/>
      <c r="O107" s="33"/>
      <c r="P107" s="33"/>
      <c r="Q107" s="13"/>
    </row>
    <row r="108" spans="1:17">
      <c r="A108" s="13"/>
      <c r="B108" s="13"/>
      <c r="C108" s="13"/>
      <c r="D108" s="13"/>
      <c r="E108" s="13"/>
      <c r="F108" s="13"/>
      <c r="G108" s="13"/>
      <c r="H108" s="33"/>
      <c r="I108" s="33"/>
      <c r="J108" s="33"/>
      <c r="K108" s="33"/>
      <c r="L108" s="33"/>
      <c r="M108" s="33"/>
      <c r="N108" s="33"/>
      <c r="O108" s="33"/>
      <c r="P108" s="33"/>
      <c r="Q108" s="13"/>
    </row>
    <row r="109" spans="1:17">
      <c r="A109" s="13"/>
      <c r="B109" s="13"/>
      <c r="C109" s="13"/>
      <c r="D109" s="13"/>
      <c r="E109" s="13"/>
      <c r="F109" s="13"/>
      <c r="G109" s="13"/>
      <c r="H109" s="33"/>
      <c r="I109" s="33"/>
      <c r="J109" s="33"/>
      <c r="K109" s="33"/>
      <c r="L109" s="33"/>
      <c r="M109" s="33"/>
      <c r="N109" s="33"/>
      <c r="O109" s="33"/>
      <c r="P109" s="33"/>
      <c r="Q109" s="13"/>
    </row>
    <row r="110" spans="1:17">
      <c r="A110" s="13"/>
      <c r="B110" s="13"/>
      <c r="C110" s="13"/>
      <c r="D110" s="13"/>
      <c r="E110" s="13"/>
      <c r="F110" s="13"/>
      <c r="G110" s="13"/>
      <c r="H110" s="33"/>
      <c r="I110" s="33"/>
      <c r="J110" s="33"/>
      <c r="K110" s="33"/>
      <c r="L110" s="33"/>
      <c r="M110" s="33"/>
      <c r="N110" s="33"/>
      <c r="O110" s="33"/>
      <c r="P110" s="33"/>
      <c r="Q110" s="13"/>
    </row>
    <row r="111" spans="1:17">
      <c r="A111" s="13"/>
      <c r="B111" s="13"/>
      <c r="C111" s="13"/>
      <c r="D111" s="13"/>
      <c r="E111" s="13"/>
      <c r="F111" s="13"/>
      <c r="G111" s="13"/>
      <c r="H111" s="33"/>
      <c r="I111" s="33"/>
      <c r="J111" s="33"/>
      <c r="K111" s="33"/>
      <c r="L111" s="33"/>
      <c r="M111" s="33"/>
      <c r="N111" s="33"/>
      <c r="O111" s="33"/>
      <c r="P111" s="33"/>
      <c r="Q111" s="13"/>
    </row>
    <row r="112" spans="1:17">
      <c r="A112" s="13"/>
      <c r="B112" s="13"/>
      <c r="C112" s="13"/>
      <c r="D112" s="13"/>
      <c r="E112" s="13"/>
      <c r="F112" s="13"/>
      <c r="G112" s="13"/>
      <c r="H112" s="33"/>
      <c r="I112" s="33"/>
      <c r="J112" s="33"/>
      <c r="K112" s="33"/>
      <c r="L112" s="33"/>
      <c r="M112" s="33"/>
      <c r="N112" s="33"/>
      <c r="O112" s="33"/>
      <c r="P112" s="33"/>
      <c r="Q112" s="13"/>
    </row>
    <row r="113" spans="1:17">
      <c r="A113" s="13"/>
      <c r="B113" s="13"/>
      <c r="C113" s="13"/>
      <c r="D113" s="13"/>
      <c r="E113" s="13"/>
      <c r="F113" s="13"/>
      <c r="G113" s="13"/>
      <c r="H113" s="33"/>
      <c r="I113" s="33"/>
      <c r="J113" s="33"/>
      <c r="K113" s="33"/>
      <c r="L113" s="33"/>
      <c r="M113" s="33"/>
      <c r="N113" s="33"/>
      <c r="O113" s="33"/>
      <c r="P113" s="33"/>
      <c r="Q113" s="13"/>
    </row>
    <row r="114" spans="1:17">
      <c r="A114" s="13"/>
      <c r="B114" s="13"/>
      <c r="C114" s="13"/>
      <c r="D114" s="13"/>
      <c r="E114" s="13"/>
      <c r="F114" s="13"/>
      <c r="G114" s="13"/>
      <c r="H114" s="33"/>
      <c r="I114" s="33"/>
      <c r="J114" s="33"/>
      <c r="K114" s="33"/>
      <c r="L114" s="33"/>
      <c r="M114" s="33"/>
      <c r="N114" s="33"/>
      <c r="O114" s="33"/>
      <c r="P114" s="33"/>
      <c r="Q114" s="13"/>
    </row>
    <row r="115" spans="1:17">
      <c r="A115" s="13"/>
      <c r="B115" s="13"/>
      <c r="C115" s="13"/>
      <c r="D115" s="13"/>
      <c r="E115" s="13"/>
      <c r="F115" s="13"/>
      <c r="G115" s="13"/>
      <c r="H115" s="33"/>
      <c r="I115" s="33"/>
      <c r="J115" s="33"/>
      <c r="K115" s="33"/>
      <c r="L115" s="33"/>
      <c r="M115" s="33"/>
      <c r="N115" s="33"/>
      <c r="O115" s="33"/>
      <c r="P115" s="33"/>
      <c r="Q115" s="13"/>
    </row>
    <row r="116" spans="1:17">
      <c r="A116" s="13"/>
      <c r="B116" s="13"/>
      <c r="C116" s="13"/>
      <c r="D116" s="13"/>
      <c r="E116" s="13"/>
      <c r="F116" s="13"/>
      <c r="G116" s="13"/>
      <c r="H116" s="33"/>
      <c r="I116" s="33"/>
      <c r="J116" s="33"/>
      <c r="K116" s="33"/>
      <c r="L116" s="33"/>
      <c r="M116" s="33"/>
      <c r="N116" s="33"/>
      <c r="O116" s="33"/>
      <c r="P116" s="33"/>
      <c r="Q116" s="13"/>
    </row>
    <row r="117" spans="1:17">
      <c r="A117" s="13"/>
      <c r="B117" s="13"/>
      <c r="C117" s="13"/>
      <c r="D117" s="13"/>
      <c r="E117" s="13"/>
      <c r="F117" s="13"/>
      <c r="G117" s="13"/>
      <c r="H117" s="33"/>
      <c r="I117" s="33"/>
      <c r="J117" s="33"/>
      <c r="K117" s="33"/>
      <c r="L117" s="33"/>
      <c r="M117" s="33"/>
      <c r="N117" s="33"/>
      <c r="O117" s="33"/>
      <c r="P117" s="33"/>
      <c r="Q117" s="13"/>
    </row>
    <row r="118" spans="1:17">
      <c r="A118" s="13"/>
      <c r="B118" s="13"/>
      <c r="C118" s="13"/>
      <c r="D118" s="13"/>
      <c r="E118" s="13"/>
      <c r="F118" s="13"/>
      <c r="G118" s="13"/>
      <c r="H118" s="33"/>
      <c r="I118" s="33"/>
      <c r="J118" s="33"/>
      <c r="K118" s="33"/>
      <c r="L118" s="33"/>
      <c r="M118" s="33"/>
      <c r="N118" s="33"/>
      <c r="O118" s="33"/>
      <c r="P118" s="33"/>
      <c r="Q118" s="13"/>
    </row>
    <row r="119" spans="1:17">
      <c r="A119" s="13"/>
      <c r="B119" s="13"/>
      <c r="C119" s="13"/>
      <c r="D119" s="13"/>
      <c r="E119" s="13"/>
      <c r="F119" s="13"/>
      <c r="G119" s="13"/>
      <c r="H119" s="33"/>
      <c r="I119" s="33"/>
      <c r="J119" s="33"/>
      <c r="K119" s="33"/>
      <c r="L119" s="33"/>
      <c r="M119" s="33"/>
      <c r="N119" s="33"/>
      <c r="O119" s="33"/>
      <c r="P119" s="33"/>
      <c r="Q119" s="13"/>
    </row>
    <row r="120" spans="1:17">
      <c r="A120" s="13"/>
      <c r="B120" s="13"/>
      <c r="C120" s="13"/>
      <c r="D120" s="13"/>
      <c r="E120" s="13"/>
      <c r="F120" s="13"/>
      <c r="G120" s="13"/>
      <c r="H120" s="33"/>
      <c r="I120" s="33"/>
      <c r="J120" s="33"/>
      <c r="K120" s="33"/>
      <c r="L120" s="33"/>
      <c r="M120" s="33"/>
      <c r="N120" s="33"/>
      <c r="O120" s="33"/>
      <c r="P120" s="33"/>
      <c r="Q120" s="13"/>
    </row>
    <row r="121" spans="1:17">
      <c r="A121" s="13"/>
      <c r="B121" s="13"/>
      <c r="C121" s="13"/>
      <c r="D121" s="13"/>
      <c r="E121" s="13"/>
      <c r="F121" s="13"/>
      <c r="G121" s="13"/>
      <c r="H121" s="33"/>
      <c r="I121" s="33"/>
      <c r="J121" s="33"/>
      <c r="K121" s="33"/>
      <c r="L121" s="33"/>
      <c r="M121" s="33"/>
      <c r="N121" s="33"/>
      <c r="O121" s="33"/>
      <c r="P121" s="33"/>
      <c r="Q121" s="13"/>
    </row>
    <row r="122" spans="1:17">
      <c r="A122" s="13"/>
      <c r="B122" s="13"/>
      <c r="C122" s="13"/>
      <c r="D122" s="13"/>
      <c r="E122" s="13"/>
      <c r="F122" s="13"/>
      <c r="G122" s="13"/>
      <c r="H122" s="33"/>
      <c r="I122" s="33"/>
      <c r="J122" s="33"/>
      <c r="K122" s="33"/>
      <c r="L122" s="33"/>
      <c r="M122" s="33"/>
      <c r="N122" s="33"/>
      <c r="O122" s="33"/>
      <c r="P122" s="33"/>
      <c r="Q122" s="13"/>
    </row>
    <row r="123" spans="1:17">
      <c r="A123" s="13"/>
      <c r="B123" s="13"/>
      <c r="C123" s="13"/>
      <c r="D123" s="13"/>
      <c r="E123" s="13"/>
      <c r="F123" s="13"/>
      <c r="G123" s="13"/>
      <c r="H123" s="33"/>
      <c r="I123" s="33"/>
      <c r="J123" s="33"/>
      <c r="K123" s="33"/>
      <c r="L123" s="33"/>
      <c r="M123" s="33"/>
      <c r="N123" s="33"/>
      <c r="O123" s="33"/>
      <c r="P123" s="33"/>
      <c r="Q123" s="13"/>
    </row>
    <row r="124" spans="1:17">
      <c r="A124" s="13"/>
      <c r="B124" s="13"/>
      <c r="C124" s="13"/>
      <c r="D124" s="13"/>
      <c r="E124" s="13"/>
      <c r="F124" s="13"/>
      <c r="G124" s="13"/>
      <c r="H124" s="33"/>
      <c r="I124" s="33"/>
      <c r="J124" s="33"/>
      <c r="K124" s="33"/>
      <c r="L124" s="33"/>
      <c r="M124" s="33"/>
      <c r="N124" s="33"/>
      <c r="O124" s="33"/>
      <c r="P124" s="33"/>
      <c r="Q124" s="13"/>
    </row>
    <row r="125" spans="1:17">
      <c r="A125" s="13"/>
      <c r="B125" s="13"/>
      <c r="C125" s="13"/>
      <c r="D125" s="13"/>
      <c r="E125" s="13"/>
      <c r="F125" s="13"/>
      <c r="G125" s="13"/>
      <c r="H125" s="33"/>
      <c r="I125" s="33"/>
      <c r="J125" s="33"/>
      <c r="K125" s="33"/>
      <c r="L125" s="33"/>
      <c r="M125" s="33"/>
      <c r="N125" s="33"/>
      <c r="O125" s="33"/>
      <c r="P125" s="33"/>
      <c r="Q125" s="13"/>
    </row>
    <row r="126" spans="1:17">
      <c r="A126" s="13"/>
      <c r="B126" s="13"/>
      <c r="C126" s="13"/>
      <c r="D126" s="13"/>
      <c r="E126" s="13"/>
      <c r="F126" s="13"/>
      <c r="G126" s="13"/>
      <c r="H126" s="33"/>
      <c r="I126" s="33"/>
      <c r="J126" s="33"/>
      <c r="K126" s="33"/>
      <c r="L126" s="33"/>
      <c r="M126" s="33"/>
      <c r="N126" s="33"/>
      <c r="O126" s="33"/>
      <c r="P126" s="33"/>
      <c r="Q126" s="13"/>
    </row>
    <row r="127" spans="1:17">
      <c r="A127" s="13"/>
      <c r="B127" s="13"/>
      <c r="C127" s="13"/>
      <c r="D127" s="13"/>
      <c r="E127" s="13"/>
      <c r="F127" s="13"/>
      <c r="G127" s="13"/>
      <c r="H127" s="33"/>
      <c r="I127" s="33"/>
      <c r="J127" s="33"/>
      <c r="K127" s="33"/>
      <c r="L127" s="33"/>
      <c r="M127" s="33"/>
      <c r="N127" s="33"/>
      <c r="O127" s="33"/>
      <c r="P127" s="33"/>
      <c r="Q127" s="13"/>
    </row>
    <row r="128" spans="1:17">
      <c r="A128" s="13"/>
      <c r="B128" s="13"/>
      <c r="C128" s="13"/>
      <c r="D128" s="13"/>
      <c r="E128" s="13"/>
      <c r="F128" s="13"/>
      <c r="G128" s="13"/>
      <c r="H128" s="33"/>
      <c r="I128" s="33"/>
      <c r="J128" s="33"/>
      <c r="K128" s="33"/>
      <c r="L128" s="33"/>
      <c r="M128" s="33"/>
      <c r="N128" s="33"/>
      <c r="O128" s="33"/>
      <c r="P128" s="33"/>
      <c r="Q128" s="13"/>
    </row>
    <row r="129" spans="1:17">
      <c r="A129" s="13"/>
      <c r="B129" s="13"/>
      <c r="C129" s="13"/>
      <c r="D129" s="13"/>
      <c r="E129" s="13"/>
      <c r="F129" s="13"/>
      <c r="G129" s="13"/>
      <c r="H129" s="33"/>
      <c r="I129" s="33"/>
      <c r="J129" s="33"/>
      <c r="K129" s="33"/>
      <c r="L129" s="33"/>
      <c r="M129" s="33"/>
      <c r="N129" s="33"/>
      <c r="O129" s="33"/>
      <c r="P129" s="33"/>
      <c r="Q129" s="13"/>
    </row>
    <row r="130" spans="1:17">
      <c r="A130" s="13"/>
      <c r="B130" s="13"/>
      <c r="C130" s="13"/>
      <c r="D130" s="13"/>
      <c r="E130" s="13"/>
      <c r="F130" s="13"/>
      <c r="G130" s="13"/>
      <c r="H130" s="33"/>
      <c r="I130" s="33"/>
      <c r="J130" s="33"/>
      <c r="K130" s="33"/>
      <c r="L130" s="33"/>
      <c r="M130" s="33"/>
      <c r="N130" s="33"/>
      <c r="O130" s="33"/>
      <c r="P130" s="33"/>
      <c r="Q130" s="13"/>
    </row>
    <row r="131" spans="1:17">
      <c r="A131" s="13"/>
      <c r="B131" s="13"/>
      <c r="C131" s="13"/>
      <c r="D131" s="13"/>
      <c r="E131" s="13"/>
      <c r="F131" s="13"/>
      <c r="G131" s="13"/>
      <c r="H131" s="33"/>
      <c r="I131" s="33"/>
      <c r="J131" s="33"/>
      <c r="K131" s="33"/>
      <c r="L131" s="33"/>
      <c r="M131" s="33"/>
      <c r="N131" s="33"/>
      <c r="O131" s="33"/>
      <c r="P131" s="33"/>
      <c r="Q131" s="13"/>
    </row>
    <row r="132" spans="1:17">
      <c r="A132" s="13"/>
      <c r="B132" s="13"/>
      <c r="C132" s="13"/>
      <c r="D132" s="13"/>
      <c r="E132" s="13"/>
      <c r="F132" s="13"/>
      <c r="G132" s="13"/>
      <c r="H132" s="33"/>
      <c r="I132" s="33"/>
      <c r="J132" s="33"/>
      <c r="K132" s="33"/>
      <c r="L132" s="33"/>
      <c r="M132" s="33"/>
      <c r="N132" s="33"/>
      <c r="O132" s="33"/>
      <c r="P132" s="33"/>
      <c r="Q132" s="13"/>
    </row>
    <row r="133" spans="1:17">
      <c r="A133" s="13"/>
      <c r="B133" s="13"/>
      <c r="C133" s="13"/>
      <c r="D133" s="13"/>
      <c r="E133" s="13"/>
      <c r="F133" s="13"/>
      <c r="G133" s="13"/>
      <c r="H133" s="33"/>
      <c r="I133" s="33"/>
      <c r="J133" s="33"/>
      <c r="K133" s="33"/>
      <c r="L133" s="33"/>
      <c r="M133" s="33"/>
      <c r="N133" s="33"/>
      <c r="O133" s="33"/>
      <c r="P133" s="33"/>
      <c r="Q133" s="13"/>
    </row>
    <row r="134" spans="1:17">
      <c r="A134" s="13"/>
      <c r="B134" s="13"/>
      <c r="C134" s="13"/>
      <c r="D134" s="13"/>
      <c r="E134" s="13"/>
      <c r="F134" s="13"/>
      <c r="G134" s="13"/>
      <c r="H134" s="33"/>
      <c r="I134" s="33"/>
      <c r="J134" s="33"/>
      <c r="K134" s="33"/>
      <c r="L134" s="33"/>
      <c r="M134" s="33"/>
      <c r="N134" s="33"/>
      <c r="O134" s="33"/>
      <c r="P134" s="33"/>
      <c r="Q134" s="13"/>
    </row>
    <row r="135" spans="1:17">
      <c r="A135" s="13"/>
      <c r="B135" s="13"/>
      <c r="C135" s="13"/>
      <c r="D135" s="13"/>
      <c r="E135" s="13"/>
      <c r="F135" s="13"/>
      <c r="G135" s="13"/>
      <c r="H135" s="33"/>
      <c r="I135" s="33"/>
      <c r="J135" s="33"/>
      <c r="K135" s="33"/>
      <c r="L135" s="33"/>
      <c r="M135" s="33"/>
      <c r="N135" s="33"/>
      <c r="O135" s="33"/>
      <c r="P135" s="33"/>
      <c r="Q135" s="13"/>
    </row>
    <row r="136" spans="1:17">
      <c r="A136" s="13"/>
      <c r="B136" s="13"/>
      <c r="C136" s="13"/>
      <c r="D136" s="13"/>
      <c r="E136" s="13"/>
      <c r="F136" s="13"/>
      <c r="G136" s="13"/>
      <c r="H136" s="33"/>
      <c r="I136" s="33"/>
      <c r="J136" s="33"/>
      <c r="K136" s="33"/>
      <c r="L136" s="33"/>
      <c r="M136" s="33"/>
      <c r="N136" s="33"/>
      <c r="O136" s="33"/>
      <c r="P136" s="33"/>
      <c r="Q136" s="13"/>
    </row>
    <row r="137" spans="1:17">
      <c r="A137" s="13"/>
      <c r="B137" s="13"/>
      <c r="C137" s="13"/>
      <c r="D137" s="13"/>
      <c r="E137" s="13"/>
      <c r="F137" s="13"/>
      <c r="G137" s="13"/>
      <c r="H137" s="33"/>
      <c r="I137" s="33"/>
      <c r="J137" s="33"/>
      <c r="K137" s="33"/>
      <c r="L137" s="33"/>
      <c r="M137" s="33"/>
      <c r="N137" s="33"/>
      <c r="O137" s="33"/>
      <c r="P137" s="33"/>
      <c r="Q137" s="13"/>
    </row>
    <row r="138" spans="1:17">
      <c r="A138" s="13"/>
      <c r="B138" s="13"/>
      <c r="C138" s="13"/>
      <c r="D138" s="13"/>
      <c r="E138" s="13"/>
      <c r="F138" s="13"/>
      <c r="G138" s="13"/>
      <c r="H138" s="33"/>
      <c r="I138" s="33"/>
      <c r="J138" s="33"/>
      <c r="K138" s="33"/>
      <c r="L138" s="33"/>
      <c r="M138" s="33"/>
      <c r="N138" s="33"/>
      <c r="O138" s="33"/>
      <c r="P138" s="33"/>
      <c r="Q138" s="13"/>
    </row>
    <row r="139" spans="1:17">
      <c r="A139" s="13"/>
      <c r="B139" s="13"/>
      <c r="C139" s="13"/>
      <c r="D139" s="13"/>
      <c r="E139" s="13"/>
      <c r="F139" s="13"/>
      <c r="G139" s="13"/>
      <c r="H139" s="33"/>
      <c r="I139" s="33"/>
      <c r="J139" s="33"/>
      <c r="K139" s="33"/>
      <c r="L139" s="33"/>
      <c r="M139" s="33"/>
      <c r="N139" s="33"/>
      <c r="O139" s="33"/>
      <c r="P139" s="33"/>
      <c r="Q139" s="13"/>
    </row>
    <row r="140" spans="1:17">
      <c r="A140" s="13"/>
      <c r="B140" s="13"/>
      <c r="C140" s="13"/>
      <c r="D140" s="13"/>
      <c r="E140" s="13"/>
      <c r="F140" s="13"/>
      <c r="G140" s="13"/>
      <c r="H140" s="33"/>
      <c r="I140" s="33"/>
      <c r="J140" s="33"/>
      <c r="K140" s="33"/>
      <c r="L140" s="33"/>
      <c r="M140" s="33"/>
      <c r="N140" s="33"/>
      <c r="O140" s="33"/>
      <c r="P140" s="33"/>
      <c r="Q140" s="13"/>
    </row>
    <row r="141" spans="1:17">
      <c r="A141" s="13"/>
      <c r="B141" s="13"/>
      <c r="C141" s="13"/>
      <c r="D141" s="13"/>
      <c r="E141" s="13"/>
      <c r="F141" s="13"/>
      <c r="G141" s="13"/>
      <c r="H141" s="33"/>
      <c r="I141" s="33"/>
      <c r="J141" s="33"/>
      <c r="K141" s="33"/>
      <c r="L141" s="33"/>
      <c r="M141" s="33"/>
      <c r="N141" s="33"/>
      <c r="O141" s="33"/>
      <c r="P141" s="33"/>
      <c r="Q141" s="13"/>
    </row>
    <row r="142" spans="1:17">
      <c r="A142" s="13"/>
      <c r="B142" s="13"/>
      <c r="C142" s="13"/>
      <c r="D142" s="13"/>
      <c r="E142" s="13"/>
      <c r="F142" s="13"/>
      <c r="G142" s="13"/>
      <c r="H142" s="33"/>
      <c r="I142" s="33"/>
      <c r="J142" s="33"/>
      <c r="K142" s="33"/>
      <c r="L142" s="33"/>
      <c r="M142" s="33"/>
      <c r="N142" s="33"/>
      <c r="O142" s="33"/>
      <c r="P142" s="33"/>
      <c r="Q142" s="13"/>
    </row>
    <row r="143" spans="1:17">
      <c r="A143" s="13"/>
      <c r="B143" s="13"/>
      <c r="C143" s="13"/>
      <c r="D143" s="13"/>
      <c r="E143" s="13"/>
      <c r="F143" s="13"/>
      <c r="G143" s="13"/>
      <c r="H143" s="33"/>
      <c r="I143" s="33"/>
      <c r="J143" s="33"/>
      <c r="K143" s="33"/>
      <c r="L143" s="33"/>
      <c r="M143" s="33"/>
      <c r="N143" s="33"/>
      <c r="O143" s="33"/>
      <c r="P143" s="33"/>
      <c r="Q143" s="13"/>
    </row>
    <row r="144" spans="1:17">
      <c r="A144" s="13"/>
      <c r="B144" s="13"/>
      <c r="C144" s="13"/>
      <c r="D144" s="13"/>
      <c r="E144" s="13"/>
      <c r="F144" s="13"/>
      <c r="G144" s="13"/>
      <c r="H144" s="33"/>
      <c r="I144" s="33"/>
      <c r="J144" s="33"/>
      <c r="K144" s="33"/>
      <c r="L144" s="33"/>
      <c r="M144" s="33"/>
      <c r="N144" s="33"/>
      <c r="O144" s="33"/>
      <c r="P144" s="33"/>
      <c r="Q144" s="13"/>
    </row>
    <row r="145" spans="1:17">
      <c r="A145" s="13"/>
      <c r="B145" s="13"/>
      <c r="C145" s="13"/>
      <c r="D145" s="13"/>
      <c r="E145" s="13"/>
      <c r="F145" s="13"/>
      <c r="G145" s="13"/>
      <c r="H145" s="33"/>
      <c r="I145" s="33"/>
      <c r="J145" s="33"/>
      <c r="K145" s="33"/>
      <c r="L145" s="33"/>
      <c r="M145" s="33"/>
      <c r="N145" s="33"/>
      <c r="O145" s="33"/>
      <c r="P145" s="33"/>
      <c r="Q145" s="13"/>
    </row>
    <row r="146" spans="1:17">
      <c r="A146" s="13"/>
      <c r="B146" s="13"/>
      <c r="C146" s="13"/>
      <c r="D146" s="13"/>
      <c r="E146" s="13"/>
      <c r="F146" s="13"/>
      <c r="G146" s="13"/>
      <c r="H146" s="33"/>
      <c r="I146" s="33"/>
      <c r="J146" s="33"/>
      <c r="K146" s="33"/>
      <c r="L146" s="33"/>
      <c r="M146" s="33"/>
      <c r="N146" s="33"/>
      <c r="O146" s="33"/>
      <c r="P146" s="33"/>
      <c r="Q146" s="13"/>
    </row>
    <row r="147" spans="1:17">
      <c r="A147" s="13"/>
      <c r="B147" s="13"/>
      <c r="C147" s="13"/>
      <c r="D147" s="13"/>
      <c r="E147" s="13"/>
      <c r="F147" s="13"/>
      <c r="G147" s="13"/>
      <c r="H147" s="33"/>
      <c r="I147" s="33"/>
      <c r="J147" s="33"/>
      <c r="K147" s="33"/>
      <c r="L147" s="33"/>
      <c r="M147" s="33"/>
      <c r="N147" s="33"/>
      <c r="O147" s="33"/>
      <c r="P147" s="33"/>
      <c r="Q147" s="13"/>
    </row>
    <row r="148" spans="1:17">
      <c r="A148" s="13"/>
      <c r="B148" s="13"/>
      <c r="C148" s="13"/>
      <c r="D148" s="13"/>
      <c r="E148" s="13"/>
      <c r="F148" s="13"/>
      <c r="G148" s="13"/>
      <c r="H148" s="33"/>
      <c r="I148" s="33"/>
      <c r="J148" s="33"/>
      <c r="K148" s="33"/>
      <c r="L148" s="33"/>
      <c r="M148" s="33"/>
      <c r="N148" s="33"/>
      <c r="O148" s="33"/>
      <c r="P148" s="33"/>
      <c r="Q148" s="13"/>
    </row>
    <row r="149" spans="1:17">
      <c r="A149" s="13"/>
      <c r="B149" s="13"/>
      <c r="C149" s="13"/>
      <c r="D149" s="13"/>
      <c r="E149" s="13"/>
      <c r="F149" s="13"/>
      <c r="G149" s="13"/>
      <c r="H149" s="33"/>
      <c r="I149" s="33"/>
      <c r="J149" s="33"/>
      <c r="K149" s="33"/>
      <c r="L149" s="33"/>
      <c r="M149" s="33"/>
      <c r="N149" s="33"/>
      <c r="O149" s="33"/>
      <c r="P149" s="33"/>
      <c r="Q149" s="13"/>
    </row>
    <row r="150" spans="1:17">
      <c r="A150" s="13"/>
      <c r="B150" s="13"/>
      <c r="C150" s="13"/>
      <c r="D150" s="13"/>
      <c r="E150" s="13"/>
      <c r="F150" s="13"/>
      <c r="G150" s="13"/>
      <c r="H150" s="33"/>
      <c r="I150" s="33"/>
      <c r="J150" s="33"/>
      <c r="K150" s="33"/>
      <c r="L150" s="33"/>
      <c r="M150" s="33"/>
      <c r="N150" s="33"/>
      <c r="O150" s="33"/>
      <c r="P150" s="33"/>
      <c r="Q150" s="13"/>
    </row>
    <row r="151" spans="1:17">
      <c r="A151" s="13"/>
      <c r="B151" s="13"/>
      <c r="C151" s="13"/>
      <c r="D151" s="13"/>
      <c r="E151" s="13"/>
      <c r="F151" s="13"/>
      <c r="G151" s="13"/>
      <c r="H151" s="33"/>
      <c r="I151" s="33"/>
      <c r="J151" s="33"/>
      <c r="K151" s="33"/>
      <c r="L151" s="33"/>
      <c r="M151" s="33"/>
      <c r="N151" s="33"/>
      <c r="O151" s="33"/>
      <c r="P151" s="33"/>
      <c r="Q151" s="13"/>
    </row>
    <row r="152" spans="1:17">
      <c r="A152" s="13"/>
      <c r="B152" s="13"/>
      <c r="C152" s="13"/>
      <c r="D152" s="13"/>
      <c r="E152" s="13"/>
      <c r="F152" s="13"/>
      <c r="G152" s="13"/>
      <c r="H152" s="33"/>
      <c r="I152" s="33"/>
      <c r="J152" s="33"/>
      <c r="K152" s="33"/>
      <c r="L152" s="33"/>
      <c r="M152" s="33"/>
      <c r="N152" s="33"/>
      <c r="O152" s="33"/>
      <c r="P152" s="33"/>
      <c r="Q152" s="13"/>
    </row>
    <row r="153" spans="1:17">
      <c r="A153" s="13"/>
      <c r="B153" s="13"/>
      <c r="C153" s="13"/>
      <c r="D153" s="13"/>
      <c r="E153" s="13"/>
      <c r="F153" s="13"/>
      <c r="G153" s="13"/>
      <c r="H153" s="33"/>
      <c r="I153" s="33"/>
      <c r="J153" s="33"/>
      <c r="K153" s="33"/>
      <c r="L153" s="33"/>
      <c r="M153" s="33"/>
      <c r="N153" s="33"/>
      <c r="O153" s="33"/>
      <c r="P153" s="33"/>
      <c r="Q153" s="13"/>
    </row>
    <row r="154" spans="1:17">
      <c r="A154" s="13"/>
      <c r="B154" s="13"/>
      <c r="C154" s="13"/>
      <c r="D154" s="13"/>
      <c r="E154" s="13"/>
      <c r="F154" s="13"/>
      <c r="G154" s="13"/>
      <c r="H154" s="33"/>
      <c r="I154" s="33"/>
      <c r="J154" s="33"/>
      <c r="K154" s="33"/>
      <c r="L154" s="33"/>
      <c r="M154" s="33"/>
      <c r="N154" s="33"/>
      <c r="O154" s="33"/>
      <c r="P154" s="33"/>
      <c r="Q154" s="13"/>
    </row>
    <row r="155" spans="1:17">
      <c r="A155" s="13"/>
      <c r="B155" s="13"/>
      <c r="C155" s="13"/>
      <c r="D155" s="13"/>
      <c r="E155" s="13"/>
      <c r="F155" s="13"/>
      <c r="G155" s="13"/>
      <c r="H155" s="33"/>
      <c r="I155" s="33"/>
      <c r="J155" s="33"/>
      <c r="K155" s="33"/>
      <c r="L155" s="33"/>
      <c r="M155" s="33"/>
      <c r="N155" s="33"/>
      <c r="O155" s="33"/>
      <c r="P155" s="33"/>
      <c r="Q155" s="13"/>
    </row>
    <row r="156" spans="1:17">
      <c r="A156" s="13"/>
      <c r="B156" s="13"/>
      <c r="C156" s="13"/>
      <c r="D156" s="13"/>
      <c r="E156" s="13"/>
      <c r="F156" s="13"/>
      <c r="G156" s="13"/>
      <c r="H156" s="33"/>
      <c r="I156" s="33"/>
      <c r="J156" s="33"/>
      <c r="K156" s="33"/>
      <c r="L156" s="33"/>
      <c r="M156" s="33"/>
      <c r="N156" s="33"/>
      <c r="O156" s="33"/>
      <c r="P156" s="33"/>
      <c r="Q156" s="13"/>
    </row>
    <row r="157" spans="1:17">
      <c r="A157" s="13"/>
      <c r="B157" s="13"/>
      <c r="C157" s="13"/>
      <c r="D157" s="13"/>
      <c r="E157" s="13"/>
      <c r="F157" s="13"/>
      <c r="G157" s="13"/>
      <c r="H157" s="33"/>
      <c r="I157" s="33"/>
      <c r="J157" s="33"/>
      <c r="K157" s="33"/>
      <c r="L157" s="33"/>
      <c r="M157" s="33"/>
      <c r="N157" s="33"/>
      <c r="O157" s="33"/>
      <c r="P157" s="33"/>
      <c r="Q157" s="13"/>
    </row>
    <row r="158" spans="1:17">
      <c r="A158" s="13"/>
      <c r="B158" s="13"/>
      <c r="C158" s="13"/>
      <c r="D158" s="13"/>
      <c r="E158" s="13"/>
      <c r="F158" s="13"/>
      <c r="G158" s="13"/>
      <c r="H158" s="33"/>
      <c r="I158" s="33"/>
      <c r="J158" s="33"/>
      <c r="K158" s="33"/>
      <c r="L158" s="33"/>
      <c r="M158" s="33"/>
      <c r="N158" s="33"/>
      <c r="O158" s="33"/>
      <c r="P158" s="33"/>
      <c r="Q158" s="13"/>
    </row>
    <row r="159" spans="1:17">
      <c r="A159" s="13"/>
      <c r="B159" s="13"/>
      <c r="C159" s="13"/>
      <c r="D159" s="13"/>
      <c r="E159" s="13"/>
      <c r="F159" s="13"/>
      <c r="G159" s="13"/>
      <c r="H159" s="33"/>
      <c r="I159" s="33"/>
      <c r="J159" s="33"/>
      <c r="K159" s="33"/>
      <c r="L159" s="33"/>
      <c r="M159" s="33"/>
      <c r="N159" s="33"/>
      <c r="O159" s="33"/>
      <c r="P159" s="33"/>
      <c r="Q159" s="13"/>
    </row>
    <row r="160" spans="1:17">
      <c r="A160" s="13"/>
      <c r="B160" s="13"/>
      <c r="C160" s="13"/>
      <c r="D160" s="13"/>
      <c r="E160" s="13"/>
      <c r="F160" s="13"/>
      <c r="G160" s="13"/>
      <c r="H160" s="33"/>
      <c r="I160" s="33"/>
      <c r="J160" s="33"/>
      <c r="K160" s="33"/>
      <c r="L160" s="33"/>
      <c r="M160" s="33"/>
      <c r="N160" s="33"/>
      <c r="O160" s="33"/>
      <c r="P160" s="33"/>
      <c r="Q160" s="13"/>
    </row>
    <row r="161" spans="1:17">
      <c r="A161" s="13"/>
      <c r="B161" s="13"/>
      <c r="C161" s="13"/>
      <c r="D161" s="13"/>
      <c r="E161" s="13"/>
      <c r="F161" s="13"/>
      <c r="G161" s="13"/>
      <c r="H161" s="33"/>
      <c r="I161" s="33"/>
      <c r="J161" s="33"/>
      <c r="K161" s="33"/>
      <c r="L161" s="33"/>
      <c r="M161" s="33"/>
      <c r="N161" s="33"/>
      <c r="O161" s="33"/>
      <c r="P161" s="33"/>
      <c r="Q161" s="13"/>
    </row>
    <row r="162" spans="1:17">
      <c r="A162" s="13"/>
      <c r="B162" s="13"/>
      <c r="C162" s="13"/>
      <c r="D162" s="13"/>
      <c r="E162" s="13"/>
      <c r="F162" s="13"/>
      <c r="G162" s="13"/>
      <c r="H162" s="33"/>
      <c r="I162" s="33"/>
      <c r="J162" s="33"/>
      <c r="K162" s="33"/>
      <c r="L162" s="33"/>
      <c r="M162" s="33"/>
      <c r="N162" s="33"/>
      <c r="O162" s="33"/>
      <c r="P162" s="33"/>
      <c r="Q162" s="13"/>
    </row>
    <row r="163" spans="1:17">
      <c r="A163" s="13"/>
      <c r="B163" s="13"/>
      <c r="C163" s="13"/>
      <c r="D163" s="13"/>
      <c r="E163" s="13"/>
      <c r="F163" s="13"/>
      <c r="G163" s="13"/>
      <c r="H163" s="33"/>
      <c r="I163" s="33"/>
      <c r="J163" s="33"/>
      <c r="K163" s="33"/>
      <c r="L163" s="33"/>
      <c r="M163" s="33"/>
      <c r="N163" s="33"/>
      <c r="O163" s="33"/>
      <c r="P163" s="33"/>
      <c r="Q163" s="13"/>
    </row>
    <row r="164" spans="1:17">
      <c r="A164" s="13"/>
      <c r="B164" s="13"/>
      <c r="C164" s="13"/>
      <c r="D164" s="13"/>
      <c r="E164" s="13"/>
      <c r="F164" s="13"/>
      <c r="G164" s="13"/>
      <c r="H164" s="33"/>
      <c r="I164" s="33"/>
      <c r="J164" s="33"/>
      <c r="K164" s="33"/>
      <c r="L164" s="33"/>
      <c r="M164" s="33"/>
      <c r="N164" s="33"/>
      <c r="O164" s="33"/>
      <c r="P164" s="33"/>
      <c r="Q164" s="13"/>
    </row>
    <row r="165" spans="1:17">
      <c r="A165" s="13"/>
      <c r="B165" s="13"/>
      <c r="C165" s="13"/>
      <c r="D165" s="13"/>
      <c r="E165" s="13"/>
      <c r="F165" s="13"/>
      <c r="G165" s="13"/>
      <c r="H165" s="33"/>
      <c r="I165" s="33"/>
      <c r="J165" s="33"/>
      <c r="K165" s="33"/>
      <c r="L165" s="33"/>
      <c r="M165" s="33"/>
      <c r="N165" s="33"/>
      <c r="O165" s="33"/>
      <c r="P165" s="33"/>
      <c r="Q165" s="13"/>
    </row>
    <row r="166" spans="1:17">
      <c r="A166" s="13"/>
      <c r="B166" s="13"/>
      <c r="C166" s="13"/>
      <c r="D166" s="13"/>
      <c r="E166" s="13"/>
      <c r="F166" s="13"/>
      <c r="G166" s="13"/>
      <c r="H166" s="33"/>
      <c r="I166" s="33"/>
      <c r="J166" s="33"/>
      <c r="K166" s="33"/>
      <c r="L166" s="33"/>
      <c r="M166" s="33"/>
      <c r="N166" s="33"/>
      <c r="O166" s="33"/>
      <c r="P166" s="33"/>
      <c r="Q166" s="13"/>
    </row>
    <row r="167" spans="1:17">
      <c r="A167" s="13"/>
      <c r="B167" s="13"/>
      <c r="C167" s="13"/>
      <c r="D167" s="13"/>
      <c r="E167" s="13"/>
      <c r="F167" s="13"/>
      <c r="G167" s="13"/>
      <c r="H167" s="33"/>
      <c r="I167" s="33"/>
      <c r="J167" s="33"/>
      <c r="K167" s="33"/>
      <c r="L167" s="33"/>
      <c r="M167" s="33"/>
      <c r="N167" s="33"/>
      <c r="O167" s="33"/>
      <c r="P167" s="33"/>
      <c r="Q167" s="13"/>
    </row>
    <row r="168" spans="1:17">
      <c r="A168" s="13"/>
      <c r="B168" s="13"/>
      <c r="C168" s="13"/>
      <c r="D168" s="13"/>
      <c r="E168" s="13"/>
      <c r="F168" s="13"/>
      <c r="G168" s="13"/>
      <c r="H168" s="33"/>
      <c r="I168" s="33"/>
      <c r="J168" s="33"/>
      <c r="K168" s="33"/>
      <c r="L168" s="33"/>
      <c r="M168" s="33"/>
      <c r="N168" s="33"/>
      <c r="O168" s="33"/>
      <c r="P168" s="33"/>
      <c r="Q168" s="13"/>
    </row>
    <row r="169" spans="1:17">
      <c r="A169" s="13"/>
      <c r="B169" s="13"/>
      <c r="C169" s="13"/>
      <c r="D169" s="13"/>
      <c r="E169" s="13"/>
      <c r="F169" s="13"/>
      <c r="G169" s="13"/>
      <c r="H169" s="33"/>
      <c r="I169" s="33"/>
      <c r="J169" s="33"/>
      <c r="K169" s="33"/>
      <c r="L169" s="33"/>
      <c r="M169" s="33"/>
      <c r="N169" s="33"/>
      <c r="O169" s="33"/>
      <c r="P169" s="33"/>
      <c r="Q169" s="13"/>
    </row>
    <row r="170" spans="1:17">
      <c r="A170" s="13"/>
      <c r="B170" s="13"/>
      <c r="C170" s="13"/>
      <c r="D170" s="13"/>
      <c r="E170" s="13"/>
      <c r="F170" s="13"/>
      <c r="G170" s="13"/>
      <c r="H170" s="33"/>
      <c r="I170" s="33"/>
      <c r="J170" s="33"/>
      <c r="K170" s="33"/>
      <c r="L170" s="33"/>
      <c r="M170" s="33"/>
      <c r="N170" s="33"/>
      <c r="O170" s="33"/>
      <c r="P170" s="33"/>
      <c r="Q170" s="13"/>
    </row>
    <row r="171" spans="1:17">
      <c r="A171" s="13"/>
      <c r="B171" s="13"/>
      <c r="C171" s="13"/>
      <c r="D171" s="13"/>
      <c r="E171" s="13"/>
      <c r="F171" s="13"/>
      <c r="G171" s="13"/>
      <c r="H171" s="33"/>
      <c r="I171" s="33"/>
      <c r="J171" s="33"/>
      <c r="K171" s="33"/>
      <c r="L171" s="33"/>
      <c r="M171" s="33"/>
      <c r="N171" s="33"/>
      <c r="O171" s="33"/>
      <c r="P171" s="33"/>
      <c r="Q171" s="13"/>
    </row>
    <row r="172" spans="1:17">
      <c r="A172" s="13"/>
      <c r="B172" s="13"/>
      <c r="C172" s="13"/>
      <c r="D172" s="13"/>
      <c r="E172" s="13"/>
      <c r="F172" s="13"/>
      <c r="G172" s="13"/>
      <c r="H172" s="33"/>
      <c r="I172" s="33"/>
      <c r="J172" s="33"/>
      <c r="K172" s="33"/>
      <c r="L172" s="33"/>
      <c r="M172" s="33"/>
      <c r="N172" s="33"/>
      <c r="O172" s="33"/>
      <c r="P172" s="33"/>
      <c r="Q172" s="13"/>
    </row>
    <row r="173" spans="1:17">
      <c r="A173" s="13"/>
      <c r="B173" s="13"/>
      <c r="C173" s="13"/>
      <c r="D173" s="13"/>
      <c r="E173" s="13"/>
      <c r="F173" s="13"/>
      <c r="G173" s="13"/>
      <c r="H173" s="33"/>
      <c r="I173" s="33"/>
      <c r="J173" s="33"/>
      <c r="K173" s="33"/>
      <c r="L173" s="33"/>
      <c r="M173" s="33"/>
      <c r="N173" s="33"/>
      <c r="O173" s="33"/>
      <c r="P173" s="33"/>
      <c r="Q173" s="13"/>
    </row>
    <row r="174" spans="1:17">
      <c r="A174" s="13"/>
      <c r="B174" s="13"/>
      <c r="C174" s="13"/>
      <c r="D174" s="13"/>
      <c r="E174" s="13"/>
      <c r="F174" s="13"/>
      <c r="G174" s="13"/>
      <c r="H174" s="33"/>
      <c r="I174" s="33"/>
      <c r="J174" s="33"/>
      <c r="K174" s="33"/>
      <c r="L174" s="33"/>
      <c r="M174" s="33"/>
      <c r="N174" s="33"/>
      <c r="O174" s="33"/>
      <c r="P174" s="33"/>
      <c r="Q174" s="13"/>
    </row>
    <row r="175" spans="1:17">
      <c r="A175" s="13"/>
      <c r="B175" s="13"/>
      <c r="C175" s="13"/>
      <c r="D175" s="13"/>
      <c r="E175" s="13"/>
      <c r="F175" s="13"/>
      <c r="G175" s="13"/>
      <c r="H175" s="33"/>
      <c r="I175" s="33"/>
      <c r="J175" s="33"/>
      <c r="K175" s="33"/>
      <c r="L175" s="33"/>
      <c r="M175" s="33"/>
      <c r="N175" s="33"/>
      <c r="O175" s="33"/>
      <c r="P175" s="33"/>
      <c r="Q175" s="13"/>
    </row>
    <row r="176" spans="1:17">
      <c r="A176" s="13"/>
      <c r="B176" s="13"/>
      <c r="C176" s="13"/>
      <c r="D176" s="13"/>
      <c r="E176" s="13"/>
      <c r="F176" s="13"/>
      <c r="G176" s="13"/>
      <c r="H176" s="33"/>
      <c r="I176" s="33"/>
      <c r="J176" s="33"/>
      <c r="K176" s="33"/>
      <c r="L176" s="33"/>
      <c r="M176" s="33"/>
      <c r="N176" s="33"/>
      <c r="O176" s="33"/>
      <c r="P176" s="33"/>
      <c r="Q176" s="13"/>
    </row>
    <row r="177" spans="1:17">
      <c r="A177" s="13"/>
      <c r="B177" s="13"/>
      <c r="C177" s="13"/>
      <c r="D177" s="13"/>
      <c r="E177" s="13"/>
      <c r="F177" s="13"/>
      <c r="G177" s="13"/>
      <c r="H177" s="33"/>
      <c r="I177" s="33"/>
      <c r="J177" s="33"/>
      <c r="K177" s="33"/>
      <c r="L177" s="33"/>
      <c r="M177" s="33"/>
      <c r="N177" s="33"/>
      <c r="O177" s="33"/>
      <c r="P177" s="33"/>
      <c r="Q177" s="13"/>
    </row>
    <row r="178" spans="1:17">
      <c r="A178" s="13"/>
      <c r="B178" s="13"/>
      <c r="C178" s="13"/>
      <c r="D178" s="13"/>
      <c r="E178" s="13"/>
      <c r="F178" s="13"/>
      <c r="G178" s="13"/>
      <c r="H178" s="33"/>
      <c r="I178" s="33"/>
      <c r="J178" s="33"/>
      <c r="K178" s="33"/>
      <c r="L178" s="33"/>
      <c r="M178" s="33"/>
      <c r="N178" s="33"/>
      <c r="O178" s="33"/>
      <c r="P178" s="33"/>
      <c r="Q178" s="13"/>
    </row>
    <row r="179" spans="1:17">
      <c r="A179" s="13"/>
      <c r="B179" s="13"/>
      <c r="C179" s="13"/>
      <c r="D179" s="13"/>
      <c r="E179" s="13"/>
      <c r="F179" s="13"/>
      <c r="G179" s="13"/>
      <c r="H179" s="33"/>
      <c r="I179" s="33"/>
      <c r="J179" s="33"/>
      <c r="K179" s="33"/>
      <c r="L179" s="33"/>
      <c r="M179" s="33"/>
      <c r="N179" s="33"/>
      <c r="O179" s="33"/>
      <c r="P179" s="33"/>
      <c r="Q179" s="13"/>
    </row>
    <row r="180" spans="1:17">
      <c r="A180" s="13"/>
      <c r="B180" s="13"/>
      <c r="C180" s="13"/>
      <c r="D180" s="13"/>
      <c r="E180" s="13"/>
      <c r="F180" s="13"/>
      <c r="G180" s="13"/>
      <c r="H180" s="33"/>
      <c r="I180" s="33"/>
      <c r="J180" s="33"/>
      <c r="K180" s="33"/>
      <c r="L180" s="33"/>
      <c r="M180" s="33"/>
      <c r="N180" s="33"/>
      <c r="O180" s="33"/>
      <c r="P180" s="33"/>
      <c r="Q180" s="13"/>
    </row>
    <row r="181" spans="1:17">
      <c r="A181" s="13"/>
      <c r="B181" s="13"/>
      <c r="C181" s="13"/>
      <c r="D181" s="13"/>
      <c r="E181" s="13"/>
      <c r="F181" s="13"/>
      <c r="G181" s="13"/>
      <c r="H181" s="33"/>
      <c r="I181" s="33"/>
      <c r="J181" s="33"/>
      <c r="K181" s="33"/>
      <c r="L181" s="33"/>
      <c r="M181" s="33"/>
      <c r="N181" s="33"/>
      <c r="O181" s="33"/>
      <c r="P181" s="33"/>
      <c r="Q181" s="13"/>
    </row>
    <row r="182" spans="1:17">
      <c r="A182" s="13"/>
      <c r="B182" s="13"/>
      <c r="C182" s="13"/>
      <c r="D182" s="13"/>
      <c r="E182" s="13"/>
      <c r="F182" s="13"/>
      <c r="G182" s="13"/>
      <c r="H182" s="33"/>
      <c r="I182" s="33"/>
      <c r="J182" s="33"/>
      <c r="K182" s="33"/>
      <c r="L182" s="33"/>
      <c r="M182" s="33"/>
      <c r="N182" s="33"/>
      <c r="O182" s="33"/>
      <c r="P182" s="33"/>
      <c r="Q182" s="13"/>
    </row>
    <row r="183" spans="1:17">
      <c r="A183" s="13"/>
      <c r="B183" s="13"/>
      <c r="C183" s="13"/>
      <c r="D183" s="13"/>
      <c r="E183" s="13"/>
      <c r="F183" s="13"/>
      <c r="G183" s="13"/>
      <c r="H183" s="33"/>
      <c r="I183" s="33"/>
      <c r="J183" s="33"/>
      <c r="K183" s="33"/>
      <c r="L183" s="33"/>
      <c r="M183" s="33"/>
      <c r="N183" s="33"/>
      <c r="O183" s="33"/>
      <c r="P183" s="33"/>
      <c r="Q183" s="13"/>
    </row>
    <row r="184" spans="1:17">
      <c r="A184" s="13"/>
      <c r="B184" s="13"/>
      <c r="C184" s="13"/>
      <c r="D184" s="13"/>
      <c r="E184" s="13"/>
      <c r="F184" s="13"/>
      <c r="G184" s="13"/>
      <c r="H184" s="33"/>
      <c r="I184" s="33"/>
      <c r="J184" s="33"/>
      <c r="K184" s="33"/>
      <c r="L184" s="33"/>
      <c r="M184" s="33"/>
      <c r="N184" s="33"/>
      <c r="O184" s="33"/>
      <c r="P184" s="33"/>
      <c r="Q184" s="13"/>
    </row>
    <row r="185" spans="1:17">
      <c r="A185" s="13"/>
      <c r="B185" s="13"/>
      <c r="C185" s="13"/>
      <c r="D185" s="13"/>
      <c r="E185" s="13"/>
      <c r="F185" s="13"/>
      <c r="G185" s="13"/>
      <c r="H185" s="33"/>
      <c r="I185" s="33"/>
      <c r="J185" s="33"/>
      <c r="K185" s="33"/>
      <c r="L185" s="33"/>
      <c r="M185" s="33"/>
      <c r="N185" s="33"/>
      <c r="O185" s="33"/>
      <c r="P185" s="33"/>
      <c r="Q185" s="13"/>
    </row>
    <row r="186" spans="1:17">
      <c r="A186" s="13"/>
      <c r="B186" s="13"/>
      <c r="C186" s="13"/>
      <c r="D186" s="13"/>
      <c r="E186" s="13"/>
      <c r="F186" s="13"/>
      <c r="G186" s="13"/>
      <c r="H186" s="33"/>
      <c r="I186" s="33"/>
      <c r="J186" s="33"/>
      <c r="K186" s="33"/>
      <c r="L186" s="33"/>
      <c r="M186" s="33"/>
      <c r="N186" s="33"/>
      <c r="O186" s="33"/>
      <c r="P186" s="33"/>
      <c r="Q186" s="13"/>
    </row>
    <row r="187" spans="1:17">
      <c r="A187" s="13"/>
      <c r="B187" s="13"/>
      <c r="C187" s="13"/>
      <c r="D187" s="13"/>
      <c r="E187" s="13"/>
      <c r="F187" s="13"/>
      <c r="G187" s="13"/>
      <c r="H187" s="33"/>
      <c r="I187" s="33"/>
      <c r="J187" s="33"/>
      <c r="K187" s="33"/>
      <c r="L187" s="33"/>
      <c r="M187" s="33"/>
      <c r="N187" s="33"/>
      <c r="O187" s="33"/>
      <c r="P187" s="33"/>
      <c r="Q187" s="13"/>
    </row>
    <row r="188" spans="1:17">
      <c r="A188" s="13"/>
      <c r="B188" s="13"/>
      <c r="C188" s="13"/>
      <c r="D188" s="13"/>
      <c r="E188" s="13"/>
      <c r="F188" s="13"/>
      <c r="G188" s="13"/>
      <c r="H188" s="33"/>
      <c r="I188" s="33"/>
      <c r="J188" s="33"/>
      <c r="K188" s="33"/>
      <c r="L188" s="33"/>
      <c r="M188" s="33"/>
      <c r="N188" s="33"/>
      <c r="O188" s="33"/>
      <c r="P188" s="33"/>
      <c r="Q188" s="13"/>
    </row>
    <row r="189" spans="1:17">
      <c r="A189" s="13"/>
      <c r="B189" s="13"/>
      <c r="C189" s="13"/>
      <c r="D189" s="13"/>
      <c r="E189" s="13"/>
      <c r="F189" s="13"/>
      <c r="G189" s="13"/>
      <c r="H189" s="33"/>
      <c r="I189" s="33"/>
      <c r="J189" s="33"/>
      <c r="K189" s="33"/>
      <c r="L189" s="33"/>
      <c r="M189" s="33"/>
      <c r="N189" s="33"/>
      <c r="O189" s="33"/>
      <c r="P189" s="33"/>
      <c r="Q189" s="13"/>
    </row>
    <row r="190" spans="1:17">
      <c r="A190" s="13"/>
      <c r="B190" s="13"/>
      <c r="C190" s="13"/>
      <c r="D190" s="13"/>
      <c r="E190" s="13"/>
      <c r="F190" s="13"/>
      <c r="G190" s="13"/>
      <c r="H190" s="33"/>
      <c r="I190" s="33"/>
      <c r="J190" s="33"/>
      <c r="K190" s="33"/>
      <c r="L190" s="33"/>
      <c r="M190" s="33"/>
      <c r="N190" s="33"/>
      <c r="O190" s="33"/>
      <c r="P190" s="33"/>
      <c r="Q190" s="13"/>
    </row>
    <row r="191" spans="1:17">
      <c r="A191" s="13"/>
      <c r="B191" s="13"/>
      <c r="C191" s="13"/>
      <c r="D191" s="13"/>
      <c r="E191" s="13"/>
      <c r="F191" s="13"/>
      <c r="G191" s="13"/>
      <c r="H191" s="33"/>
      <c r="I191" s="33"/>
      <c r="J191" s="33"/>
      <c r="K191" s="33"/>
      <c r="L191" s="33"/>
      <c r="M191" s="33"/>
      <c r="N191" s="33"/>
      <c r="O191" s="33"/>
      <c r="P191" s="33"/>
      <c r="Q191" s="13"/>
    </row>
    <row r="192" spans="1:17">
      <c r="A192" s="13"/>
      <c r="B192" s="13"/>
      <c r="C192" s="13"/>
      <c r="D192" s="13"/>
      <c r="E192" s="13"/>
      <c r="F192" s="13"/>
      <c r="G192" s="13"/>
      <c r="H192" s="33"/>
      <c r="I192" s="33"/>
      <c r="J192" s="33"/>
      <c r="K192" s="33"/>
      <c r="L192" s="33"/>
      <c r="M192" s="33"/>
      <c r="N192" s="33"/>
      <c r="O192" s="33"/>
      <c r="P192" s="33"/>
      <c r="Q192" s="13"/>
    </row>
    <row r="193" spans="1:17">
      <c r="A193" s="13"/>
      <c r="B193" s="13"/>
      <c r="C193" s="13"/>
      <c r="D193" s="13"/>
      <c r="E193" s="13"/>
      <c r="F193" s="13"/>
      <c r="G193" s="13"/>
      <c r="H193" s="33"/>
      <c r="I193" s="33"/>
      <c r="J193" s="33"/>
      <c r="K193" s="33"/>
      <c r="L193" s="33"/>
      <c r="M193" s="33"/>
      <c r="N193" s="33"/>
      <c r="O193" s="33"/>
      <c r="P193" s="33"/>
      <c r="Q193" s="13"/>
    </row>
    <row r="194" spans="1:17">
      <c r="A194" s="13"/>
      <c r="B194" s="13"/>
      <c r="C194" s="13"/>
      <c r="D194" s="13"/>
      <c r="E194" s="13"/>
      <c r="F194" s="13"/>
      <c r="G194" s="13"/>
      <c r="H194" s="33"/>
      <c r="I194" s="33"/>
      <c r="J194" s="33"/>
      <c r="K194" s="33"/>
      <c r="L194" s="33"/>
      <c r="M194" s="33"/>
      <c r="N194" s="33"/>
      <c r="O194" s="33"/>
      <c r="P194" s="33"/>
      <c r="Q194" s="13"/>
    </row>
    <row r="195" spans="1:17">
      <c r="A195" s="13"/>
      <c r="B195" s="13"/>
      <c r="C195" s="13"/>
      <c r="D195" s="13"/>
      <c r="E195" s="13"/>
      <c r="F195" s="13"/>
      <c r="G195" s="13"/>
      <c r="H195" s="33"/>
      <c r="I195" s="33"/>
      <c r="J195" s="33"/>
      <c r="K195" s="33"/>
      <c r="L195" s="33"/>
      <c r="M195" s="33"/>
      <c r="N195" s="33"/>
      <c r="O195" s="33"/>
      <c r="P195" s="33"/>
      <c r="Q195" s="13"/>
    </row>
    <row r="196" spans="1:17">
      <c r="A196" s="13"/>
      <c r="B196" s="13"/>
      <c r="C196" s="13"/>
      <c r="D196" s="13"/>
      <c r="E196" s="13"/>
      <c r="F196" s="13"/>
      <c r="G196" s="13"/>
      <c r="H196" s="33"/>
      <c r="I196" s="33"/>
      <c r="J196" s="33"/>
      <c r="K196" s="33"/>
      <c r="L196" s="33"/>
      <c r="M196" s="33"/>
      <c r="N196" s="33"/>
      <c r="O196" s="33"/>
      <c r="P196" s="33"/>
      <c r="Q196" s="13"/>
    </row>
    <row r="197" spans="1:17">
      <c r="A197" s="13"/>
      <c r="B197" s="13"/>
      <c r="C197" s="13"/>
      <c r="D197" s="13"/>
      <c r="E197" s="13"/>
      <c r="F197" s="13"/>
      <c r="G197" s="13"/>
      <c r="H197" s="33"/>
      <c r="I197" s="33"/>
      <c r="J197" s="33"/>
      <c r="K197" s="33"/>
      <c r="L197" s="33"/>
      <c r="M197" s="33"/>
      <c r="N197" s="33"/>
      <c r="O197" s="33"/>
      <c r="P197" s="33"/>
      <c r="Q197" s="13"/>
    </row>
    <row r="198" spans="1:17">
      <c r="A198" s="13"/>
      <c r="B198" s="13"/>
      <c r="C198" s="13"/>
      <c r="D198" s="13"/>
      <c r="E198" s="13"/>
      <c r="F198" s="13"/>
      <c r="G198" s="13"/>
      <c r="H198" s="33"/>
      <c r="I198" s="33"/>
      <c r="J198" s="33"/>
      <c r="K198" s="33"/>
      <c r="L198" s="33"/>
      <c r="M198" s="33"/>
      <c r="N198" s="33"/>
      <c r="O198" s="33"/>
      <c r="P198" s="33"/>
      <c r="Q198" s="13"/>
    </row>
    <row r="199" spans="1:17">
      <c r="A199" s="13"/>
      <c r="B199" s="13"/>
      <c r="C199" s="13"/>
      <c r="D199" s="13"/>
      <c r="E199" s="13"/>
      <c r="F199" s="13"/>
      <c r="G199" s="13"/>
      <c r="H199" s="33"/>
      <c r="I199" s="33"/>
      <c r="J199" s="33"/>
      <c r="K199" s="33"/>
      <c r="L199" s="33"/>
      <c r="M199" s="33"/>
      <c r="N199" s="33"/>
      <c r="O199" s="33"/>
      <c r="P199" s="33"/>
      <c r="Q199" s="13"/>
    </row>
    <row r="200" spans="1:17">
      <c r="A200" s="13"/>
      <c r="B200" s="13"/>
      <c r="C200" s="13"/>
      <c r="D200" s="13"/>
      <c r="E200" s="13"/>
      <c r="F200" s="13"/>
      <c r="G200" s="13"/>
      <c r="H200" s="33"/>
      <c r="I200" s="33"/>
      <c r="J200" s="33"/>
      <c r="K200" s="33"/>
      <c r="L200" s="33"/>
      <c r="M200" s="33"/>
      <c r="N200" s="33"/>
      <c r="O200" s="33"/>
      <c r="P200" s="33"/>
      <c r="Q200" s="13"/>
    </row>
    <row r="201" spans="1:17">
      <c r="A201" s="13"/>
      <c r="B201" s="13"/>
      <c r="C201" s="13"/>
      <c r="D201" s="13"/>
      <c r="E201" s="13"/>
      <c r="F201" s="13"/>
      <c r="G201" s="13"/>
      <c r="H201" s="33"/>
      <c r="I201" s="33"/>
      <c r="J201" s="33"/>
      <c r="K201" s="33"/>
      <c r="L201" s="33"/>
      <c r="M201" s="33"/>
      <c r="N201" s="33"/>
      <c r="O201" s="33"/>
      <c r="P201" s="33"/>
      <c r="Q201" s="13"/>
    </row>
    <row r="202" spans="1:17">
      <c r="A202" s="13"/>
      <c r="B202" s="13"/>
      <c r="C202" s="13"/>
      <c r="D202" s="13"/>
      <c r="E202" s="13"/>
      <c r="F202" s="13"/>
      <c r="G202" s="13"/>
      <c r="H202" s="33"/>
      <c r="I202" s="33"/>
      <c r="J202" s="33"/>
      <c r="K202" s="33"/>
      <c r="L202" s="33"/>
      <c r="M202" s="33"/>
      <c r="N202" s="33"/>
      <c r="O202" s="33"/>
      <c r="P202" s="33"/>
      <c r="Q202" s="13"/>
    </row>
    <row r="203" spans="1:17">
      <c r="A203" s="13"/>
      <c r="B203" s="13"/>
      <c r="C203" s="13"/>
      <c r="D203" s="13"/>
      <c r="E203" s="13"/>
      <c r="F203" s="13"/>
      <c r="G203" s="13"/>
      <c r="H203" s="33"/>
      <c r="I203" s="33"/>
      <c r="J203" s="33"/>
      <c r="K203" s="33"/>
      <c r="L203" s="33"/>
      <c r="M203" s="33"/>
      <c r="N203" s="33"/>
      <c r="O203" s="33"/>
      <c r="P203" s="33"/>
      <c r="Q203" s="13"/>
    </row>
    <row r="204" spans="1:17">
      <c r="A204" s="13"/>
      <c r="B204" s="13"/>
      <c r="C204" s="13"/>
      <c r="D204" s="13"/>
      <c r="E204" s="13"/>
      <c r="F204" s="13"/>
      <c r="G204" s="13"/>
      <c r="H204" s="33"/>
      <c r="I204" s="33"/>
      <c r="J204" s="33"/>
      <c r="K204" s="33"/>
      <c r="L204" s="33"/>
      <c r="M204" s="33"/>
      <c r="N204" s="33"/>
      <c r="O204" s="33"/>
      <c r="P204" s="33"/>
      <c r="Q204" s="13"/>
    </row>
    <row r="205" spans="1:17">
      <c r="A205" s="13"/>
      <c r="B205" s="13"/>
      <c r="C205" s="13"/>
      <c r="D205" s="13"/>
      <c r="E205" s="13"/>
      <c r="F205" s="13"/>
      <c r="G205" s="13"/>
      <c r="H205" s="33"/>
      <c r="I205" s="33"/>
      <c r="J205" s="33"/>
      <c r="K205" s="33"/>
      <c r="L205" s="33"/>
      <c r="M205" s="33"/>
      <c r="N205" s="33"/>
      <c r="O205" s="33"/>
      <c r="P205" s="33"/>
      <c r="Q205" s="13"/>
    </row>
    <row r="206" spans="1:17">
      <c r="A206" s="13"/>
      <c r="B206" s="13"/>
      <c r="C206" s="13"/>
      <c r="D206" s="13"/>
      <c r="E206" s="13"/>
      <c r="F206" s="13"/>
      <c r="G206" s="13"/>
      <c r="H206" s="33"/>
      <c r="I206" s="33"/>
      <c r="J206" s="33"/>
      <c r="K206" s="33"/>
      <c r="L206" s="33"/>
      <c r="M206" s="33"/>
      <c r="N206" s="33"/>
      <c r="O206" s="33"/>
      <c r="P206" s="33"/>
      <c r="Q206" s="13"/>
    </row>
    <row r="207" spans="1:17">
      <c r="A207" s="13"/>
      <c r="B207" s="13"/>
      <c r="C207" s="13"/>
      <c r="D207" s="13"/>
      <c r="E207" s="13"/>
      <c r="F207" s="13"/>
      <c r="G207" s="13"/>
      <c r="H207" s="33"/>
      <c r="I207" s="33"/>
      <c r="J207" s="33"/>
      <c r="K207" s="33"/>
      <c r="L207" s="33"/>
      <c r="M207" s="33"/>
      <c r="N207" s="33"/>
      <c r="O207" s="33"/>
      <c r="P207" s="33"/>
      <c r="Q207" s="13"/>
    </row>
    <row r="208" spans="1:17">
      <c r="A208" s="13"/>
      <c r="B208" s="13"/>
      <c r="C208" s="13"/>
      <c r="D208" s="13"/>
      <c r="E208" s="13"/>
      <c r="F208" s="13"/>
      <c r="G208" s="13"/>
      <c r="H208" s="33"/>
      <c r="I208" s="33"/>
      <c r="J208" s="33"/>
      <c r="K208" s="33"/>
      <c r="L208" s="33"/>
      <c r="M208" s="33"/>
      <c r="N208" s="33"/>
      <c r="O208" s="33"/>
      <c r="P208" s="33"/>
      <c r="Q208" s="13"/>
    </row>
    <row r="209" spans="1:17">
      <c r="A209" s="13"/>
      <c r="B209" s="13"/>
      <c r="C209" s="13"/>
      <c r="D209" s="13"/>
      <c r="E209" s="13"/>
      <c r="F209" s="13"/>
      <c r="G209" s="13"/>
      <c r="H209" s="33"/>
      <c r="I209" s="33"/>
      <c r="J209" s="33"/>
      <c r="K209" s="33"/>
      <c r="L209" s="33"/>
      <c r="M209" s="33"/>
      <c r="N209" s="33"/>
      <c r="O209" s="33"/>
      <c r="P209" s="33"/>
      <c r="Q209" s="13"/>
    </row>
    <row r="210" spans="1:17">
      <c r="A210" s="13"/>
      <c r="B210" s="13"/>
      <c r="C210" s="13"/>
      <c r="D210" s="13"/>
      <c r="E210" s="13"/>
      <c r="F210" s="13"/>
      <c r="G210" s="13"/>
      <c r="H210" s="33"/>
      <c r="I210" s="33"/>
      <c r="J210" s="33"/>
      <c r="K210" s="33"/>
      <c r="L210" s="33"/>
      <c r="M210" s="33"/>
      <c r="N210" s="33"/>
      <c r="O210" s="33"/>
      <c r="P210" s="33"/>
      <c r="Q210" s="13"/>
    </row>
    <row r="211" spans="1:17">
      <c r="A211" s="13"/>
      <c r="B211" s="13"/>
      <c r="C211" s="13"/>
      <c r="D211" s="13"/>
      <c r="E211" s="13"/>
      <c r="F211" s="13"/>
      <c r="G211" s="13"/>
      <c r="H211" s="33"/>
      <c r="I211" s="33"/>
      <c r="J211" s="33"/>
      <c r="K211" s="33"/>
      <c r="L211" s="33"/>
      <c r="M211" s="33"/>
      <c r="N211" s="33"/>
      <c r="O211" s="33"/>
      <c r="P211" s="33"/>
      <c r="Q211" s="13"/>
    </row>
    <row r="212" spans="1:17">
      <c r="A212" s="13"/>
      <c r="B212" s="13"/>
      <c r="C212" s="13"/>
      <c r="D212" s="13"/>
      <c r="E212" s="13"/>
      <c r="F212" s="13"/>
      <c r="G212" s="13"/>
      <c r="H212" s="33"/>
      <c r="I212" s="33"/>
      <c r="J212" s="33"/>
      <c r="K212" s="33"/>
      <c r="L212" s="33"/>
      <c r="M212" s="33"/>
      <c r="N212" s="33"/>
      <c r="O212" s="33"/>
      <c r="P212" s="33"/>
      <c r="Q212" s="13"/>
    </row>
    <row r="213" spans="1:17">
      <c r="A213" s="13"/>
      <c r="B213" s="13"/>
      <c r="C213" s="13"/>
      <c r="D213" s="13"/>
      <c r="E213" s="13"/>
      <c r="F213" s="13"/>
      <c r="G213" s="13"/>
      <c r="H213" s="33"/>
      <c r="I213" s="33"/>
      <c r="J213" s="33"/>
      <c r="K213" s="33"/>
      <c r="L213" s="33"/>
      <c r="M213" s="33"/>
      <c r="N213" s="33"/>
      <c r="O213" s="33"/>
      <c r="P213" s="33"/>
      <c r="Q213" s="13"/>
    </row>
    <row r="214" spans="1:17">
      <c r="A214" s="13"/>
      <c r="B214" s="13"/>
      <c r="C214" s="13"/>
      <c r="D214" s="13"/>
      <c r="E214" s="13"/>
      <c r="F214" s="13"/>
      <c r="G214" s="13"/>
      <c r="H214" s="33"/>
      <c r="I214" s="33"/>
      <c r="J214" s="33"/>
      <c r="K214" s="33"/>
      <c r="L214" s="33"/>
      <c r="M214" s="33"/>
      <c r="N214" s="33"/>
      <c r="O214" s="33"/>
      <c r="P214" s="33"/>
      <c r="Q214" s="13"/>
    </row>
    <row r="215" spans="1:17">
      <c r="A215" s="13"/>
      <c r="B215" s="13"/>
      <c r="C215" s="13"/>
      <c r="D215" s="13"/>
      <c r="E215" s="13"/>
      <c r="F215" s="13"/>
      <c r="G215" s="13"/>
      <c r="H215" s="33"/>
      <c r="I215" s="33"/>
      <c r="J215" s="33"/>
      <c r="K215" s="33"/>
      <c r="L215" s="33"/>
      <c r="M215" s="33"/>
      <c r="N215" s="33"/>
      <c r="O215" s="33"/>
      <c r="P215" s="33"/>
      <c r="Q215" s="13"/>
    </row>
    <row r="216" spans="1:17">
      <c r="A216" s="13"/>
      <c r="B216" s="13"/>
      <c r="C216" s="13"/>
      <c r="D216" s="13"/>
      <c r="E216" s="13"/>
      <c r="F216" s="13"/>
      <c r="G216" s="13"/>
      <c r="H216" s="33"/>
      <c r="I216" s="33"/>
      <c r="J216" s="33"/>
      <c r="K216" s="33"/>
      <c r="L216" s="33"/>
      <c r="M216" s="33"/>
      <c r="N216" s="33"/>
      <c r="O216" s="33"/>
      <c r="P216" s="33"/>
      <c r="Q216" s="13"/>
    </row>
    <row r="217" spans="1:17">
      <c r="A217" s="13"/>
      <c r="B217" s="13"/>
      <c r="C217" s="13"/>
      <c r="D217" s="13"/>
      <c r="E217" s="13"/>
      <c r="F217" s="13"/>
      <c r="G217" s="13"/>
      <c r="H217" s="33"/>
      <c r="I217" s="33"/>
      <c r="J217" s="33"/>
      <c r="K217" s="33"/>
      <c r="L217" s="33"/>
      <c r="M217" s="33"/>
      <c r="N217" s="33"/>
      <c r="O217" s="33"/>
      <c r="P217" s="33"/>
      <c r="Q217" s="13"/>
    </row>
    <row r="218" spans="1:17">
      <c r="A218" s="13"/>
      <c r="B218" s="13"/>
      <c r="C218" s="13"/>
      <c r="D218" s="13"/>
      <c r="E218" s="13"/>
      <c r="F218" s="13"/>
      <c r="G218" s="13"/>
      <c r="H218" s="33"/>
      <c r="I218" s="33"/>
      <c r="J218" s="33"/>
      <c r="K218" s="33"/>
      <c r="L218" s="33"/>
      <c r="M218" s="33"/>
      <c r="N218" s="33"/>
      <c r="O218" s="33"/>
      <c r="P218" s="33"/>
      <c r="Q218" s="13"/>
    </row>
    <row r="219" spans="1:17">
      <c r="A219" s="13"/>
      <c r="B219" s="13"/>
      <c r="C219" s="13"/>
      <c r="D219" s="13"/>
      <c r="E219" s="13"/>
      <c r="F219" s="13"/>
      <c r="G219" s="13"/>
      <c r="H219" s="33"/>
      <c r="I219" s="33"/>
      <c r="J219" s="33"/>
      <c r="K219" s="33"/>
      <c r="L219" s="33"/>
      <c r="M219" s="33"/>
      <c r="N219" s="33"/>
      <c r="O219" s="33"/>
      <c r="P219" s="33"/>
      <c r="Q219" s="13"/>
    </row>
    <row r="220" spans="1:17">
      <c r="A220" s="13"/>
      <c r="B220" s="13"/>
      <c r="C220" s="13"/>
      <c r="D220" s="13"/>
      <c r="E220" s="13"/>
      <c r="F220" s="13"/>
      <c r="G220" s="13"/>
      <c r="H220" s="33"/>
      <c r="I220" s="33"/>
      <c r="J220" s="33"/>
      <c r="K220" s="33"/>
      <c r="L220" s="33"/>
      <c r="M220" s="33"/>
      <c r="N220" s="33"/>
      <c r="O220" s="33"/>
      <c r="P220" s="33"/>
      <c r="Q220" s="13"/>
    </row>
    <row r="221" spans="1:17">
      <c r="A221" s="13"/>
      <c r="B221" s="13"/>
      <c r="C221" s="13"/>
      <c r="D221" s="13"/>
      <c r="E221" s="13"/>
      <c r="F221" s="13"/>
      <c r="G221" s="13"/>
      <c r="H221" s="33"/>
      <c r="I221" s="33"/>
      <c r="J221" s="33"/>
      <c r="K221" s="33"/>
      <c r="L221" s="33"/>
      <c r="M221" s="33"/>
      <c r="N221" s="33"/>
      <c r="O221" s="33"/>
      <c r="P221" s="33"/>
      <c r="Q221" s="13"/>
    </row>
    <row r="222" spans="1:17">
      <c r="A222" s="13"/>
      <c r="B222" s="13"/>
      <c r="C222" s="13"/>
      <c r="D222" s="13"/>
      <c r="E222" s="13"/>
      <c r="F222" s="13"/>
      <c r="G222" s="13"/>
      <c r="H222" s="33"/>
      <c r="I222" s="33"/>
      <c r="J222" s="33"/>
      <c r="K222" s="33"/>
      <c r="L222" s="33"/>
      <c r="M222" s="33"/>
      <c r="N222" s="33"/>
      <c r="O222" s="33"/>
      <c r="P222" s="33"/>
      <c r="Q222" s="13"/>
    </row>
    <row r="223" spans="1:17">
      <c r="A223" s="13"/>
      <c r="B223" s="13"/>
      <c r="C223" s="13"/>
      <c r="D223" s="13"/>
      <c r="E223" s="13"/>
      <c r="F223" s="13"/>
      <c r="G223" s="13"/>
      <c r="H223" s="33"/>
      <c r="I223" s="33"/>
      <c r="J223" s="33"/>
      <c r="K223" s="33"/>
      <c r="L223" s="33"/>
      <c r="M223" s="33"/>
      <c r="N223" s="33"/>
      <c r="O223" s="33"/>
      <c r="P223" s="33"/>
      <c r="Q223" s="13"/>
    </row>
    <row r="224" spans="1:17">
      <c r="A224" s="13"/>
      <c r="B224" s="13"/>
      <c r="C224" s="13"/>
      <c r="D224" s="13"/>
      <c r="E224" s="13"/>
      <c r="F224" s="13"/>
      <c r="G224" s="13"/>
      <c r="H224" s="33"/>
      <c r="I224" s="33"/>
      <c r="J224" s="33"/>
      <c r="K224" s="33"/>
      <c r="L224" s="33"/>
      <c r="M224" s="33"/>
      <c r="N224" s="33"/>
      <c r="O224" s="33"/>
      <c r="P224" s="33"/>
      <c r="Q224" s="13"/>
    </row>
    <row r="225" spans="1:17">
      <c r="A225" s="13"/>
      <c r="B225" s="13"/>
      <c r="C225" s="13"/>
      <c r="D225" s="13"/>
      <c r="E225" s="13"/>
      <c r="F225" s="13"/>
      <c r="G225" s="13"/>
      <c r="H225" s="33"/>
      <c r="I225" s="33"/>
      <c r="J225" s="33"/>
      <c r="K225" s="33"/>
      <c r="L225" s="33"/>
      <c r="M225" s="33"/>
      <c r="N225" s="33"/>
      <c r="O225" s="33"/>
      <c r="P225" s="33"/>
      <c r="Q225" s="13"/>
    </row>
    <row r="226" spans="1:17">
      <c r="A226" s="13"/>
      <c r="B226" s="13"/>
      <c r="C226" s="13"/>
      <c r="D226" s="13"/>
      <c r="E226" s="13"/>
      <c r="F226" s="13"/>
      <c r="G226" s="13"/>
      <c r="H226" s="33"/>
      <c r="I226" s="33"/>
      <c r="J226" s="33"/>
      <c r="K226" s="33"/>
      <c r="L226" s="33"/>
      <c r="M226" s="33"/>
      <c r="N226" s="33"/>
      <c r="O226" s="33"/>
      <c r="P226" s="33"/>
      <c r="Q226" s="13"/>
    </row>
    <row r="227" spans="1:17">
      <c r="A227" s="13"/>
      <c r="B227" s="13"/>
      <c r="C227" s="13"/>
      <c r="D227" s="13"/>
      <c r="E227" s="13"/>
      <c r="F227" s="13"/>
      <c r="G227" s="13"/>
      <c r="H227" s="33"/>
      <c r="I227" s="33"/>
      <c r="J227" s="33"/>
      <c r="K227" s="33"/>
      <c r="L227" s="33"/>
      <c r="M227" s="33"/>
      <c r="N227" s="33"/>
      <c r="O227" s="33"/>
      <c r="P227" s="33"/>
      <c r="Q227" s="13"/>
    </row>
    <row r="228" spans="1:17">
      <c r="A228" s="13"/>
      <c r="B228" s="13"/>
      <c r="C228" s="13"/>
      <c r="D228" s="13"/>
      <c r="E228" s="13"/>
      <c r="F228" s="13"/>
      <c r="G228" s="13"/>
      <c r="H228" s="33"/>
      <c r="I228" s="33"/>
      <c r="J228" s="33"/>
      <c r="K228" s="33"/>
      <c r="L228" s="33"/>
      <c r="M228" s="33"/>
      <c r="N228" s="33"/>
      <c r="O228" s="33"/>
      <c r="P228" s="33"/>
      <c r="Q228" s="13"/>
    </row>
    <row r="229" spans="1:17">
      <c r="A229" s="13"/>
      <c r="B229" s="13"/>
      <c r="C229" s="13"/>
      <c r="D229" s="13"/>
      <c r="E229" s="13"/>
      <c r="F229" s="13"/>
      <c r="G229" s="13"/>
      <c r="H229" s="33"/>
      <c r="I229" s="33"/>
      <c r="J229" s="33"/>
      <c r="K229" s="33"/>
      <c r="L229" s="33"/>
      <c r="M229" s="33"/>
      <c r="N229" s="33"/>
      <c r="O229" s="33"/>
      <c r="P229" s="33"/>
      <c r="Q229" s="13"/>
    </row>
    <row r="230" spans="1:17">
      <c r="A230" s="13"/>
      <c r="B230" s="13"/>
      <c r="C230" s="13"/>
      <c r="D230" s="13"/>
      <c r="E230" s="13"/>
      <c r="F230" s="13"/>
      <c r="G230" s="13"/>
      <c r="H230" s="33"/>
      <c r="I230" s="33"/>
      <c r="J230" s="33"/>
      <c r="K230" s="33"/>
      <c r="L230" s="33"/>
      <c r="M230" s="33"/>
      <c r="N230" s="33"/>
      <c r="O230" s="33"/>
      <c r="P230" s="33"/>
      <c r="Q230" s="13"/>
    </row>
    <row r="231" spans="1:17">
      <c r="A231" s="13"/>
      <c r="B231" s="13"/>
      <c r="C231" s="13"/>
      <c r="D231" s="13"/>
      <c r="E231" s="13"/>
      <c r="F231" s="13"/>
      <c r="G231" s="13"/>
      <c r="H231" s="33"/>
      <c r="I231" s="33"/>
      <c r="J231" s="33"/>
      <c r="K231" s="33"/>
      <c r="L231" s="33"/>
      <c r="M231" s="33"/>
      <c r="N231" s="33"/>
      <c r="O231" s="33"/>
      <c r="P231" s="33"/>
      <c r="Q231" s="13"/>
    </row>
    <row r="232" spans="1:17">
      <c r="A232" s="13"/>
      <c r="B232" s="13"/>
      <c r="C232" s="13"/>
      <c r="D232" s="13"/>
      <c r="E232" s="13"/>
      <c r="F232" s="13"/>
      <c r="G232" s="13"/>
      <c r="H232" s="33"/>
      <c r="I232" s="33"/>
      <c r="J232" s="33"/>
      <c r="K232" s="33"/>
      <c r="L232" s="33"/>
      <c r="M232" s="33"/>
      <c r="N232" s="33"/>
      <c r="O232" s="33"/>
      <c r="P232" s="33"/>
      <c r="Q232" s="13"/>
    </row>
    <row r="233" spans="1:17">
      <c r="A233" s="13"/>
      <c r="B233" s="13"/>
      <c r="C233" s="13"/>
      <c r="D233" s="13"/>
      <c r="E233" s="13"/>
      <c r="F233" s="13"/>
      <c r="G233" s="13"/>
      <c r="H233" s="33"/>
      <c r="I233" s="33"/>
      <c r="J233" s="33"/>
      <c r="K233" s="33"/>
      <c r="L233" s="33"/>
      <c r="M233" s="33"/>
      <c r="N233" s="33"/>
      <c r="O233" s="33"/>
      <c r="P233" s="33"/>
      <c r="Q233" s="13"/>
    </row>
    <row r="234" spans="1:17">
      <c r="A234" s="13"/>
      <c r="B234" s="13"/>
      <c r="C234" s="13"/>
      <c r="D234" s="13"/>
      <c r="E234" s="13"/>
      <c r="F234" s="13"/>
      <c r="G234" s="13"/>
      <c r="H234" s="33"/>
      <c r="I234" s="33"/>
      <c r="J234" s="33"/>
      <c r="K234" s="33"/>
      <c r="L234" s="33"/>
      <c r="M234" s="33"/>
      <c r="N234" s="33"/>
      <c r="O234" s="33"/>
      <c r="P234" s="33"/>
      <c r="Q234" s="13"/>
    </row>
    <row r="235" spans="1:17">
      <c r="A235" s="13"/>
      <c r="B235" s="13"/>
      <c r="C235" s="13"/>
      <c r="D235" s="13"/>
      <c r="E235" s="13"/>
      <c r="F235" s="13"/>
      <c r="G235" s="13"/>
      <c r="H235" s="33"/>
      <c r="I235" s="33"/>
      <c r="J235" s="33"/>
      <c r="K235" s="33"/>
      <c r="L235" s="33"/>
      <c r="M235" s="33"/>
      <c r="N235" s="33"/>
      <c r="O235" s="33"/>
      <c r="P235" s="33"/>
      <c r="Q235" s="13"/>
    </row>
    <row r="236" spans="1:17">
      <c r="A236" s="13"/>
      <c r="B236" s="13"/>
      <c r="C236" s="13"/>
      <c r="D236" s="13"/>
      <c r="E236" s="13"/>
      <c r="F236" s="13"/>
      <c r="G236" s="13"/>
      <c r="H236" s="33"/>
      <c r="I236" s="33"/>
      <c r="J236" s="33"/>
      <c r="K236" s="33"/>
      <c r="L236" s="33"/>
      <c r="M236" s="33"/>
      <c r="N236" s="33"/>
      <c r="O236" s="33"/>
      <c r="P236" s="33"/>
      <c r="Q236" s="13"/>
    </row>
    <row r="237" spans="1:17">
      <c r="A237" s="13"/>
      <c r="B237" s="13"/>
      <c r="C237" s="13"/>
      <c r="D237" s="13"/>
      <c r="E237" s="13"/>
      <c r="F237" s="13"/>
      <c r="G237" s="13"/>
      <c r="H237" s="33"/>
      <c r="I237" s="33"/>
      <c r="J237" s="33"/>
      <c r="K237" s="33"/>
      <c r="L237" s="33"/>
      <c r="M237" s="33"/>
      <c r="N237" s="33"/>
      <c r="O237" s="33"/>
      <c r="P237" s="33"/>
      <c r="Q237" s="13"/>
    </row>
    <row r="238" spans="1:17">
      <c r="A238" s="13"/>
      <c r="B238" s="13"/>
      <c r="C238" s="13"/>
      <c r="D238" s="13"/>
      <c r="E238" s="13"/>
      <c r="F238" s="13"/>
      <c r="G238" s="13"/>
      <c r="H238" s="33"/>
      <c r="I238" s="33"/>
      <c r="J238" s="33"/>
      <c r="K238" s="33"/>
      <c r="L238" s="33"/>
      <c r="M238" s="33"/>
      <c r="N238" s="33"/>
      <c r="O238" s="33"/>
      <c r="P238" s="33"/>
      <c r="Q238" s="13"/>
    </row>
    <row r="239" spans="1:17">
      <c r="A239" s="13"/>
      <c r="B239" s="13"/>
      <c r="C239" s="13"/>
      <c r="D239" s="13"/>
      <c r="E239" s="13"/>
      <c r="F239" s="13"/>
      <c r="G239" s="13"/>
      <c r="H239" s="33"/>
      <c r="I239" s="33"/>
      <c r="J239" s="33"/>
      <c r="K239" s="33"/>
      <c r="L239" s="33"/>
      <c r="M239" s="33"/>
      <c r="N239" s="33"/>
      <c r="O239" s="33"/>
      <c r="P239" s="33"/>
      <c r="Q239" s="13"/>
    </row>
    <row r="240" spans="1:17">
      <c r="A240" s="13"/>
      <c r="B240" s="13"/>
      <c r="C240" s="13"/>
      <c r="D240" s="13"/>
      <c r="E240" s="13"/>
      <c r="F240" s="13"/>
      <c r="G240" s="13"/>
      <c r="H240" s="33"/>
      <c r="I240" s="33"/>
      <c r="J240" s="33"/>
      <c r="K240" s="33"/>
      <c r="L240" s="33"/>
      <c r="M240" s="33"/>
      <c r="N240" s="33"/>
      <c r="O240" s="33"/>
      <c r="P240" s="33"/>
      <c r="Q240" s="13"/>
    </row>
    <row r="241" spans="1:17">
      <c r="A241" s="13"/>
      <c r="B241" s="13"/>
      <c r="C241" s="13"/>
      <c r="D241" s="13"/>
      <c r="E241" s="13"/>
      <c r="F241" s="13"/>
      <c r="G241" s="13"/>
      <c r="H241" s="33"/>
      <c r="I241" s="33"/>
      <c r="J241" s="33"/>
      <c r="K241" s="33"/>
      <c r="L241" s="33"/>
      <c r="M241" s="33"/>
      <c r="N241" s="33"/>
      <c r="O241" s="33"/>
      <c r="P241" s="33"/>
      <c r="Q241" s="13"/>
    </row>
    <row r="242" spans="1:17">
      <c r="A242" s="13"/>
      <c r="B242" s="13"/>
      <c r="C242" s="13"/>
      <c r="D242" s="13"/>
      <c r="E242" s="13"/>
      <c r="F242" s="13"/>
      <c r="G242" s="13"/>
      <c r="H242" s="33"/>
      <c r="I242" s="33"/>
      <c r="J242" s="33"/>
      <c r="K242" s="33"/>
      <c r="L242" s="33"/>
      <c r="M242" s="33"/>
      <c r="N242" s="33"/>
      <c r="O242" s="33"/>
      <c r="P242" s="33"/>
      <c r="Q242" s="13"/>
    </row>
    <row r="243" spans="1:17">
      <c r="A243" s="13"/>
      <c r="B243" s="13"/>
      <c r="C243" s="13"/>
      <c r="D243" s="13"/>
      <c r="E243" s="13"/>
      <c r="F243" s="13"/>
      <c r="G243" s="13"/>
      <c r="H243" s="33"/>
      <c r="I243" s="33"/>
      <c r="J243" s="33"/>
      <c r="K243" s="33"/>
      <c r="L243" s="33"/>
      <c r="M243" s="33"/>
      <c r="N243" s="33"/>
      <c r="O243" s="33"/>
      <c r="P243" s="33"/>
      <c r="Q243" s="13"/>
    </row>
    <row r="244" spans="1:17">
      <c r="A244" s="13"/>
      <c r="B244" s="13"/>
      <c r="C244" s="13"/>
      <c r="D244" s="13"/>
      <c r="E244" s="13"/>
      <c r="F244" s="13"/>
      <c r="G244" s="13"/>
      <c r="H244" s="33"/>
      <c r="I244" s="33"/>
      <c r="J244" s="33"/>
      <c r="K244" s="33"/>
      <c r="L244" s="33"/>
      <c r="M244" s="33"/>
      <c r="N244" s="33"/>
      <c r="O244" s="33"/>
      <c r="P244" s="33"/>
      <c r="Q244" s="13"/>
    </row>
    <row r="245" spans="1:17">
      <c r="A245" s="13"/>
      <c r="B245" s="13"/>
      <c r="C245" s="13"/>
      <c r="D245" s="13"/>
      <c r="E245" s="13"/>
      <c r="F245" s="13"/>
      <c r="G245" s="13"/>
      <c r="H245" s="33"/>
      <c r="I245" s="33"/>
      <c r="J245" s="33"/>
      <c r="K245" s="33"/>
      <c r="L245" s="33"/>
      <c r="M245" s="33"/>
      <c r="N245" s="33"/>
      <c r="O245" s="33"/>
      <c r="P245" s="33"/>
      <c r="Q245" s="13"/>
    </row>
    <row r="246" spans="1:17">
      <c r="A246" s="13"/>
      <c r="B246" s="13"/>
      <c r="C246" s="13"/>
      <c r="D246" s="13"/>
      <c r="E246" s="13"/>
      <c r="F246" s="13"/>
      <c r="G246" s="13"/>
      <c r="H246" s="33"/>
      <c r="I246" s="33"/>
      <c r="J246" s="33"/>
      <c r="K246" s="33"/>
      <c r="L246" s="33"/>
      <c r="M246" s="33"/>
      <c r="N246" s="33"/>
      <c r="O246" s="33"/>
      <c r="P246" s="33"/>
      <c r="Q246" s="13"/>
    </row>
    <row r="247" spans="1:17">
      <c r="A247" s="13"/>
      <c r="B247" s="13"/>
      <c r="C247" s="13"/>
      <c r="D247" s="13"/>
      <c r="E247" s="13"/>
      <c r="F247" s="13"/>
      <c r="G247" s="13"/>
      <c r="H247" s="33"/>
      <c r="I247" s="33"/>
      <c r="J247" s="33"/>
      <c r="K247" s="33"/>
      <c r="L247" s="33"/>
      <c r="M247" s="33"/>
      <c r="N247" s="33"/>
      <c r="O247" s="33"/>
      <c r="P247" s="33"/>
      <c r="Q247" s="13"/>
    </row>
    <row r="248" spans="1:17">
      <c r="A248" s="13"/>
      <c r="B248" s="13"/>
      <c r="C248" s="13"/>
      <c r="D248" s="13"/>
      <c r="E248" s="13"/>
      <c r="F248" s="13"/>
      <c r="G248" s="13"/>
      <c r="H248" s="33"/>
      <c r="I248" s="33"/>
      <c r="J248" s="33"/>
      <c r="K248" s="33"/>
      <c r="L248" s="33"/>
      <c r="M248" s="33"/>
      <c r="N248" s="33"/>
      <c r="O248" s="33"/>
      <c r="P248" s="33"/>
      <c r="Q248" s="13"/>
    </row>
    <row r="249" spans="1:17">
      <c r="A249" s="13"/>
      <c r="B249" s="13"/>
      <c r="C249" s="13"/>
      <c r="D249" s="13"/>
      <c r="E249" s="13"/>
      <c r="F249" s="13"/>
      <c r="G249" s="13"/>
      <c r="H249" s="33"/>
      <c r="I249" s="33"/>
      <c r="J249" s="33"/>
      <c r="K249" s="33"/>
      <c r="L249" s="33"/>
      <c r="M249" s="33"/>
      <c r="N249" s="33"/>
      <c r="O249" s="33"/>
      <c r="P249" s="33"/>
      <c r="Q249" s="13"/>
    </row>
    <row r="250" spans="1:17">
      <c r="A250" s="13"/>
      <c r="B250" s="13"/>
      <c r="C250" s="13"/>
      <c r="D250" s="13"/>
      <c r="E250" s="13"/>
      <c r="F250" s="13"/>
      <c r="G250" s="13"/>
      <c r="H250" s="33"/>
      <c r="I250" s="33"/>
      <c r="J250" s="33"/>
      <c r="K250" s="33"/>
      <c r="L250" s="33"/>
      <c r="M250" s="33"/>
      <c r="N250" s="33"/>
      <c r="O250" s="33"/>
      <c r="P250" s="33"/>
      <c r="Q250" s="13"/>
    </row>
    <row r="251" spans="1:17">
      <c r="A251" s="13"/>
      <c r="B251" s="13"/>
      <c r="C251" s="13"/>
      <c r="D251" s="13"/>
      <c r="E251" s="13"/>
      <c r="F251" s="13"/>
      <c r="G251" s="13"/>
      <c r="H251" s="33"/>
      <c r="I251" s="33"/>
      <c r="J251" s="33"/>
      <c r="K251" s="33"/>
      <c r="L251" s="33"/>
      <c r="M251" s="33"/>
      <c r="N251" s="33"/>
      <c r="O251" s="33"/>
      <c r="P251" s="33"/>
      <c r="Q251" s="13"/>
    </row>
    <row r="252" spans="1:17">
      <c r="A252" s="13"/>
      <c r="B252" s="13"/>
      <c r="C252" s="13"/>
      <c r="D252" s="13"/>
      <c r="E252" s="13"/>
      <c r="F252" s="13"/>
      <c r="G252" s="13"/>
      <c r="H252" s="33"/>
      <c r="I252" s="33"/>
      <c r="J252" s="33"/>
      <c r="K252" s="33"/>
      <c r="L252" s="33"/>
      <c r="M252" s="33"/>
      <c r="N252" s="33"/>
      <c r="O252" s="33"/>
      <c r="P252" s="33"/>
      <c r="Q252" s="13"/>
    </row>
    <row r="253" spans="1:17">
      <c r="A253" s="13"/>
      <c r="B253" s="13"/>
      <c r="C253" s="13"/>
      <c r="D253" s="13"/>
      <c r="E253" s="13"/>
      <c r="F253" s="13"/>
      <c r="G253" s="13"/>
      <c r="H253" s="33"/>
      <c r="I253" s="33"/>
      <c r="J253" s="33"/>
      <c r="K253" s="33"/>
      <c r="L253" s="33"/>
      <c r="M253" s="33"/>
      <c r="N253" s="33"/>
      <c r="O253" s="33"/>
      <c r="P253" s="33"/>
      <c r="Q253" s="13"/>
    </row>
    <row r="254" spans="1:17">
      <c r="A254" s="13"/>
      <c r="B254" s="13"/>
      <c r="C254" s="13"/>
      <c r="D254" s="13"/>
      <c r="E254" s="13"/>
      <c r="F254" s="13"/>
      <c r="G254" s="13"/>
      <c r="H254" s="33"/>
      <c r="I254" s="33"/>
      <c r="J254" s="33"/>
      <c r="K254" s="33"/>
      <c r="L254" s="33"/>
      <c r="M254" s="33"/>
      <c r="N254" s="33"/>
      <c r="O254" s="33"/>
      <c r="P254" s="33"/>
      <c r="Q254" s="13"/>
    </row>
    <row r="255" spans="1:17">
      <c r="A255" s="13"/>
      <c r="B255" s="13"/>
      <c r="C255" s="13"/>
      <c r="D255" s="13"/>
      <c r="E255" s="13"/>
      <c r="F255" s="13"/>
      <c r="G255" s="13"/>
      <c r="H255" s="33"/>
      <c r="I255" s="33"/>
      <c r="J255" s="33"/>
      <c r="K255" s="33"/>
      <c r="L255" s="33"/>
      <c r="M255" s="33"/>
      <c r="N255" s="33"/>
      <c r="O255" s="33"/>
      <c r="P255" s="33"/>
      <c r="Q255" s="13"/>
    </row>
    <row r="256" spans="1:17">
      <c r="A256" s="13"/>
      <c r="B256" s="13"/>
      <c r="C256" s="13"/>
      <c r="D256" s="13"/>
      <c r="E256" s="13"/>
      <c r="F256" s="13"/>
      <c r="G256" s="13"/>
      <c r="H256" s="33"/>
      <c r="I256" s="33"/>
      <c r="J256" s="33"/>
      <c r="K256" s="33"/>
      <c r="L256" s="33"/>
      <c r="M256" s="33"/>
      <c r="N256" s="33"/>
      <c r="O256" s="33"/>
      <c r="P256" s="33"/>
      <c r="Q256" s="13"/>
    </row>
    <row r="257" spans="1:17">
      <c r="A257" s="13"/>
      <c r="B257" s="13"/>
      <c r="C257" s="13"/>
      <c r="D257" s="13"/>
      <c r="E257" s="13"/>
      <c r="F257" s="13"/>
      <c r="G257" s="13"/>
      <c r="H257" s="33"/>
      <c r="I257" s="33"/>
      <c r="J257" s="33"/>
      <c r="K257" s="33"/>
      <c r="L257" s="33"/>
      <c r="M257" s="33"/>
      <c r="N257" s="33"/>
      <c r="O257" s="33"/>
      <c r="P257" s="33"/>
      <c r="Q257" s="13"/>
    </row>
    <row r="258" spans="1:17">
      <c r="A258" s="13"/>
      <c r="B258" s="13"/>
      <c r="C258" s="13"/>
      <c r="D258" s="13"/>
      <c r="E258" s="13"/>
      <c r="F258" s="13"/>
      <c r="G258" s="13"/>
      <c r="H258" s="33"/>
      <c r="I258" s="33"/>
      <c r="J258" s="33"/>
      <c r="K258" s="33"/>
      <c r="L258" s="33"/>
      <c r="M258" s="33"/>
      <c r="N258" s="33"/>
      <c r="O258" s="33"/>
      <c r="P258" s="33"/>
      <c r="Q258" s="13"/>
    </row>
    <row r="259" spans="1:17">
      <c r="A259" s="13"/>
      <c r="B259" s="13"/>
      <c r="C259" s="13"/>
      <c r="D259" s="13"/>
      <c r="E259" s="13"/>
      <c r="F259" s="13"/>
      <c r="G259" s="13"/>
      <c r="H259" s="33"/>
      <c r="I259" s="33"/>
      <c r="J259" s="33"/>
      <c r="K259" s="33"/>
      <c r="L259" s="33"/>
      <c r="M259" s="33"/>
      <c r="N259" s="33"/>
      <c r="O259" s="33"/>
      <c r="P259" s="33"/>
      <c r="Q259" s="13"/>
    </row>
    <row r="260" spans="1:17">
      <c r="A260" s="13"/>
      <c r="B260" s="13"/>
      <c r="C260" s="13"/>
      <c r="D260" s="13"/>
      <c r="E260" s="13"/>
      <c r="F260" s="13"/>
      <c r="G260" s="13"/>
      <c r="H260" s="33"/>
      <c r="I260" s="33"/>
      <c r="J260" s="33"/>
      <c r="K260" s="33"/>
      <c r="L260" s="33"/>
      <c r="M260" s="33"/>
      <c r="N260" s="33"/>
      <c r="O260" s="33"/>
      <c r="P260" s="33"/>
      <c r="Q260" s="13"/>
    </row>
    <row r="261" spans="1:17">
      <c r="A261" s="13"/>
      <c r="B261" s="13"/>
      <c r="C261" s="13"/>
      <c r="D261" s="13"/>
      <c r="E261" s="13"/>
      <c r="F261" s="13"/>
      <c r="G261" s="13"/>
      <c r="H261" s="33"/>
      <c r="I261" s="33"/>
      <c r="J261" s="33"/>
      <c r="K261" s="33"/>
      <c r="L261" s="33"/>
      <c r="M261" s="33"/>
      <c r="N261" s="33"/>
      <c r="O261" s="33"/>
      <c r="P261" s="33"/>
      <c r="Q261" s="13"/>
    </row>
    <row r="262" spans="1:17">
      <c r="A262" s="13"/>
      <c r="B262" s="13"/>
      <c r="C262" s="13"/>
      <c r="D262" s="13"/>
      <c r="E262" s="13"/>
      <c r="F262" s="13"/>
      <c r="G262" s="13"/>
      <c r="H262" s="33"/>
      <c r="I262" s="33"/>
      <c r="J262" s="33"/>
      <c r="K262" s="33"/>
      <c r="L262" s="33"/>
      <c r="M262" s="33"/>
      <c r="N262" s="33"/>
      <c r="O262" s="33"/>
      <c r="P262" s="33"/>
      <c r="Q262" s="13"/>
    </row>
    <row r="263" spans="1:17">
      <c r="A263" s="13"/>
      <c r="B263" s="13"/>
      <c r="C263" s="13"/>
      <c r="D263" s="13"/>
      <c r="E263" s="13"/>
      <c r="F263" s="13"/>
      <c r="G263" s="13"/>
      <c r="H263" s="33"/>
      <c r="I263" s="33"/>
      <c r="J263" s="33"/>
      <c r="K263" s="33"/>
      <c r="L263" s="33"/>
      <c r="M263" s="33"/>
      <c r="N263" s="33"/>
      <c r="O263" s="33"/>
      <c r="P263" s="33"/>
      <c r="Q263" s="13"/>
    </row>
    <row r="264" spans="1:17">
      <c r="A264" s="13"/>
      <c r="B264" s="13"/>
      <c r="C264" s="13"/>
      <c r="D264" s="13"/>
      <c r="E264" s="13"/>
      <c r="F264" s="13"/>
      <c r="G264" s="13"/>
      <c r="H264" s="33"/>
      <c r="I264" s="33"/>
      <c r="J264" s="33"/>
      <c r="K264" s="33"/>
      <c r="L264" s="33"/>
      <c r="M264" s="33"/>
      <c r="N264" s="33"/>
      <c r="O264" s="33"/>
      <c r="P264" s="33"/>
      <c r="Q264" s="13"/>
    </row>
    <row r="265" spans="1:17">
      <c r="A265" s="13"/>
      <c r="B265" s="13"/>
      <c r="C265" s="13"/>
      <c r="D265" s="13"/>
      <c r="E265" s="13"/>
      <c r="F265" s="13"/>
      <c r="G265" s="13"/>
      <c r="H265" s="33"/>
      <c r="I265" s="33"/>
      <c r="J265" s="33"/>
      <c r="K265" s="33"/>
      <c r="L265" s="33"/>
      <c r="M265" s="33"/>
      <c r="N265" s="33"/>
      <c r="O265" s="33"/>
      <c r="P265" s="33"/>
      <c r="Q265" s="13"/>
    </row>
    <row r="266" spans="1:17">
      <c r="A266" s="13"/>
      <c r="B266" s="13"/>
      <c r="C266" s="13"/>
      <c r="D266" s="13"/>
      <c r="E266" s="13"/>
      <c r="F266" s="13"/>
      <c r="G266" s="13"/>
      <c r="H266" s="33"/>
      <c r="I266" s="33"/>
      <c r="J266" s="33"/>
      <c r="K266" s="33"/>
      <c r="L266" s="33"/>
      <c r="M266" s="33"/>
      <c r="N266" s="33"/>
      <c r="O266" s="33"/>
      <c r="P266" s="33"/>
      <c r="Q266" s="13"/>
    </row>
    <row r="267" spans="1:17">
      <c r="A267" s="13"/>
      <c r="B267" s="13"/>
      <c r="C267" s="13"/>
      <c r="D267" s="13"/>
      <c r="E267" s="13"/>
      <c r="F267" s="13"/>
      <c r="G267" s="13"/>
      <c r="H267" s="33"/>
      <c r="I267" s="33"/>
      <c r="J267" s="33"/>
      <c r="K267" s="33"/>
      <c r="L267" s="33"/>
      <c r="M267" s="33"/>
      <c r="N267" s="33"/>
      <c r="O267" s="33"/>
      <c r="P267" s="33"/>
      <c r="Q267" s="13"/>
    </row>
    <row r="268" spans="1:17">
      <c r="A268" s="13"/>
      <c r="B268" s="13"/>
      <c r="C268" s="13"/>
      <c r="D268" s="13"/>
      <c r="E268" s="13"/>
      <c r="F268" s="13"/>
      <c r="G268" s="13"/>
      <c r="H268" s="33"/>
      <c r="I268" s="33"/>
      <c r="J268" s="33"/>
      <c r="K268" s="33"/>
      <c r="L268" s="33"/>
      <c r="M268" s="33"/>
      <c r="N268" s="33"/>
      <c r="O268" s="33"/>
      <c r="P268" s="33"/>
      <c r="Q268" s="13"/>
    </row>
    <row r="269" spans="1:17">
      <c r="A269" s="13"/>
      <c r="B269" s="13"/>
      <c r="C269" s="13"/>
      <c r="D269" s="13"/>
      <c r="E269" s="13"/>
      <c r="F269" s="13"/>
      <c r="G269" s="13"/>
      <c r="H269" s="33"/>
      <c r="I269" s="33"/>
      <c r="J269" s="33"/>
      <c r="K269" s="33"/>
      <c r="L269" s="33"/>
      <c r="M269" s="33"/>
      <c r="N269" s="33"/>
      <c r="O269" s="33"/>
      <c r="P269" s="33"/>
      <c r="Q269" s="13"/>
    </row>
    <row r="270" spans="1:17">
      <c r="A270" s="13"/>
      <c r="B270" s="13"/>
      <c r="C270" s="13"/>
      <c r="D270" s="13"/>
      <c r="E270" s="13"/>
      <c r="F270" s="13"/>
      <c r="G270" s="13"/>
      <c r="H270" s="33"/>
      <c r="I270" s="33"/>
      <c r="J270" s="33"/>
      <c r="K270" s="33"/>
      <c r="L270" s="33"/>
      <c r="M270" s="33"/>
      <c r="N270" s="33"/>
      <c r="O270" s="33"/>
      <c r="P270" s="33"/>
      <c r="Q270" s="13"/>
    </row>
    <row r="271" spans="1:17">
      <c r="A271" s="13"/>
      <c r="B271" s="13"/>
      <c r="C271" s="13"/>
      <c r="D271" s="13"/>
      <c r="E271" s="13"/>
      <c r="F271" s="13"/>
      <c r="G271" s="13"/>
      <c r="H271" s="33"/>
      <c r="I271" s="33"/>
      <c r="J271" s="33"/>
      <c r="K271" s="33"/>
      <c r="L271" s="33"/>
      <c r="M271" s="33"/>
      <c r="N271" s="33"/>
      <c r="O271" s="33"/>
      <c r="P271" s="33"/>
      <c r="Q271" s="13"/>
    </row>
    <row r="272" spans="1:17">
      <c r="A272" s="13"/>
      <c r="B272" s="13"/>
      <c r="C272" s="13"/>
      <c r="D272" s="13"/>
      <c r="E272" s="13"/>
      <c r="F272" s="13"/>
      <c r="G272" s="13"/>
      <c r="H272" s="33"/>
      <c r="I272" s="33"/>
      <c r="J272" s="33"/>
      <c r="K272" s="33"/>
      <c r="L272" s="33"/>
      <c r="M272" s="33"/>
      <c r="N272" s="33"/>
      <c r="O272" s="33"/>
      <c r="P272" s="33"/>
      <c r="Q272" s="13"/>
    </row>
    <row r="273" spans="1:17">
      <c r="A273" s="13"/>
      <c r="B273" s="13"/>
      <c r="C273" s="13"/>
      <c r="D273" s="13"/>
      <c r="E273" s="13"/>
      <c r="F273" s="13"/>
      <c r="G273" s="13"/>
      <c r="H273" s="33"/>
      <c r="I273" s="33"/>
      <c r="J273" s="33"/>
      <c r="K273" s="33"/>
      <c r="L273" s="33"/>
      <c r="M273" s="33"/>
      <c r="N273" s="33"/>
      <c r="O273" s="33"/>
      <c r="P273" s="33"/>
      <c r="Q273" s="13"/>
    </row>
    <row r="274" spans="1:17">
      <c r="A274" s="13"/>
      <c r="B274" s="13"/>
      <c r="C274" s="13"/>
      <c r="D274" s="13"/>
      <c r="E274" s="13"/>
      <c r="F274" s="13"/>
      <c r="G274" s="13"/>
      <c r="H274" s="33"/>
      <c r="I274" s="33"/>
      <c r="J274" s="33"/>
      <c r="K274" s="33"/>
      <c r="L274" s="33"/>
      <c r="M274" s="33"/>
      <c r="N274" s="33"/>
      <c r="O274" s="33"/>
      <c r="P274" s="33"/>
      <c r="Q274" s="13"/>
    </row>
    <row r="275" spans="1:17">
      <c r="A275" s="13"/>
      <c r="B275" s="13"/>
      <c r="C275" s="13"/>
      <c r="D275" s="13"/>
      <c r="E275" s="13"/>
      <c r="F275" s="13"/>
      <c r="G275" s="13"/>
      <c r="H275" s="33"/>
      <c r="I275" s="33"/>
      <c r="J275" s="33"/>
      <c r="K275" s="33"/>
      <c r="L275" s="33"/>
      <c r="M275" s="33"/>
      <c r="N275" s="33"/>
      <c r="O275" s="33"/>
      <c r="P275" s="33"/>
      <c r="Q275" s="13"/>
    </row>
    <row r="276" spans="1:17">
      <c r="A276" s="13"/>
      <c r="B276" s="13"/>
      <c r="C276" s="13"/>
      <c r="D276" s="13"/>
      <c r="E276" s="13"/>
      <c r="F276" s="13"/>
      <c r="G276" s="13"/>
      <c r="H276" s="33"/>
      <c r="I276" s="33"/>
      <c r="J276" s="33"/>
      <c r="K276" s="33"/>
      <c r="L276" s="33"/>
      <c r="M276" s="33"/>
      <c r="N276" s="33"/>
      <c r="O276" s="33"/>
      <c r="P276" s="33"/>
      <c r="Q276" s="13"/>
    </row>
    <row r="277" spans="1:17">
      <c r="A277" s="13"/>
      <c r="B277" s="13"/>
      <c r="C277" s="13"/>
      <c r="D277" s="13"/>
      <c r="E277" s="13"/>
      <c r="F277" s="13"/>
      <c r="G277" s="13"/>
      <c r="H277" s="33"/>
      <c r="I277" s="33"/>
      <c r="J277" s="33"/>
      <c r="K277" s="33"/>
      <c r="L277" s="33"/>
      <c r="M277" s="33"/>
      <c r="N277" s="33"/>
      <c r="O277" s="33"/>
      <c r="P277" s="33"/>
      <c r="Q277" s="13"/>
    </row>
    <row r="278" spans="1:17">
      <c r="A278" s="13"/>
      <c r="B278" s="13"/>
      <c r="C278" s="13"/>
      <c r="D278" s="13"/>
      <c r="E278" s="13"/>
      <c r="F278" s="13"/>
      <c r="G278" s="13"/>
      <c r="H278" s="33"/>
      <c r="I278" s="33"/>
      <c r="J278" s="33"/>
      <c r="K278" s="33"/>
      <c r="L278" s="33"/>
      <c r="M278" s="33"/>
      <c r="N278" s="33"/>
      <c r="O278" s="33"/>
      <c r="P278" s="33"/>
      <c r="Q278" s="13"/>
    </row>
    <row r="279" spans="1:17">
      <c r="A279" s="13"/>
      <c r="B279" s="13"/>
      <c r="C279" s="13"/>
      <c r="D279" s="13"/>
      <c r="E279" s="13"/>
      <c r="F279" s="13"/>
      <c r="G279" s="13"/>
      <c r="H279" s="33"/>
      <c r="I279" s="33"/>
      <c r="J279" s="33"/>
      <c r="K279" s="33"/>
      <c r="L279" s="33"/>
      <c r="M279" s="33"/>
      <c r="N279" s="33"/>
      <c r="O279" s="33"/>
      <c r="P279" s="33"/>
      <c r="Q279" s="13"/>
    </row>
    <row r="280" spans="1:17">
      <c r="A280" s="13"/>
      <c r="B280" s="13"/>
      <c r="C280" s="13"/>
      <c r="D280" s="13"/>
      <c r="E280" s="13"/>
      <c r="F280" s="13"/>
      <c r="G280" s="13"/>
      <c r="H280" s="33"/>
      <c r="I280" s="33"/>
      <c r="J280" s="33"/>
      <c r="K280" s="33"/>
      <c r="L280" s="33"/>
      <c r="M280" s="33"/>
      <c r="N280" s="33"/>
      <c r="O280" s="33"/>
      <c r="P280" s="33"/>
      <c r="Q280" s="13"/>
    </row>
    <row r="281" spans="1:17">
      <c r="A281" s="13"/>
      <c r="B281" s="13"/>
      <c r="C281" s="13"/>
      <c r="D281" s="13"/>
      <c r="E281" s="13"/>
      <c r="F281" s="13"/>
      <c r="G281" s="13"/>
      <c r="H281" s="33"/>
      <c r="I281" s="33"/>
      <c r="J281" s="33"/>
      <c r="K281" s="33"/>
      <c r="L281" s="33"/>
      <c r="M281" s="33"/>
      <c r="N281" s="33"/>
      <c r="O281" s="33"/>
      <c r="P281" s="33"/>
      <c r="Q281" s="13"/>
    </row>
    <row r="282" spans="1:17">
      <c r="A282" s="13"/>
      <c r="B282" s="13"/>
      <c r="C282" s="13"/>
      <c r="D282" s="13"/>
      <c r="E282" s="13"/>
      <c r="F282" s="13"/>
      <c r="G282" s="13"/>
      <c r="H282" s="33"/>
      <c r="I282" s="33"/>
      <c r="J282" s="33"/>
      <c r="K282" s="33"/>
      <c r="L282" s="33"/>
      <c r="M282" s="33"/>
      <c r="N282" s="33"/>
      <c r="O282" s="33"/>
      <c r="P282" s="33"/>
      <c r="Q282" s="13"/>
    </row>
    <row r="283" spans="1:17">
      <c r="A283" s="13"/>
      <c r="B283" s="13"/>
      <c r="C283" s="13"/>
      <c r="D283" s="13"/>
      <c r="E283" s="13"/>
      <c r="F283" s="13"/>
      <c r="G283" s="13"/>
      <c r="H283" s="33"/>
      <c r="I283" s="33"/>
      <c r="J283" s="33"/>
      <c r="K283" s="33"/>
      <c r="L283" s="33"/>
      <c r="M283" s="33"/>
      <c r="N283" s="33"/>
      <c r="O283" s="33"/>
      <c r="P283" s="33"/>
      <c r="Q283" s="13"/>
    </row>
    <row r="284" spans="1:17">
      <c r="A284" s="13"/>
      <c r="B284" s="13"/>
      <c r="C284" s="13"/>
      <c r="D284" s="13"/>
      <c r="E284" s="13"/>
      <c r="F284" s="13"/>
      <c r="G284" s="13"/>
      <c r="H284" s="33"/>
      <c r="I284" s="33"/>
      <c r="J284" s="33"/>
      <c r="K284" s="33"/>
      <c r="L284" s="33"/>
      <c r="M284" s="33"/>
      <c r="N284" s="33"/>
      <c r="O284" s="33"/>
      <c r="P284" s="33"/>
      <c r="Q284" s="13"/>
    </row>
    <row r="285" spans="1:17">
      <c r="A285" s="13"/>
      <c r="B285" s="13"/>
      <c r="C285" s="13"/>
      <c r="D285" s="13"/>
      <c r="E285" s="13"/>
      <c r="F285" s="13"/>
      <c r="G285" s="13"/>
      <c r="H285" s="33"/>
      <c r="I285" s="33"/>
      <c r="J285" s="33"/>
      <c r="K285" s="33"/>
      <c r="L285" s="33"/>
      <c r="M285" s="33"/>
      <c r="N285" s="33"/>
      <c r="O285" s="33"/>
      <c r="P285" s="33"/>
      <c r="Q285" s="13"/>
    </row>
    <row r="286" spans="1:17">
      <c r="A286" s="13"/>
      <c r="B286" s="13"/>
      <c r="C286" s="13"/>
      <c r="D286" s="13"/>
      <c r="E286" s="13"/>
      <c r="F286" s="13"/>
      <c r="G286" s="13"/>
      <c r="H286" s="33"/>
      <c r="I286" s="33"/>
      <c r="J286" s="33"/>
      <c r="K286" s="33"/>
      <c r="L286" s="33"/>
      <c r="M286" s="33"/>
      <c r="N286" s="33"/>
      <c r="O286" s="33"/>
      <c r="P286" s="33"/>
      <c r="Q286" s="13"/>
    </row>
    <row r="287" spans="1:17">
      <c r="A287" s="13"/>
      <c r="B287" s="13"/>
      <c r="C287" s="13"/>
      <c r="D287" s="13"/>
      <c r="E287" s="13"/>
      <c r="F287" s="13"/>
      <c r="G287" s="13"/>
      <c r="H287" s="33"/>
      <c r="I287" s="33"/>
      <c r="J287" s="33"/>
      <c r="K287" s="33"/>
      <c r="L287" s="33"/>
      <c r="M287" s="33"/>
      <c r="N287" s="33"/>
      <c r="O287" s="33"/>
      <c r="P287" s="33"/>
      <c r="Q287" s="13"/>
    </row>
    <row r="288" spans="1:17">
      <c r="A288" s="13"/>
      <c r="B288" s="13"/>
      <c r="C288" s="13"/>
      <c r="D288" s="13"/>
      <c r="E288" s="13"/>
      <c r="F288" s="13"/>
      <c r="G288" s="13"/>
      <c r="H288" s="33"/>
      <c r="I288" s="33"/>
      <c r="J288" s="33"/>
      <c r="K288" s="33"/>
      <c r="L288" s="33"/>
      <c r="M288" s="33"/>
      <c r="N288" s="33"/>
      <c r="O288" s="33"/>
      <c r="P288" s="33"/>
      <c r="Q288" s="13"/>
    </row>
    <row r="289" spans="1:17">
      <c r="A289" s="13"/>
      <c r="B289" s="13"/>
      <c r="C289" s="13"/>
      <c r="D289" s="13"/>
      <c r="E289" s="13"/>
      <c r="F289" s="13"/>
      <c r="G289" s="13"/>
      <c r="H289" s="33"/>
      <c r="I289" s="33"/>
      <c r="J289" s="33"/>
      <c r="K289" s="33"/>
      <c r="L289" s="33"/>
      <c r="M289" s="33"/>
      <c r="N289" s="33"/>
      <c r="O289" s="33"/>
      <c r="P289" s="33"/>
      <c r="Q289" s="13"/>
    </row>
    <row r="290" spans="1:17">
      <c r="A290" s="13"/>
      <c r="B290" s="13"/>
      <c r="C290" s="13"/>
      <c r="D290" s="13"/>
      <c r="E290" s="13"/>
      <c r="F290" s="13"/>
      <c r="G290" s="13"/>
      <c r="H290" s="33"/>
      <c r="I290" s="33"/>
      <c r="J290" s="33"/>
      <c r="K290" s="33"/>
      <c r="L290" s="33"/>
      <c r="M290" s="33"/>
      <c r="N290" s="33"/>
      <c r="O290" s="33"/>
      <c r="P290" s="33"/>
      <c r="Q290" s="13"/>
    </row>
    <row r="291" spans="1:17">
      <c r="A291" s="13"/>
      <c r="B291" s="13"/>
      <c r="C291" s="13"/>
      <c r="D291" s="13"/>
      <c r="E291" s="13"/>
      <c r="F291" s="13"/>
      <c r="G291" s="13"/>
      <c r="H291" s="33"/>
      <c r="I291" s="33"/>
      <c r="J291" s="33"/>
      <c r="K291" s="33"/>
      <c r="L291" s="33"/>
      <c r="M291" s="33"/>
      <c r="N291" s="33"/>
      <c r="O291" s="33"/>
      <c r="P291" s="33"/>
      <c r="Q291" s="13"/>
    </row>
    <row r="292" spans="1:17">
      <c r="A292" s="13"/>
      <c r="B292" s="13"/>
      <c r="C292" s="13"/>
      <c r="D292" s="13"/>
      <c r="E292" s="13"/>
      <c r="F292" s="13"/>
      <c r="G292" s="13"/>
      <c r="H292" s="33"/>
      <c r="I292" s="33"/>
      <c r="J292" s="33"/>
      <c r="K292" s="33"/>
      <c r="L292" s="33"/>
      <c r="M292" s="33"/>
      <c r="N292" s="33"/>
      <c r="O292" s="33"/>
      <c r="P292" s="33"/>
      <c r="Q292" s="13"/>
    </row>
    <row r="293" spans="1:17">
      <c r="A293" s="13"/>
      <c r="B293" s="13"/>
      <c r="C293" s="13"/>
      <c r="D293" s="13"/>
      <c r="E293" s="13"/>
      <c r="F293" s="13"/>
      <c r="G293" s="13"/>
      <c r="H293" s="33"/>
      <c r="I293" s="33"/>
      <c r="J293" s="33"/>
      <c r="K293" s="33"/>
      <c r="L293" s="33"/>
      <c r="M293" s="33"/>
      <c r="N293" s="33"/>
      <c r="O293" s="33"/>
      <c r="P293" s="33"/>
      <c r="Q293" s="13"/>
    </row>
    <row r="294" spans="1:17">
      <c r="A294" s="13"/>
      <c r="B294" s="13"/>
      <c r="C294" s="13"/>
      <c r="D294" s="13"/>
      <c r="E294" s="13"/>
      <c r="F294" s="13"/>
      <c r="G294" s="13"/>
      <c r="H294" s="33"/>
      <c r="I294" s="33"/>
      <c r="J294" s="33"/>
      <c r="K294" s="33"/>
      <c r="L294" s="33"/>
      <c r="M294" s="33"/>
      <c r="N294" s="33"/>
      <c r="O294" s="33"/>
      <c r="P294" s="33"/>
      <c r="Q294" s="13"/>
    </row>
    <row r="295" spans="1:17">
      <c r="A295" s="13"/>
      <c r="B295" s="13"/>
      <c r="C295" s="13"/>
      <c r="D295" s="13"/>
      <c r="E295" s="13"/>
      <c r="F295" s="13"/>
      <c r="G295" s="13"/>
      <c r="H295" s="33"/>
      <c r="I295" s="33"/>
      <c r="J295" s="33"/>
      <c r="K295" s="33"/>
      <c r="L295" s="33"/>
      <c r="M295" s="33"/>
      <c r="N295" s="33"/>
      <c r="O295" s="33"/>
      <c r="P295" s="33"/>
      <c r="Q295" s="13"/>
    </row>
    <row r="296" spans="1:17">
      <c r="A296" s="13"/>
      <c r="B296" s="13"/>
      <c r="C296" s="13"/>
      <c r="D296" s="13"/>
      <c r="E296" s="13"/>
      <c r="F296" s="13"/>
      <c r="G296" s="13"/>
      <c r="H296" s="33"/>
      <c r="I296" s="33"/>
      <c r="J296" s="33"/>
      <c r="K296" s="33"/>
      <c r="L296" s="33"/>
      <c r="M296" s="33"/>
      <c r="N296" s="33"/>
      <c r="O296" s="33"/>
      <c r="P296" s="33"/>
      <c r="Q296" s="13"/>
    </row>
    <row r="297" spans="1:17">
      <c r="A297" s="13"/>
      <c r="B297" s="13"/>
      <c r="C297" s="13"/>
      <c r="D297" s="13"/>
      <c r="E297" s="13"/>
      <c r="F297" s="13"/>
      <c r="G297" s="13"/>
      <c r="H297" s="33"/>
      <c r="I297" s="33"/>
      <c r="J297" s="33"/>
      <c r="K297" s="33"/>
      <c r="L297" s="33"/>
      <c r="M297" s="33"/>
      <c r="N297" s="33"/>
      <c r="O297" s="33"/>
      <c r="P297" s="33"/>
      <c r="Q297" s="13"/>
    </row>
    <row r="298" spans="1:17">
      <c r="A298" s="13"/>
      <c r="B298" s="13"/>
      <c r="C298" s="13"/>
      <c r="D298" s="13"/>
      <c r="E298" s="13"/>
      <c r="F298" s="13"/>
      <c r="G298" s="13"/>
      <c r="H298" s="33"/>
      <c r="I298" s="33"/>
      <c r="J298" s="33"/>
      <c r="K298" s="33"/>
      <c r="L298" s="33"/>
      <c r="M298" s="33"/>
      <c r="N298" s="33"/>
      <c r="O298" s="33"/>
      <c r="P298" s="33"/>
      <c r="Q298" s="13"/>
    </row>
    <row r="299" spans="1:17">
      <c r="A299" s="13"/>
      <c r="B299" s="13"/>
      <c r="C299" s="13"/>
      <c r="D299" s="13"/>
      <c r="E299" s="13"/>
      <c r="F299" s="13"/>
      <c r="G299" s="13"/>
      <c r="H299" s="33"/>
      <c r="I299" s="33"/>
      <c r="J299" s="33"/>
      <c r="K299" s="33"/>
      <c r="L299" s="33"/>
      <c r="M299" s="33"/>
      <c r="N299" s="33"/>
      <c r="O299" s="33"/>
      <c r="P299" s="33"/>
      <c r="Q299" s="13"/>
    </row>
    <row r="300" spans="1:17">
      <c r="A300" s="13"/>
      <c r="B300" s="13"/>
      <c r="C300" s="13"/>
      <c r="D300" s="13"/>
      <c r="E300" s="13"/>
      <c r="F300" s="13"/>
      <c r="G300" s="13"/>
      <c r="H300" s="33"/>
      <c r="I300" s="33"/>
      <c r="J300" s="33"/>
      <c r="K300" s="33"/>
      <c r="L300" s="33"/>
      <c r="M300" s="33"/>
      <c r="N300" s="33"/>
      <c r="O300" s="33"/>
      <c r="P300" s="33"/>
      <c r="Q300" s="13"/>
    </row>
    <row r="301" spans="1:17">
      <c r="A301" s="13"/>
      <c r="B301" s="13"/>
      <c r="C301" s="13"/>
      <c r="D301" s="13"/>
      <c r="E301" s="13"/>
      <c r="F301" s="13"/>
      <c r="G301" s="13"/>
      <c r="H301" s="33"/>
      <c r="I301" s="33"/>
      <c r="J301" s="33"/>
      <c r="K301" s="33"/>
      <c r="L301" s="33"/>
      <c r="M301" s="33"/>
      <c r="N301" s="33"/>
      <c r="O301" s="33"/>
      <c r="P301" s="33"/>
      <c r="Q301" s="13"/>
    </row>
    <row r="302" spans="1:17">
      <c r="A302" s="13"/>
      <c r="B302" s="13"/>
      <c r="C302" s="13"/>
      <c r="D302" s="13"/>
      <c r="E302" s="13"/>
      <c r="F302" s="13"/>
      <c r="G302" s="13"/>
      <c r="H302" s="33"/>
      <c r="I302" s="33"/>
      <c r="J302" s="33"/>
      <c r="K302" s="33"/>
      <c r="L302" s="33"/>
      <c r="M302" s="33"/>
      <c r="N302" s="33"/>
      <c r="O302" s="33"/>
      <c r="P302" s="33"/>
      <c r="Q302" s="13"/>
    </row>
    <row r="303" spans="1:17">
      <c r="A303" s="13"/>
      <c r="B303" s="13"/>
      <c r="C303" s="13"/>
      <c r="D303" s="13"/>
      <c r="E303" s="13"/>
      <c r="F303" s="13"/>
      <c r="G303" s="13"/>
      <c r="H303" s="33"/>
      <c r="I303" s="33"/>
      <c r="J303" s="33"/>
      <c r="K303" s="33"/>
      <c r="L303" s="33"/>
      <c r="M303" s="33"/>
      <c r="N303" s="33"/>
      <c r="O303" s="33"/>
      <c r="P303" s="33"/>
      <c r="Q303" s="13"/>
    </row>
    <row r="304" spans="1:17">
      <c r="A304" s="13"/>
      <c r="B304" s="13"/>
      <c r="C304" s="13"/>
      <c r="D304" s="13"/>
      <c r="E304" s="13"/>
      <c r="F304" s="13"/>
      <c r="G304" s="13"/>
      <c r="H304" s="33"/>
      <c r="I304" s="33"/>
      <c r="J304" s="33"/>
      <c r="K304" s="33"/>
      <c r="L304" s="33"/>
      <c r="M304" s="33"/>
      <c r="N304" s="33"/>
      <c r="O304" s="33"/>
      <c r="P304" s="33"/>
      <c r="Q304" s="13"/>
    </row>
    <row r="305" spans="1:17">
      <c r="A305" s="13"/>
      <c r="B305" s="13"/>
      <c r="C305" s="13"/>
      <c r="D305" s="13"/>
      <c r="E305" s="13"/>
      <c r="F305" s="13"/>
      <c r="G305" s="13"/>
      <c r="H305" s="33"/>
      <c r="I305" s="33"/>
      <c r="J305" s="33"/>
      <c r="K305" s="33"/>
      <c r="L305" s="33"/>
      <c r="M305" s="33"/>
      <c r="N305" s="33"/>
      <c r="O305" s="33"/>
      <c r="P305" s="33"/>
      <c r="Q305" s="13"/>
    </row>
    <row r="306" spans="1:17">
      <c r="A306" s="13"/>
      <c r="B306" s="13"/>
      <c r="C306" s="13"/>
      <c r="D306" s="13"/>
      <c r="E306" s="13"/>
      <c r="F306" s="13"/>
      <c r="G306" s="13"/>
      <c r="H306" s="33"/>
      <c r="I306" s="33"/>
      <c r="J306" s="33"/>
      <c r="K306" s="33"/>
      <c r="L306" s="33"/>
      <c r="M306" s="33"/>
      <c r="N306" s="33"/>
      <c r="O306" s="33"/>
      <c r="P306" s="33"/>
      <c r="Q306" s="13"/>
    </row>
    <row r="307" spans="1:17">
      <c r="A307" s="13"/>
      <c r="B307" s="13"/>
      <c r="C307" s="13"/>
      <c r="D307" s="13"/>
      <c r="E307" s="13"/>
      <c r="F307" s="13"/>
      <c r="G307" s="13"/>
      <c r="H307" s="33"/>
      <c r="I307" s="33"/>
      <c r="J307" s="33"/>
      <c r="K307" s="33"/>
      <c r="L307" s="33"/>
      <c r="M307" s="33"/>
      <c r="N307" s="33"/>
      <c r="O307" s="33"/>
      <c r="P307" s="33"/>
      <c r="Q307" s="13"/>
    </row>
    <row r="308" spans="1:17">
      <c r="A308" s="13"/>
      <c r="B308" s="13"/>
      <c r="C308" s="13"/>
      <c r="D308" s="13"/>
      <c r="E308" s="13"/>
      <c r="F308" s="13"/>
      <c r="G308" s="13"/>
      <c r="H308" s="33"/>
      <c r="I308" s="33"/>
      <c r="J308" s="33"/>
      <c r="K308" s="33"/>
      <c r="L308" s="33"/>
      <c r="M308" s="33"/>
      <c r="N308" s="33"/>
      <c r="O308" s="33"/>
      <c r="P308" s="33"/>
      <c r="Q308" s="13"/>
    </row>
    <row r="309" spans="1:17">
      <c r="A309" s="13"/>
      <c r="B309" s="13"/>
      <c r="C309" s="13"/>
      <c r="D309" s="13"/>
      <c r="E309" s="13"/>
      <c r="F309" s="13"/>
      <c r="G309" s="13"/>
      <c r="H309" s="33"/>
      <c r="I309" s="33"/>
      <c r="J309" s="33"/>
      <c r="K309" s="33"/>
      <c r="L309" s="33"/>
      <c r="M309" s="33"/>
      <c r="N309" s="33"/>
      <c r="O309" s="33"/>
      <c r="P309" s="33"/>
      <c r="Q309" s="13"/>
    </row>
    <row r="310" spans="1:17">
      <c r="A310" s="13"/>
      <c r="B310" s="13"/>
      <c r="C310" s="13"/>
      <c r="D310" s="13"/>
      <c r="E310" s="13"/>
      <c r="F310" s="13"/>
      <c r="G310" s="13"/>
      <c r="H310" s="33"/>
      <c r="I310" s="33"/>
      <c r="J310" s="33"/>
      <c r="K310" s="33"/>
      <c r="L310" s="33"/>
      <c r="M310" s="33"/>
      <c r="N310" s="33"/>
      <c r="O310" s="33"/>
      <c r="P310" s="33"/>
      <c r="Q310" s="13"/>
    </row>
    <row r="311" spans="1:17">
      <c r="A311" s="13"/>
      <c r="B311" s="13"/>
      <c r="C311" s="13"/>
      <c r="D311" s="13"/>
      <c r="E311" s="13"/>
      <c r="F311" s="13"/>
      <c r="G311" s="13"/>
      <c r="H311" s="33"/>
      <c r="I311" s="33"/>
      <c r="J311" s="33"/>
      <c r="K311" s="33"/>
      <c r="L311" s="33"/>
      <c r="M311" s="33"/>
      <c r="N311" s="33"/>
      <c r="O311" s="33"/>
      <c r="P311" s="33"/>
      <c r="Q311" s="13"/>
    </row>
    <row r="312" spans="1:17">
      <c r="A312" s="13"/>
      <c r="B312" s="13"/>
      <c r="C312" s="13"/>
      <c r="D312" s="13"/>
      <c r="E312" s="13"/>
      <c r="F312" s="13"/>
      <c r="G312" s="13"/>
      <c r="H312" s="33"/>
      <c r="I312" s="33"/>
      <c r="J312" s="33"/>
      <c r="K312" s="33"/>
      <c r="L312" s="33"/>
      <c r="M312" s="33"/>
      <c r="N312" s="33"/>
      <c r="O312" s="33"/>
      <c r="P312" s="33"/>
      <c r="Q312" s="13"/>
    </row>
    <row r="313" spans="1:17">
      <c r="A313" s="13"/>
      <c r="B313" s="13"/>
      <c r="C313" s="13"/>
      <c r="D313" s="13"/>
      <c r="E313" s="13"/>
      <c r="F313" s="13"/>
      <c r="G313" s="13"/>
      <c r="H313" s="33"/>
      <c r="I313" s="33"/>
      <c r="J313" s="33"/>
      <c r="K313" s="33"/>
      <c r="L313" s="33"/>
      <c r="M313" s="33"/>
      <c r="N313" s="33"/>
      <c r="O313" s="33"/>
      <c r="P313" s="33"/>
      <c r="Q313" s="13"/>
    </row>
    <row r="314" spans="1:17">
      <c r="A314" s="13"/>
      <c r="B314" s="13"/>
      <c r="C314" s="13"/>
      <c r="D314" s="13"/>
      <c r="E314" s="13"/>
      <c r="F314" s="13"/>
      <c r="G314" s="13"/>
      <c r="H314" s="33"/>
      <c r="I314" s="33"/>
      <c r="J314" s="33"/>
      <c r="K314" s="33"/>
      <c r="L314" s="33"/>
      <c r="M314" s="33"/>
      <c r="N314" s="33"/>
      <c r="O314" s="33"/>
      <c r="P314" s="33"/>
      <c r="Q314" s="13"/>
    </row>
    <row r="315" spans="1:17">
      <c r="A315" s="13"/>
      <c r="B315" s="13"/>
      <c r="C315" s="13"/>
      <c r="D315" s="13"/>
      <c r="E315" s="13"/>
      <c r="F315" s="13"/>
      <c r="G315" s="13"/>
      <c r="H315" s="33"/>
      <c r="I315" s="33"/>
      <c r="J315" s="33"/>
      <c r="K315" s="33"/>
      <c r="L315" s="33"/>
      <c r="M315" s="33"/>
      <c r="N315" s="33"/>
      <c r="O315" s="33"/>
      <c r="P315" s="33"/>
      <c r="Q315" s="13"/>
    </row>
    <row r="316" spans="1:17">
      <c r="A316" s="13"/>
      <c r="B316" s="13"/>
      <c r="C316" s="13"/>
      <c r="D316" s="13"/>
      <c r="E316" s="13"/>
      <c r="F316" s="13"/>
      <c r="G316" s="13"/>
      <c r="H316" s="33"/>
      <c r="I316" s="33"/>
      <c r="J316" s="33"/>
      <c r="K316" s="33"/>
      <c r="L316" s="33"/>
      <c r="M316" s="33"/>
      <c r="N316" s="33"/>
      <c r="O316" s="33"/>
      <c r="P316" s="33"/>
      <c r="Q316" s="13"/>
    </row>
    <row r="317" spans="1:17">
      <c r="A317" s="13"/>
      <c r="B317" s="13"/>
      <c r="C317" s="13"/>
      <c r="D317" s="13"/>
      <c r="E317" s="13"/>
      <c r="F317" s="13"/>
      <c r="G317" s="13"/>
      <c r="H317" s="33"/>
      <c r="I317" s="33"/>
      <c r="J317" s="33"/>
      <c r="K317" s="33"/>
      <c r="L317" s="33"/>
      <c r="M317" s="33"/>
      <c r="N317" s="33"/>
      <c r="O317" s="33"/>
      <c r="P317" s="33"/>
      <c r="Q317" s="13"/>
    </row>
    <row r="318" spans="1:17">
      <c r="A318" s="13"/>
      <c r="B318" s="13"/>
      <c r="C318" s="13"/>
      <c r="D318" s="13"/>
      <c r="E318" s="13"/>
      <c r="F318" s="13"/>
      <c r="G318" s="13"/>
      <c r="H318" s="33"/>
      <c r="I318" s="33"/>
      <c r="J318" s="33"/>
      <c r="K318" s="33"/>
      <c r="L318" s="33"/>
      <c r="M318" s="33"/>
      <c r="N318" s="33"/>
      <c r="O318" s="33"/>
      <c r="P318" s="33"/>
      <c r="Q318" s="13"/>
    </row>
    <row r="319" spans="1:17">
      <c r="A319" s="13"/>
      <c r="B319" s="13"/>
      <c r="C319" s="13"/>
      <c r="D319" s="13"/>
      <c r="E319" s="13"/>
      <c r="F319" s="13"/>
      <c r="G319" s="13"/>
      <c r="H319" s="33"/>
      <c r="I319" s="33"/>
      <c r="J319" s="33"/>
      <c r="K319" s="33"/>
      <c r="L319" s="33"/>
      <c r="M319" s="33"/>
      <c r="N319" s="33"/>
      <c r="O319" s="33"/>
      <c r="P319" s="33"/>
      <c r="Q319" s="13"/>
    </row>
    <row r="320" spans="1:17">
      <c r="A320" s="13"/>
      <c r="B320" s="13"/>
      <c r="C320" s="13"/>
      <c r="D320" s="13"/>
      <c r="E320" s="13"/>
      <c r="F320" s="13"/>
      <c r="G320" s="13"/>
      <c r="H320" s="33"/>
      <c r="I320" s="33"/>
      <c r="J320" s="33"/>
      <c r="K320" s="33"/>
      <c r="L320" s="33"/>
      <c r="M320" s="33"/>
      <c r="N320" s="33"/>
      <c r="O320" s="33"/>
      <c r="P320" s="33"/>
      <c r="Q320" s="13"/>
    </row>
    <row r="321" spans="1:17">
      <c r="A321" s="13"/>
      <c r="B321" s="13"/>
      <c r="C321" s="13"/>
      <c r="D321" s="13"/>
      <c r="E321" s="13"/>
      <c r="F321" s="13"/>
      <c r="G321" s="13"/>
      <c r="H321" s="33"/>
      <c r="I321" s="33"/>
      <c r="J321" s="33"/>
      <c r="K321" s="33"/>
      <c r="L321" s="33"/>
      <c r="M321" s="33"/>
      <c r="N321" s="33"/>
      <c r="O321" s="33"/>
      <c r="P321" s="33"/>
      <c r="Q321" s="13"/>
    </row>
    <row r="322" spans="1:17">
      <c r="A322" s="13"/>
      <c r="B322" s="13"/>
      <c r="C322" s="13"/>
      <c r="D322" s="13"/>
      <c r="E322" s="13"/>
      <c r="F322" s="13"/>
      <c r="G322" s="13"/>
      <c r="H322" s="33"/>
      <c r="I322" s="33"/>
      <c r="J322" s="33"/>
      <c r="K322" s="33"/>
      <c r="L322" s="33"/>
      <c r="M322" s="33"/>
      <c r="N322" s="33"/>
      <c r="O322" s="33"/>
      <c r="P322" s="33"/>
      <c r="Q322" s="13"/>
    </row>
    <row r="323" spans="1:17">
      <c r="A323" s="13"/>
      <c r="B323" s="13"/>
      <c r="C323" s="13"/>
      <c r="D323" s="13"/>
      <c r="E323" s="13"/>
      <c r="F323" s="13"/>
      <c r="G323" s="13"/>
      <c r="H323" s="33"/>
      <c r="I323" s="33"/>
      <c r="J323" s="33"/>
      <c r="K323" s="33"/>
      <c r="L323" s="33"/>
      <c r="M323" s="33"/>
      <c r="N323" s="33"/>
      <c r="O323" s="33"/>
      <c r="P323" s="33"/>
      <c r="Q323" s="13"/>
    </row>
    <row r="324" spans="1:17">
      <c r="A324" s="13"/>
      <c r="B324" s="13"/>
      <c r="C324" s="13"/>
      <c r="D324" s="13"/>
      <c r="E324" s="13"/>
      <c r="F324" s="13"/>
      <c r="G324" s="13"/>
      <c r="H324" s="33"/>
      <c r="I324" s="33"/>
      <c r="J324" s="33"/>
      <c r="K324" s="33"/>
      <c r="L324" s="33"/>
      <c r="M324" s="33"/>
      <c r="N324" s="33"/>
      <c r="O324" s="33"/>
      <c r="P324" s="33"/>
      <c r="Q324" s="13"/>
    </row>
    <row r="325" spans="1:17">
      <c r="A325" s="13"/>
      <c r="B325" s="13"/>
      <c r="C325" s="13"/>
      <c r="D325" s="13"/>
      <c r="E325" s="13"/>
      <c r="F325" s="13"/>
      <c r="G325" s="13"/>
      <c r="H325" s="33"/>
      <c r="I325" s="33"/>
      <c r="J325" s="33"/>
      <c r="K325" s="33"/>
      <c r="L325" s="33"/>
      <c r="M325" s="33"/>
      <c r="N325" s="33"/>
      <c r="O325" s="33"/>
      <c r="P325" s="33"/>
      <c r="Q325" s="13"/>
    </row>
    <row r="326" spans="1:17">
      <c r="A326" s="13"/>
      <c r="B326" s="13"/>
      <c r="C326" s="13"/>
      <c r="D326" s="13"/>
      <c r="E326" s="13"/>
      <c r="F326" s="13"/>
      <c r="G326" s="13"/>
      <c r="H326" s="33"/>
      <c r="I326" s="33"/>
      <c r="J326" s="33"/>
      <c r="K326" s="33"/>
      <c r="L326" s="33"/>
      <c r="M326" s="33"/>
      <c r="N326" s="33"/>
      <c r="O326" s="33"/>
      <c r="P326" s="33"/>
      <c r="Q326" s="13"/>
    </row>
    <row r="327" spans="1:17">
      <c r="A327" s="13"/>
      <c r="B327" s="13"/>
      <c r="C327" s="13"/>
      <c r="D327" s="13"/>
      <c r="E327" s="13"/>
      <c r="F327" s="13"/>
      <c r="G327" s="13"/>
      <c r="H327" s="33"/>
      <c r="I327" s="33"/>
      <c r="J327" s="33"/>
      <c r="K327" s="33"/>
      <c r="L327" s="33"/>
      <c r="M327" s="33"/>
      <c r="N327" s="33"/>
      <c r="O327" s="33"/>
      <c r="P327" s="33"/>
      <c r="Q327" s="13"/>
    </row>
    <row r="328" spans="1:17">
      <c r="A328" s="13"/>
      <c r="B328" s="13"/>
      <c r="C328" s="13"/>
      <c r="D328" s="13"/>
      <c r="E328" s="13"/>
      <c r="F328" s="13"/>
      <c r="G328" s="13"/>
      <c r="H328" s="33"/>
      <c r="I328" s="33"/>
      <c r="J328" s="33"/>
      <c r="K328" s="33"/>
      <c r="L328" s="33"/>
      <c r="M328" s="33"/>
      <c r="N328" s="33"/>
      <c r="O328" s="33"/>
      <c r="P328" s="33"/>
      <c r="Q328" s="13"/>
    </row>
    <row r="329" spans="1:17">
      <c r="A329" s="13"/>
      <c r="B329" s="13"/>
      <c r="C329" s="13"/>
      <c r="D329" s="13"/>
      <c r="E329" s="13"/>
      <c r="F329" s="13"/>
      <c r="G329" s="13"/>
      <c r="H329" s="33"/>
      <c r="I329" s="33"/>
      <c r="J329" s="33"/>
      <c r="K329" s="33"/>
      <c r="L329" s="33"/>
      <c r="M329" s="33"/>
      <c r="N329" s="33"/>
      <c r="O329" s="33"/>
      <c r="P329" s="33"/>
      <c r="Q329" s="13"/>
    </row>
    <row r="330" spans="1:17">
      <c r="A330" s="13"/>
      <c r="B330" s="13"/>
      <c r="C330" s="13"/>
      <c r="D330" s="13"/>
      <c r="E330" s="13"/>
      <c r="F330" s="13"/>
      <c r="G330" s="13"/>
      <c r="H330" s="33"/>
      <c r="I330" s="33"/>
      <c r="J330" s="33"/>
      <c r="K330" s="33"/>
      <c r="L330" s="33"/>
      <c r="M330" s="33"/>
      <c r="N330" s="33"/>
      <c r="O330" s="33"/>
      <c r="P330" s="33"/>
      <c r="Q330" s="13"/>
    </row>
    <row r="331" spans="1:17">
      <c r="A331" s="13"/>
      <c r="B331" s="13"/>
      <c r="C331" s="13"/>
      <c r="D331" s="13"/>
      <c r="E331" s="13"/>
      <c r="F331" s="13"/>
      <c r="G331" s="13"/>
      <c r="H331" s="33"/>
      <c r="I331" s="33"/>
      <c r="J331" s="33"/>
      <c r="K331" s="33"/>
      <c r="L331" s="33"/>
      <c r="M331" s="33"/>
      <c r="N331" s="33"/>
      <c r="O331" s="33"/>
      <c r="P331" s="33"/>
      <c r="Q331" s="13"/>
    </row>
    <row r="332" spans="1:17">
      <c r="A332" s="13"/>
      <c r="B332" s="13"/>
      <c r="C332" s="13"/>
      <c r="D332" s="13"/>
      <c r="E332" s="13"/>
      <c r="F332" s="13"/>
      <c r="G332" s="13"/>
      <c r="H332" s="33"/>
      <c r="I332" s="33"/>
      <c r="J332" s="33"/>
      <c r="K332" s="33"/>
      <c r="L332" s="33"/>
      <c r="M332" s="33"/>
      <c r="N332" s="33"/>
      <c r="O332" s="33"/>
      <c r="P332" s="33"/>
      <c r="Q332" s="13"/>
    </row>
    <row r="333" spans="1:17">
      <c r="A333" s="13"/>
      <c r="B333" s="13"/>
      <c r="C333" s="13"/>
      <c r="D333" s="13"/>
      <c r="E333" s="13"/>
      <c r="F333" s="13"/>
      <c r="G333" s="13"/>
      <c r="H333" s="33"/>
      <c r="I333" s="33"/>
      <c r="J333" s="33"/>
      <c r="K333" s="33"/>
      <c r="L333" s="33"/>
      <c r="M333" s="33"/>
      <c r="N333" s="33"/>
      <c r="O333" s="33"/>
      <c r="P333" s="33"/>
      <c r="Q333" s="13"/>
    </row>
    <row r="334" spans="1:17">
      <c r="A334" s="13"/>
      <c r="B334" s="13"/>
      <c r="C334" s="13"/>
      <c r="D334" s="13"/>
      <c r="E334" s="13"/>
      <c r="F334" s="13"/>
      <c r="G334" s="13"/>
      <c r="H334" s="33"/>
      <c r="I334" s="33"/>
      <c r="J334" s="33"/>
      <c r="K334" s="33"/>
      <c r="L334" s="33"/>
      <c r="M334" s="33"/>
      <c r="N334" s="33"/>
      <c r="O334" s="33"/>
      <c r="P334" s="33"/>
      <c r="Q334" s="13"/>
    </row>
    <row r="335" spans="1:17">
      <c r="A335" s="13"/>
      <c r="B335" s="13"/>
      <c r="C335" s="13"/>
      <c r="D335" s="13"/>
      <c r="E335" s="13"/>
      <c r="F335" s="13"/>
      <c r="G335" s="13"/>
      <c r="H335" s="33"/>
      <c r="I335" s="33"/>
      <c r="J335" s="33"/>
      <c r="K335" s="33"/>
      <c r="L335" s="33"/>
      <c r="M335" s="33"/>
      <c r="N335" s="33"/>
      <c r="O335" s="33"/>
      <c r="P335" s="33"/>
      <c r="Q335" s="13"/>
    </row>
    <row r="336" spans="1:17">
      <c r="A336" s="13"/>
      <c r="B336" s="13"/>
      <c r="C336" s="13"/>
      <c r="D336" s="13"/>
      <c r="E336" s="13"/>
      <c r="F336" s="13"/>
      <c r="G336" s="13"/>
      <c r="H336" s="33"/>
      <c r="I336" s="33"/>
      <c r="J336" s="33"/>
      <c r="K336" s="33"/>
      <c r="L336" s="33"/>
      <c r="M336" s="33"/>
      <c r="N336" s="33"/>
      <c r="O336" s="33"/>
      <c r="P336" s="33"/>
      <c r="Q336" s="13"/>
    </row>
    <row r="337" spans="1:17">
      <c r="A337" s="13"/>
      <c r="B337" s="13"/>
      <c r="C337" s="13"/>
      <c r="D337" s="13"/>
      <c r="E337" s="13"/>
      <c r="F337" s="13"/>
      <c r="G337" s="13"/>
      <c r="H337" s="33"/>
      <c r="I337" s="33"/>
      <c r="J337" s="33"/>
      <c r="K337" s="33"/>
      <c r="L337" s="33"/>
      <c r="M337" s="33"/>
      <c r="N337" s="33"/>
      <c r="O337" s="33"/>
      <c r="P337" s="33"/>
      <c r="Q337" s="13"/>
    </row>
    <row r="338" spans="1:17">
      <c r="A338" s="13"/>
      <c r="B338" s="13"/>
      <c r="C338" s="13"/>
      <c r="D338" s="13"/>
      <c r="E338" s="13"/>
      <c r="F338" s="13"/>
      <c r="G338" s="13"/>
      <c r="H338" s="33"/>
      <c r="I338" s="33"/>
      <c r="J338" s="33"/>
      <c r="K338" s="33"/>
      <c r="L338" s="33"/>
      <c r="M338" s="33"/>
      <c r="N338" s="33"/>
      <c r="O338" s="33"/>
      <c r="P338" s="33"/>
      <c r="Q338" s="13"/>
    </row>
    <row r="339" spans="1:17">
      <c r="A339" s="13"/>
      <c r="B339" s="13"/>
      <c r="C339" s="13"/>
      <c r="D339" s="13"/>
      <c r="E339" s="13"/>
      <c r="F339" s="13"/>
      <c r="G339" s="13"/>
      <c r="H339" s="33"/>
      <c r="I339" s="33"/>
      <c r="J339" s="33"/>
      <c r="K339" s="33"/>
      <c r="L339" s="33"/>
      <c r="M339" s="33"/>
      <c r="N339" s="33"/>
      <c r="O339" s="33"/>
      <c r="P339" s="33"/>
      <c r="Q339" s="13"/>
    </row>
    <row r="340" spans="1:17">
      <c r="A340" s="13"/>
      <c r="B340" s="13"/>
      <c r="C340" s="13"/>
      <c r="D340" s="13"/>
      <c r="E340" s="13"/>
      <c r="F340" s="13"/>
      <c r="G340" s="13"/>
      <c r="H340" s="33"/>
      <c r="I340" s="33"/>
      <c r="J340" s="33"/>
      <c r="K340" s="33"/>
      <c r="L340" s="33"/>
      <c r="M340" s="33"/>
      <c r="N340" s="33"/>
      <c r="O340" s="33"/>
      <c r="P340" s="33"/>
      <c r="Q340" s="13"/>
    </row>
    <row r="341" spans="1:17">
      <c r="A341" s="13"/>
      <c r="B341" s="13"/>
      <c r="C341" s="13"/>
      <c r="D341" s="13"/>
      <c r="E341" s="13"/>
      <c r="F341" s="13"/>
      <c r="G341" s="13"/>
      <c r="H341" s="33"/>
      <c r="I341" s="33"/>
      <c r="J341" s="33"/>
      <c r="K341" s="33"/>
      <c r="L341" s="33"/>
      <c r="M341" s="33"/>
      <c r="N341" s="33"/>
      <c r="O341" s="33"/>
      <c r="P341" s="33"/>
      <c r="Q341" s="13"/>
    </row>
    <row r="342" spans="1:17">
      <c r="A342" s="13"/>
      <c r="B342" s="13"/>
      <c r="C342" s="13"/>
      <c r="D342" s="13"/>
      <c r="E342" s="13"/>
      <c r="F342" s="13"/>
      <c r="G342" s="13"/>
      <c r="H342" s="33"/>
      <c r="I342" s="33"/>
      <c r="J342" s="33"/>
      <c r="K342" s="33"/>
      <c r="L342" s="33"/>
      <c r="M342" s="33"/>
      <c r="N342" s="33"/>
      <c r="O342" s="33"/>
      <c r="P342" s="33"/>
      <c r="Q342" s="13"/>
    </row>
    <row r="343" spans="1:17">
      <c r="A343" s="13"/>
      <c r="B343" s="13"/>
      <c r="C343" s="13"/>
      <c r="D343" s="13"/>
      <c r="E343" s="13"/>
      <c r="F343" s="13"/>
      <c r="G343" s="13"/>
      <c r="H343" s="33"/>
      <c r="I343" s="33"/>
      <c r="J343" s="33"/>
      <c r="K343" s="33"/>
      <c r="L343" s="33"/>
      <c r="M343" s="33"/>
      <c r="N343" s="33"/>
      <c r="O343" s="33"/>
      <c r="P343" s="33"/>
      <c r="Q343" s="13"/>
    </row>
    <row r="344" spans="1:17">
      <c r="A344" s="13"/>
      <c r="B344" s="13"/>
      <c r="C344" s="13"/>
      <c r="D344" s="13"/>
      <c r="E344" s="13"/>
      <c r="F344" s="13"/>
      <c r="G344" s="13"/>
      <c r="H344" s="33"/>
      <c r="I344" s="33"/>
      <c r="J344" s="33"/>
      <c r="K344" s="33"/>
      <c r="L344" s="33"/>
      <c r="M344" s="33"/>
      <c r="N344" s="33"/>
      <c r="O344" s="33"/>
      <c r="P344" s="33"/>
      <c r="Q344" s="13"/>
    </row>
    <row r="345" spans="1:17">
      <c r="A345" s="13"/>
      <c r="B345" s="13"/>
      <c r="C345" s="13"/>
      <c r="D345" s="13"/>
      <c r="E345" s="13"/>
      <c r="F345" s="13"/>
      <c r="G345" s="13"/>
      <c r="H345" s="33"/>
      <c r="I345" s="33"/>
      <c r="J345" s="33"/>
      <c r="K345" s="33"/>
      <c r="L345" s="33"/>
      <c r="M345" s="33"/>
      <c r="N345" s="33"/>
      <c r="O345" s="33"/>
      <c r="P345" s="33"/>
      <c r="Q345" s="13"/>
    </row>
    <row r="346" spans="1:17">
      <c r="A346" s="13"/>
      <c r="B346" s="13"/>
      <c r="C346" s="13"/>
      <c r="D346" s="13"/>
      <c r="E346" s="13"/>
      <c r="F346" s="13"/>
      <c r="G346" s="13"/>
      <c r="H346" s="33"/>
      <c r="I346" s="33"/>
      <c r="J346" s="33"/>
      <c r="K346" s="33"/>
      <c r="L346" s="33"/>
      <c r="M346" s="33"/>
      <c r="N346" s="33"/>
      <c r="O346" s="33"/>
      <c r="P346" s="33"/>
      <c r="Q346" s="13"/>
    </row>
    <row r="347" spans="1:17">
      <c r="A347" s="13"/>
      <c r="B347" s="13"/>
      <c r="C347" s="13"/>
      <c r="D347" s="13"/>
      <c r="E347" s="13"/>
      <c r="F347" s="13"/>
      <c r="G347" s="13"/>
      <c r="H347" s="33"/>
      <c r="I347" s="33"/>
      <c r="J347" s="33"/>
      <c r="K347" s="33"/>
      <c r="L347" s="33"/>
      <c r="M347" s="33"/>
      <c r="N347" s="33"/>
      <c r="O347" s="33"/>
      <c r="P347" s="33"/>
      <c r="Q347" s="13"/>
    </row>
    <row r="348" spans="1:17">
      <c r="A348" s="13"/>
      <c r="B348" s="13"/>
      <c r="C348" s="13"/>
      <c r="D348" s="13"/>
      <c r="E348" s="13"/>
      <c r="F348" s="13"/>
      <c r="G348" s="13"/>
      <c r="H348" s="33"/>
      <c r="I348" s="33"/>
      <c r="J348" s="33"/>
      <c r="K348" s="33"/>
      <c r="L348" s="33"/>
      <c r="M348" s="33"/>
      <c r="N348" s="33"/>
      <c r="O348" s="33"/>
      <c r="P348" s="33"/>
      <c r="Q348" s="13"/>
    </row>
    <row r="349" spans="1:17">
      <c r="A349" s="13"/>
      <c r="B349" s="13"/>
      <c r="C349" s="13"/>
      <c r="D349" s="13"/>
      <c r="E349" s="13"/>
      <c r="F349" s="13"/>
      <c r="G349" s="13"/>
      <c r="H349" s="33"/>
      <c r="I349" s="33"/>
      <c r="J349" s="33"/>
      <c r="K349" s="33"/>
      <c r="L349" s="33"/>
      <c r="M349" s="33"/>
      <c r="N349" s="33"/>
      <c r="O349" s="33"/>
      <c r="P349" s="33"/>
      <c r="Q349" s="13"/>
    </row>
    <row r="350" spans="1:17">
      <c r="A350" s="13"/>
      <c r="B350" s="13"/>
      <c r="C350" s="13"/>
      <c r="D350" s="13"/>
      <c r="E350" s="13"/>
      <c r="F350" s="13"/>
      <c r="G350" s="13"/>
      <c r="H350" s="33"/>
      <c r="I350" s="33"/>
      <c r="J350" s="33"/>
      <c r="K350" s="33"/>
      <c r="L350" s="33"/>
      <c r="M350" s="33"/>
      <c r="N350" s="33"/>
      <c r="O350" s="33"/>
      <c r="P350" s="33"/>
      <c r="Q350" s="13"/>
    </row>
    <row r="351" spans="1:17">
      <c r="A351" s="13"/>
      <c r="B351" s="13"/>
      <c r="C351" s="13"/>
      <c r="D351" s="13"/>
      <c r="E351" s="13"/>
      <c r="F351" s="13"/>
      <c r="G351" s="13"/>
      <c r="H351" s="33"/>
      <c r="I351" s="33"/>
      <c r="J351" s="33"/>
      <c r="K351" s="33"/>
      <c r="L351" s="33"/>
      <c r="M351" s="33"/>
      <c r="N351" s="33"/>
      <c r="O351" s="33"/>
      <c r="P351" s="33"/>
      <c r="Q351" s="13"/>
    </row>
    <row r="352" spans="1:17">
      <c r="A352" s="13"/>
      <c r="B352" s="13"/>
      <c r="C352" s="13"/>
      <c r="D352" s="13"/>
      <c r="E352" s="13"/>
      <c r="F352" s="13"/>
      <c r="G352" s="13"/>
      <c r="H352" s="33"/>
      <c r="I352" s="33"/>
      <c r="J352" s="33"/>
      <c r="K352" s="33"/>
      <c r="L352" s="33"/>
      <c r="M352" s="33"/>
      <c r="N352" s="33"/>
      <c r="O352" s="33"/>
      <c r="P352" s="33"/>
      <c r="Q352" s="13"/>
    </row>
    <row r="353" spans="1:17">
      <c r="A353" s="13"/>
      <c r="B353" s="13"/>
      <c r="C353" s="13"/>
      <c r="D353" s="13"/>
      <c r="E353" s="13"/>
      <c r="F353" s="13"/>
      <c r="G353" s="13"/>
      <c r="H353" s="33"/>
      <c r="I353" s="33"/>
      <c r="J353" s="33"/>
      <c r="K353" s="33"/>
      <c r="L353" s="33"/>
      <c r="M353" s="33"/>
      <c r="N353" s="33"/>
      <c r="O353" s="33"/>
      <c r="P353" s="33"/>
      <c r="Q353" s="13"/>
    </row>
    <row r="354" spans="1:17">
      <c r="A354" s="13"/>
      <c r="B354" s="13"/>
      <c r="C354" s="13"/>
      <c r="D354" s="13"/>
      <c r="E354" s="13"/>
      <c r="F354" s="13"/>
      <c r="G354" s="13"/>
      <c r="H354" s="33"/>
      <c r="I354" s="33"/>
      <c r="J354" s="33"/>
      <c r="K354" s="33"/>
      <c r="L354" s="33"/>
      <c r="M354" s="33"/>
      <c r="N354" s="33"/>
      <c r="O354" s="33"/>
      <c r="P354" s="33"/>
      <c r="Q354" s="13"/>
    </row>
    <row r="355" spans="1:17">
      <c r="A355" s="13"/>
      <c r="B355" s="13"/>
      <c r="C355" s="13"/>
      <c r="D355" s="13"/>
      <c r="E355" s="13"/>
      <c r="F355" s="13"/>
      <c r="G355" s="13"/>
      <c r="H355" s="33"/>
      <c r="I355" s="33"/>
      <c r="J355" s="33"/>
      <c r="K355" s="33"/>
      <c r="L355" s="33"/>
      <c r="M355" s="33"/>
      <c r="N355" s="33"/>
      <c r="O355" s="33"/>
      <c r="P355" s="33"/>
      <c r="Q355" s="13"/>
    </row>
    <row r="356" spans="1:17">
      <c r="A356" s="13"/>
      <c r="B356" s="13"/>
      <c r="C356" s="13"/>
      <c r="D356" s="13"/>
      <c r="E356" s="13"/>
      <c r="F356" s="13"/>
      <c r="G356" s="13"/>
      <c r="H356" s="33"/>
      <c r="I356" s="33"/>
      <c r="J356" s="33"/>
      <c r="K356" s="33"/>
      <c r="L356" s="33"/>
      <c r="M356" s="33"/>
      <c r="N356" s="33"/>
      <c r="O356" s="33"/>
      <c r="P356" s="33"/>
      <c r="Q356" s="13"/>
    </row>
    <row r="357" spans="1:17">
      <c r="A357" s="13"/>
      <c r="B357" s="13"/>
      <c r="C357" s="13"/>
      <c r="D357" s="13"/>
      <c r="E357" s="13"/>
      <c r="F357" s="13"/>
      <c r="G357" s="13"/>
      <c r="H357" s="33"/>
      <c r="I357" s="33"/>
      <c r="J357" s="33"/>
      <c r="K357" s="33"/>
      <c r="L357" s="33"/>
      <c r="M357" s="33"/>
      <c r="N357" s="33"/>
      <c r="O357" s="33"/>
      <c r="P357" s="33"/>
      <c r="Q357" s="13"/>
    </row>
    <row r="358" spans="1:17">
      <c r="A358" s="13"/>
      <c r="B358" s="13"/>
      <c r="C358" s="13"/>
      <c r="D358" s="13"/>
      <c r="E358" s="13"/>
      <c r="F358" s="13"/>
      <c r="G358" s="13"/>
      <c r="H358" s="33"/>
      <c r="I358" s="33"/>
      <c r="J358" s="33"/>
      <c r="K358" s="33"/>
      <c r="L358" s="33"/>
      <c r="M358" s="33"/>
      <c r="N358" s="33"/>
      <c r="O358" s="33"/>
      <c r="P358" s="33"/>
      <c r="Q358" s="13"/>
    </row>
    <row r="359" spans="1:17">
      <c r="A359" s="13"/>
      <c r="B359" s="13"/>
      <c r="C359" s="13"/>
      <c r="D359" s="13"/>
      <c r="E359" s="13"/>
      <c r="F359" s="13"/>
      <c r="G359" s="13"/>
      <c r="H359" s="33"/>
      <c r="I359" s="33"/>
      <c r="J359" s="33"/>
      <c r="K359" s="33"/>
      <c r="L359" s="33"/>
      <c r="M359" s="33"/>
      <c r="N359" s="33"/>
      <c r="O359" s="33"/>
      <c r="P359" s="33"/>
      <c r="Q359" s="13"/>
    </row>
    <row r="360" spans="1:17">
      <c r="A360" s="13"/>
      <c r="B360" s="13"/>
      <c r="C360" s="13"/>
      <c r="D360" s="13"/>
      <c r="E360" s="13"/>
      <c r="F360" s="13"/>
      <c r="G360" s="13"/>
      <c r="H360" s="33"/>
      <c r="I360" s="33"/>
      <c r="J360" s="33"/>
      <c r="K360" s="33"/>
      <c r="L360" s="33"/>
      <c r="M360" s="33"/>
      <c r="N360" s="33"/>
      <c r="O360" s="33"/>
      <c r="P360" s="33"/>
      <c r="Q360" s="13"/>
    </row>
    <row r="361" spans="1:17">
      <c r="A361" s="13"/>
      <c r="B361" s="13"/>
      <c r="C361" s="13"/>
      <c r="D361" s="13"/>
      <c r="E361" s="13"/>
      <c r="F361" s="13"/>
      <c r="G361" s="13"/>
      <c r="H361" s="33"/>
      <c r="I361" s="33"/>
      <c r="J361" s="33"/>
      <c r="K361" s="33"/>
      <c r="L361" s="33"/>
      <c r="M361" s="33"/>
      <c r="N361" s="33"/>
      <c r="O361" s="33"/>
      <c r="P361" s="33"/>
      <c r="Q361" s="13"/>
    </row>
    <row r="362" spans="1:17">
      <c r="A362" s="13"/>
      <c r="B362" s="13"/>
      <c r="C362" s="13"/>
      <c r="D362" s="13"/>
      <c r="E362" s="13"/>
      <c r="F362" s="13"/>
      <c r="G362" s="13"/>
      <c r="H362" s="33"/>
      <c r="I362" s="33"/>
      <c r="J362" s="33"/>
      <c r="K362" s="33"/>
      <c r="L362" s="33"/>
      <c r="M362" s="33"/>
      <c r="N362" s="33"/>
      <c r="O362" s="33"/>
      <c r="P362" s="33"/>
      <c r="Q362" s="13"/>
    </row>
    <row r="363" spans="1:17">
      <c r="A363" s="13"/>
      <c r="B363" s="13"/>
      <c r="C363" s="13"/>
      <c r="D363" s="13"/>
      <c r="E363" s="13"/>
      <c r="F363" s="13"/>
      <c r="G363" s="13"/>
      <c r="H363" s="33"/>
      <c r="I363" s="33"/>
      <c r="J363" s="33"/>
      <c r="K363" s="33"/>
      <c r="L363" s="33"/>
      <c r="M363" s="33"/>
      <c r="N363" s="33"/>
      <c r="O363" s="33"/>
      <c r="P363" s="33"/>
      <c r="Q363" s="13"/>
    </row>
    <row r="364" spans="1:17">
      <c r="A364" s="13"/>
      <c r="B364" s="13"/>
      <c r="C364" s="13"/>
      <c r="D364" s="13"/>
      <c r="E364" s="13"/>
      <c r="F364" s="13"/>
      <c r="G364" s="13"/>
      <c r="H364" s="33"/>
      <c r="I364" s="33"/>
      <c r="J364" s="33"/>
      <c r="K364" s="33"/>
      <c r="L364" s="33"/>
      <c r="M364" s="33"/>
      <c r="N364" s="33"/>
      <c r="O364" s="33"/>
      <c r="P364" s="33"/>
      <c r="Q364" s="13"/>
    </row>
    <row r="365" spans="1:17">
      <c r="A365" s="13"/>
      <c r="B365" s="13"/>
      <c r="C365" s="13"/>
      <c r="D365" s="13"/>
      <c r="E365" s="13"/>
      <c r="F365" s="13"/>
      <c r="G365" s="13"/>
      <c r="H365" s="33"/>
      <c r="I365" s="33"/>
      <c r="J365" s="33"/>
      <c r="K365" s="33"/>
      <c r="L365" s="33"/>
      <c r="M365" s="33"/>
      <c r="N365" s="33"/>
      <c r="O365" s="33"/>
      <c r="P365" s="33"/>
      <c r="Q365" s="13"/>
    </row>
    <row r="366" spans="1:17">
      <c r="A366" s="13"/>
      <c r="B366" s="13"/>
      <c r="C366" s="13"/>
      <c r="D366" s="13"/>
      <c r="E366" s="13"/>
      <c r="F366" s="13"/>
      <c r="G366" s="13"/>
      <c r="H366" s="33"/>
      <c r="I366" s="33"/>
      <c r="J366" s="33"/>
      <c r="K366" s="33"/>
      <c r="L366" s="33"/>
      <c r="M366" s="33"/>
      <c r="N366" s="33"/>
      <c r="O366" s="33"/>
      <c r="P366" s="33"/>
      <c r="Q366" s="13"/>
    </row>
    <row r="367" spans="1:17">
      <c r="A367" s="13"/>
      <c r="B367" s="13"/>
      <c r="C367" s="13"/>
      <c r="D367" s="13"/>
      <c r="E367" s="13"/>
      <c r="F367" s="13"/>
      <c r="G367" s="13"/>
      <c r="H367" s="33"/>
      <c r="I367" s="33"/>
      <c r="J367" s="33"/>
      <c r="K367" s="33"/>
      <c r="L367" s="33"/>
      <c r="M367" s="33"/>
      <c r="N367" s="33"/>
      <c r="O367" s="33"/>
      <c r="P367" s="33"/>
      <c r="Q367" s="13"/>
    </row>
    <row r="368" spans="1:17">
      <c r="A368" s="13"/>
      <c r="B368" s="13"/>
      <c r="C368" s="13"/>
      <c r="D368" s="13"/>
      <c r="E368" s="13"/>
      <c r="F368" s="13"/>
      <c r="G368" s="13"/>
      <c r="H368" s="33"/>
      <c r="I368" s="33"/>
      <c r="J368" s="33"/>
      <c r="K368" s="33"/>
      <c r="L368" s="33"/>
      <c r="M368" s="33"/>
      <c r="N368" s="33"/>
      <c r="O368" s="33"/>
      <c r="P368" s="33"/>
      <c r="Q368" s="13"/>
    </row>
    <row r="369" spans="1:17">
      <c r="A369" s="13"/>
      <c r="B369" s="13"/>
      <c r="C369" s="13"/>
      <c r="D369" s="13"/>
      <c r="E369" s="13"/>
      <c r="F369" s="13"/>
      <c r="G369" s="13"/>
      <c r="H369" s="33"/>
      <c r="I369" s="33"/>
      <c r="J369" s="33"/>
      <c r="K369" s="33"/>
      <c r="L369" s="33"/>
      <c r="M369" s="33"/>
      <c r="N369" s="33"/>
      <c r="O369" s="33"/>
      <c r="P369" s="33"/>
      <c r="Q369" s="13"/>
    </row>
    <row r="370" spans="1:17">
      <c r="A370" s="13"/>
      <c r="B370" s="13"/>
      <c r="C370" s="13"/>
      <c r="D370" s="13"/>
      <c r="E370" s="13"/>
      <c r="F370" s="13"/>
      <c r="G370" s="13"/>
      <c r="H370" s="33"/>
      <c r="I370" s="33"/>
      <c r="J370" s="33"/>
      <c r="K370" s="33"/>
      <c r="L370" s="33"/>
      <c r="M370" s="33"/>
      <c r="N370" s="33"/>
      <c r="O370" s="33"/>
      <c r="P370" s="33"/>
      <c r="Q370" s="13"/>
    </row>
    <row r="371" spans="1:17">
      <c r="A371" s="13"/>
      <c r="B371" s="13"/>
      <c r="C371" s="13"/>
      <c r="D371" s="13"/>
      <c r="E371" s="13"/>
      <c r="F371" s="13"/>
      <c r="G371" s="13"/>
      <c r="H371" s="33"/>
      <c r="I371" s="33"/>
      <c r="J371" s="33"/>
      <c r="K371" s="33"/>
      <c r="L371" s="33"/>
      <c r="M371" s="33"/>
      <c r="N371" s="33"/>
      <c r="O371" s="33"/>
      <c r="P371" s="33"/>
      <c r="Q371" s="13"/>
    </row>
    <row r="372" spans="1:17">
      <c r="A372" s="13"/>
      <c r="B372" s="13"/>
      <c r="C372" s="13"/>
      <c r="D372" s="13"/>
      <c r="E372" s="13"/>
      <c r="F372" s="13"/>
      <c r="G372" s="13"/>
      <c r="H372" s="33"/>
      <c r="I372" s="33"/>
      <c r="J372" s="33"/>
      <c r="K372" s="33"/>
      <c r="L372" s="33"/>
      <c r="M372" s="33"/>
      <c r="N372" s="33"/>
      <c r="O372" s="33"/>
      <c r="P372" s="33"/>
      <c r="Q372" s="13"/>
    </row>
    <row r="373" spans="1:17">
      <c r="A373" s="13"/>
      <c r="B373" s="13"/>
      <c r="C373" s="13"/>
      <c r="D373" s="13"/>
      <c r="E373" s="13"/>
      <c r="F373" s="13"/>
      <c r="G373" s="13"/>
      <c r="H373" s="33"/>
      <c r="I373" s="33"/>
      <c r="J373" s="33"/>
      <c r="K373" s="33"/>
      <c r="L373" s="33"/>
      <c r="M373" s="33"/>
      <c r="N373" s="33"/>
      <c r="O373" s="33"/>
      <c r="P373" s="33"/>
      <c r="Q373" s="13"/>
    </row>
    <row r="374" spans="1:17">
      <c r="A374" s="13"/>
      <c r="B374" s="13"/>
      <c r="C374" s="13"/>
      <c r="D374" s="13"/>
      <c r="E374" s="13"/>
      <c r="F374" s="13"/>
      <c r="G374" s="13"/>
      <c r="H374" s="33"/>
      <c r="I374" s="33"/>
      <c r="J374" s="33"/>
      <c r="K374" s="33"/>
      <c r="L374" s="33"/>
      <c r="M374" s="33"/>
      <c r="N374" s="33"/>
      <c r="O374" s="33"/>
      <c r="P374" s="33"/>
      <c r="Q374" s="13"/>
    </row>
    <row r="375" spans="1:17">
      <c r="A375" s="13"/>
      <c r="B375" s="13"/>
      <c r="C375" s="13"/>
      <c r="D375" s="13"/>
      <c r="E375" s="13"/>
      <c r="F375" s="13"/>
      <c r="G375" s="13"/>
      <c r="H375" s="33"/>
      <c r="I375" s="33"/>
      <c r="J375" s="33"/>
      <c r="K375" s="33"/>
      <c r="L375" s="33"/>
      <c r="M375" s="33"/>
      <c r="N375" s="33"/>
      <c r="O375" s="33"/>
      <c r="P375" s="33"/>
      <c r="Q375" s="13"/>
    </row>
    <row r="376" spans="1:17">
      <c r="A376" s="13"/>
      <c r="B376" s="13"/>
      <c r="C376" s="13"/>
      <c r="D376" s="13"/>
      <c r="E376" s="13"/>
      <c r="F376" s="13"/>
      <c r="G376" s="13"/>
      <c r="H376" s="33"/>
      <c r="I376" s="33"/>
      <c r="J376" s="33"/>
      <c r="K376" s="33"/>
      <c r="L376" s="33"/>
      <c r="M376" s="33"/>
      <c r="N376" s="33"/>
      <c r="O376" s="33"/>
      <c r="P376" s="33"/>
      <c r="Q376" s="13"/>
    </row>
    <row r="377" spans="1:17">
      <c r="A377" s="13"/>
      <c r="B377" s="13"/>
      <c r="C377" s="13"/>
      <c r="D377" s="13"/>
      <c r="E377" s="13"/>
      <c r="F377" s="13"/>
      <c r="G377" s="13"/>
      <c r="H377" s="33"/>
      <c r="I377" s="33"/>
      <c r="J377" s="33"/>
      <c r="K377" s="33"/>
      <c r="L377" s="33"/>
      <c r="M377" s="33"/>
      <c r="N377" s="33"/>
      <c r="O377" s="33"/>
      <c r="P377" s="33"/>
      <c r="Q377" s="13"/>
    </row>
    <row r="378" spans="1:17">
      <c r="A378" s="13"/>
      <c r="B378" s="13"/>
      <c r="C378" s="13"/>
      <c r="D378" s="13"/>
      <c r="E378" s="13"/>
      <c r="F378" s="13"/>
      <c r="G378" s="13"/>
      <c r="H378" s="33"/>
      <c r="I378" s="33"/>
      <c r="J378" s="33"/>
      <c r="K378" s="33"/>
      <c r="L378" s="33"/>
      <c r="M378" s="33"/>
      <c r="N378" s="33"/>
      <c r="O378" s="33"/>
      <c r="P378" s="33"/>
      <c r="Q378" s="13"/>
    </row>
    <row r="379" spans="1:17">
      <c r="A379" s="13"/>
      <c r="B379" s="13"/>
      <c r="C379" s="13"/>
      <c r="D379" s="13"/>
      <c r="E379" s="13"/>
      <c r="F379" s="13"/>
      <c r="G379" s="13"/>
      <c r="H379" s="33"/>
      <c r="I379" s="33"/>
      <c r="J379" s="33"/>
      <c r="K379" s="33"/>
      <c r="L379" s="33"/>
      <c r="M379" s="33"/>
      <c r="N379" s="33"/>
      <c r="O379" s="33"/>
      <c r="P379" s="33"/>
      <c r="Q379" s="13"/>
    </row>
    <row r="380" spans="1:17">
      <c r="A380" s="13"/>
      <c r="B380" s="13"/>
      <c r="C380" s="13"/>
      <c r="D380" s="13"/>
      <c r="E380" s="13"/>
      <c r="F380" s="13"/>
      <c r="G380" s="13"/>
      <c r="H380" s="33"/>
      <c r="I380" s="33"/>
      <c r="J380" s="33"/>
      <c r="K380" s="33"/>
      <c r="L380" s="33"/>
      <c r="M380" s="33"/>
      <c r="N380" s="33"/>
      <c r="O380" s="33"/>
      <c r="P380" s="33"/>
      <c r="Q380" s="13"/>
    </row>
    <row r="381" spans="1:17">
      <c r="A381" s="13"/>
      <c r="B381" s="13"/>
      <c r="C381" s="13"/>
      <c r="D381" s="13"/>
      <c r="E381" s="13"/>
      <c r="F381" s="13"/>
      <c r="G381" s="13"/>
      <c r="H381" s="33"/>
      <c r="I381" s="33"/>
      <c r="J381" s="33"/>
      <c r="K381" s="33"/>
      <c r="L381" s="33"/>
      <c r="M381" s="33"/>
      <c r="N381" s="33"/>
      <c r="O381" s="33"/>
      <c r="P381" s="33"/>
      <c r="Q381" s="13"/>
    </row>
    <row r="382" spans="1:17">
      <c r="A382" s="13"/>
      <c r="B382" s="13"/>
      <c r="C382" s="13"/>
      <c r="D382" s="13"/>
      <c r="E382" s="13"/>
      <c r="F382" s="13"/>
      <c r="G382" s="13"/>
      <c r="H382" s="33"/>
      <c r="I382" s="33"/>
      <c r="J382" s="33"/>
      <c r="K382" s="33"/>
      <c r="L382" s="33"/>
      <c r="M382" s="33"/>
      <c r="N382" s="33"/>
      <c r="O382" s="33"/>
      <c r="P382" s="33"/>
      <c r="Q382" s="13"/>
    </row>
    <row r="383" spans="1:17">
      <c r="A383" s="13"/>
      <c r="B383" s="13"/>
      <c r="C383" s="13"/>
      <c r="D383" s="13"/>
      <c r="E383" s="13"/>
      <c r="F383" s="13"/>
      <c r="G383" s="13"/>
      <c r="H383" s="33"/>
      <c r="I383" s="33"/>
      <c r="J383" s="33"/>
      <c r="K383" s="33"/>
      <c r="L383" s="33"/>
      <c r="M383" s="33"/>
      <c r="N383" s="33"/>
      <c r="O383" s="33"/>
      <c r="P383" s="33"/>
      <c r="Q383" s="13"/>
    </row>
    <row r="384" spans="1:17">
      <c r="A384" s="13"/>
      <c r="B384" s="13"/>
      <c r="C384" s="13"/>
      <c r="D384" s="13"/>
      <c r="E384" s="13"/>
      <c r="F384" s="13"/>
      <c r="G384" s="13"/>
      <c r="H384" s="33"/>
      <c r="I384" s="33"/>
      <c r="J384" s="33"/>
      <c r="K384" s="33"/>
      <c r="L384" s="33"/>
      <c r="M384" s="33"/>
      <c r="N384" s="33"/>
      <c r="O384" s="33"/>
      <c r="P384" s="33"/>
      <c r="Q384" s="13"/>
    </row>
    <row r="385" spans="1:17">
      <c r="A385" s="13"/>
      <c r="B385" s="13"/>
      <c r="C385" s="13"/>
      <c r="D385" s="13"/>
      <c r="E385" s="13"/>
      <c r="F385" s="13"/>
      <c r="G385" s="13"/>
      <c r="H385" s="33"/>
      <c r="I385" s="33"/>
      <c r="J385" s="33"/>
      <c r="K385" s="33"/>
      <c r="L385" s="33"/>
      <c r="M385" s="33"/>
      <c r="N385" s="33"/>
      <c r="O385" s="33"/>
      <c r="P385" s="33"/>
      <c r="Q385" s="13"/>
    </row>
    <row r="386" spans="1:17">
      <c r="A386" s="13"/>
      <c r="B386" s="13"/>
      <c r="C386" s="13"/>
      <c r="D386" s="13"/>
      <c r="E386" s="13"/>
      <c r="F386" s="13"/>
      <c r="G386" s="13"/>
      <c r="H386" s="33"/>
      <c r="I386" s="33"/>
      <c r="J386" s="33"/>
      <c r="K386" s="33"/>
      <c r="L386" s="33"/>
      <c r="M386" s="33"/>
      <c r="N386" s="33"/>
      <c r="O386" s="33"/>
      <c r="P386" s="33"/>
      <c r="Q386" s="13"/>
    </row>
    <row r="387" spans="1:17">
      <c r="A387" s="13"/>
      <c r="B387" s="13"/>
      <c r="C387" s="13"/>
      <c r="D387" s="13"/>
      <c r="E387" s="13"/>
      <c r="F387" s="13"/>
      <c r="G387" s="13"/>
      <c r="H387" s="33"/>
      <c r="I387" s="33"/>
      <c r="J387" s="33"/>
      <c r="K387" s="33"/>
      <c r="L387" s="33"/>
      <c r="M387" s="33"/>
      <c r="N387" s="33"/>
      <c r="O387" s="33"/>
      <c r="P387" s="33"/>
      <c r="Q387" s="13"/>
    </row>
    <row r="388" spans="1:17">
      <c r="A388" s="13"/>
      <c r="B388" s="13"/>
      <c r="C388" s="13"/>
      <c r="D388" s="13"/>
      <c r="E388" s="13"/>
      <c r="F388" s="13"/>
      <c r="G388" s="13"/>
      <c r="H388" s="33"/>
      <c r="I388" s="33"/>
      <c r="J388" s="33"/>
      <c r="K388" s="33"/>
      <c r="L388" s="33"/>
      <c r="M388" s="33"/>
      <c r="N388" s="33"/>
      <c r="O388" s="33"/>
      <c r="P388" s="33"/>
      <c r="Q388" s="13"/>
    </row>
    <row r="389" spans="1:17">
      <c r="A389" s="13"/>
      <c r="B389" s="13"/>
      <c r="C389" s="13"/>
      <c r="D389" s="13"/>
      <c r="E389" s="13"/>
      <c r="F389" s="13"/>
      <c r="G389" s="13"/>
      <c r="H389" s="33"/>
      <c r="I389" s="33"/>
      <c r="J389" s="33"/>
      <c r="K389" s="33"/>
      <c r="L389" s="33"/>
      <c r="M389" s="33"/>
      <c r="N389" s="33"/>
      <c r="O389" s="33"/>
      <c r="P389" s="33"/>
      <c r="Q389" s="13"/>
    </row>
    <row r="390" spans="1:17">
      <c r="A390" s="13"/>
      <c r="B390" s="13"/>
      <c r="C390" s="13"/>
      <c r="D390" s="13"/>
      <c r="E390" s="13"/>
      <c r="F390" s="13"/>
      <c r="G390" s="13"/>
      <c r="H390" s="33"/>
      <c r="I390" s="33"/>
      <c r="J390" s="33"/>
      <c r="K390" s="33"/>
      <c r="L390" s="33"/>
      <c r="M390" s="33"/>
      <c r="N390" s="33"/>
      <c r="O390" s="33"/>
      <c r="P390" s="33"/>
      <c r="Q390" s="13"/>
    </row>
    <row r="391" spans="1:17">
      <c r="A391" s="13"/>
      <c r="B391" s="13"/>
      <c r="C391" s="13"/>
      <c r="D391" s="13"/>
      <c r="E391" s="13"/>
      <c r="F391" s="13"/>
      <c r="G391" s="13"/>
      <c r="H391" s="33"/>
      <c r="I391" s="33"/>
      <c r="J391" s="33"/>
      <c r="K391" s="33"/>
      <c r="L391" s="33"/>
      <c r="M391" s="33"/>
      <c r="N391" s="33"/>
      <c r="O391" s="33"/>
      <c r="P391" s="33"/>
      <c r="Q391" s="13"/>
    </row>
    <row r="392" spans="1:17">
      <c r="A392" s="13"/>
      <c r="B392" s="13"/>
      <c r="C392" s="13"/>
      <c r="D392" s="13"/>
      <c r="E392" s="13"/>
      <c r="F392" s="13"/>
      <c r="G392" s="13"/>
      <c r="H392" s="33"/>
      <c r="I392" s="33"/>
      <c r="J392" s="33"/>
      <c r="K392" s="33"/>
      <c r="L392" s="33"/>
      <c r="M392" s="33"/>
      <c r="N392" s="33"/>
      <c r="O392" s="33"/>
      <c r="P392" s="33"/>
      <c r="Q392" s="13"/>
    </row>
    <row r="393" spans="1:17">
      <c r="A393" s="13"/>
      <c r="B393" s="13"/>
      <c r="C393" s="13"/>
      <c r="D393" s="13"/>
      <c r="E393" s="13"/>
      <c r="F393" s="13"/>
      <c r="G393" s="13"/>
      <c r="H393" s="33"/>
      <c r="I393" s="33"/>
      <c r="J393" s="33"/>
      <c r="K393" s="33"/>
      <c r="L393" s="33"/>
      <c r="M393" s="33"/>
      <c r="N393" s="33"/>
      <c r="O393" s="33"/>
      <c r="P393" s="33"/>
      <c r="Q393" s="13"/>
    </row>
    <row r="394" spans="1:17">
      <c r="A394" s="13"/>
      <c r="B394" s="13"/>
      <c r="C394" s="13"/>
      <c r="D394" s="13"/>
      <c r="E394" s="13"/>
      <c r="F394" s="13"/>
      <c r="G394" s="13"/>
      <c r="H394" s="33"/>
      <c r="I394" s="33"/>
      <c r="J394" s="33"/>
      <c r="K394" s="33"/>
      <c r="L394" s="33"/>
      <c r="M394" s="33"/>
      <c r="N394" s="33"/>
      <c r="O394" s="33"/>
      <c r="P394" s="33"/>
      <c r="Q394" s="13"/>
    </row>
    <row r="395" spans="1:17">
      <c r="A395" s="13"/>
      <c r="B395" s="13"/>
      <c r="C395" s="13"/>
      <c r="D395" s="13"/>
      <c r="E395" s="13"/>
      <c r="F395" s="13"/>
      <c r="G395" s="13"/>
      <c r="H395" s="33"/>
      <c r="I395" s="33"/>
      <c r="J395" s="33"/>
      <c r="K395" s="33"/>
      <c r="L395" s="33"/>
      <c r="M395" s="33"/>
      <c r="N395" s="33"/>
      <c r="O395" s="33"/>
      <c r="P395" s="33"/>
      <c r="Q395" s="13"/>
    </row>
    <row r="396" spans="1:17">
      <c r="A396" s="13"/>
      <c r="B396" s="13"/>
      <c r="C396" s="13"/>
      <c r="D396" s="13"/>
      <c r="E396" s="13"/>
      <c r="F396" s="13"/>
      <c r="G396" s="13"/>
      <c r="H396" s="33"/>
      <c r="I396" s="33"/>
      <c r="J396" s="33"/>
      <c r="K396" s="33"/>
      <c r="L396" s="33"/>
      <c r="M396" s="33"/>
      <c r="N396" s="33"/>
      <c r="O396" s="33"/>
      <c r="P396" s="33"/>
      <c r="Q396" s="13"/>
    </row>
    <row r="397" spans="1:17">
      <c r="A397" s="13"/>
      <c r="B397" s="13"/>
      <c r="C397" s="13"/>
      <c r="D397" s="13"/>
      <c r="E397" s="13"/>
      <c r="F397" s="13"/>
      <c r="G397" s="13"/>
      <c r="H397" s="33"/>
      <c r="I397" s="33"/>
      <c r="J397" s="33"/>
      <c r="K397" s="33"/>
      <c r="L397" s="33"/>
      <c r="M397" s="33"/>
      <c r="N397" s="33"/>
      <c r="O397" s="33"/>
      <c r="P397" s="33"/>
      <c r="Q397" s="13"/>
    </row>
    <row r="398" spans="1:17">
      <c r="A398" s="13"/>
      <c r="B398" s="13"/>
      <c r="C398" s="13"/>
      <c r="D398" s="13"/>
      <c r="E398" s="13"/>
      <c r="F398" s="13"/>
      <c r="G398" s="13"/>
      <c r="H398" s="33"/>
      <c r="I398" s="33"/>
      <c r="J398" s="33"/>
      <c r="K398" s="33"/>
      <c r="L398" s="33"/>
      <c r="M398" s="33"/>
      <c r="N398" s="33"/>
      <c r="O398" s="33"/>
      <c r="P398" s="33"/>
      <c r="Q398" s="13"/>
    </row>
    <row r="399" spans="1:17">
      <c r="A399" s="13"/>
      <c r="B399" s="13"/>
      <c r="C399" s="13"/>
      <c r="D399" s="13"/>
      <c r="E399" s="13"/>
      <c r="F399" s="13"/>
      <c r="G399" s="13"/>
      <c r="H399" s="33"/>
      <c r="I399" s="33"/>
      <c r="J399" s="33"/>
      <c r="K399" s="33"/>
      <c r="L399" s="33"/>
      <c r="M399" s="33"/>
      <c r="N399" s="33"/>
      <c r="O399" s="33"/>
      <c r="P399" s="33"/>
      <c r="Q399" s="13"/>
    </row>
    <row r="400" spans="1:17">
      <c r="A400" s="13"/>
      <c r="B400" s="13"/>
      <c r="C400" s="13"/>
      <c r="D400" s="13"/>
      <c r="E400" s="13"/>
      <c r="F400" s="13"/>
      <c r="G400" s="13"/>
      <c r="H400" s="33"/>
      <c r="I400" s="33"/>
      <c r="J400" s="33"/>
      <c r="K400" s="33"/>
      <c r="L400" s="33"/>
      <c r="M400" s="33"/>
      <c r="N400" s="33"/>
      <c r="O400" s="33"/>
      <c r="P400" s="33"/>
      <c r="Q400" s="13"/>
    </row>
    <row r="401" spans="1:17">
      <c r="A401" s="13"/>
      <c r="B401" s="13"/>
      <c r="C401" s="13"/>
      <c r="D401" s="13"/>
      <c r="E401" s="13"/>
      <c r="F401" s="13"/>
      <c r="G401" s="13"/>
      <c r="H401" s="33"/>
      <c r="I401" s="33"/>
      <c r="J401" s="33"/>
      <c r="K401" s="33"/>
      <c r="L401" s="33"/>
      <c r="M401" s="33"/>
      <c r="N401" s="33"/>
      <c r="O401" s="33"/>
      <c r="P401" s="33"/>
      <c r="Q401" s="13"/>
    </row>
    <row r="402" spans="1:17">
      <c r="A402" s="13"/>
      <c r="B402" s="13"/>
      <c r="C402" s="13"/>
      <c r="D402" s="13"/>
      <c r="E402" s="13"/>
      <c r="F402" s="13"/>
      <c r="G402" s="13"/>
      <c r="H402" s="33"/>
      <c r="I402" s="33"/>
      <c r="J402" s="33"/>
      <c r="K402" s="33"/>
      <c r="L402" s="33"/>
      <c r="M402" s="33"/>
      <c r="N402" s="33"/>
      <c r="O402" s="33"/>
      <c r="P402" s="33"/>
      <c r="Q402" s="13"/>
    </row>
    <row r="403" spans="1:17">
      <c r="A403" s="13"/>
      <c r="B403" s="13"/>
      <c r="C403" s="13"/>
      <c r="D403" s="13"/>
      <c r="E403" s="13"/>
      <c r="F403" s="13"/>
      <c r="G403" s="13"/>
      <c r="H403" s="33"/>
      <c r="I403" s="33"/>
      <c r="J403" s="33"/>
      <c r="K403" s="33"/>
      <c r="L403" s="33"/>
      <c r="M403" s="33"/>
      <c r="N403" s="33"/>
      <c r="O403" s="33"/>
      <c r="P403" s="33"/>
      <c r="Q403" s="13"/>
    </row>
    <row r="404" spans="1:17">
      <c r="A404" s="13"/>
      <c r="B404" s="13"/>
      <c r="C404" s="13"/>
      <c r="D404" s="13"/>
      <c r="E404" s="13"/>
      <c r="F404" s="13"/>
      <c r="G404" s="13"/>
      <c r="H404" s="33"/>
      <c r="I404" s="33"/>
      <c r="J404" s="33"/>
      <c r="K404" s="33"/>
      <c r="L404" s="33"/>
      <c r="M404" s="33"/>
      <c r="N404" s="33"/>
      <c r="O404" s="33"/>
      <c r="P404" s="33"/>
      <c r="Q404" s="13"/>
    </row>
    <row r="405" spans="1:17">
      <c r="A405" s="13"/>
      <c r="B405" s="13"/>
      <c r="C405" s="13"/>
      <c r="D405" s="13"/>
      <c r="E405" s="13"/>
      <c r="F405" s="13"/>
      <c r="G405" s="13"/>
      <c r="H405" s="33"/>
      <c r="I405" s="33"/>
      <c r="J405" s="33"/>
      <c r="K405" s="33"/>
      <c r="L405" s="33"/>
      <c r="M405" s="33"/>
      <c r="N405" s="33"/>
      <c r="O405" s="33"/>
      <c r="P405" s="33"/>
      <c r="Q405" s="13"/>
    </row>
    <row r="406" spans="1:17">
      <c r="A406" s="13"/>
      <c r="B406" s="13"/>
      <c r="C406" s="13"/>
      <c r="D406" s="13"/>
      <c r="E406" s="13"/>
      <c r="F406" s="13"/>
      <c r="G406" s="13"/>
      <c r="H406" s="33"/>
      <c r="I406" s="33"/>
      <c r="J406" s="33"/>
      <c r="K406" s="33"/>
      <c r="L406" s="33"/>
      <c r="M406" s="33"/>
      <c r="N406" s="33"/>
      <c r="O406" s="33"/>
      <c r="P406" s="33"/>
      <c r="Q406" s="13"/>
    </row>
    <row r="407" spans="1:17">
      <c r="A407" s="13"/>
      <c r="B407" s="13"/>
      <c r="C407" s="13"/>
      <c r="D407" s="13"/>
      <c r="E407" s="13"/>
      <c r="F407" s="13"/>
      <c r="G407" s="13"/>
      <c r="H407" s="33"/>
      <c r="I407" s="33"/>
      <c r="J407" s="33"/>
      <c r="K407" s="33"/>
      <c r="L407" s="33"/>
      <c r="M407" s="33"/>
      <c r="N407" s="33"/>
      <c r="O407" s="33"/>
      <c r="P407" s="33"/>
      <c r="Q407" s="13"/>
    </row>
    <row r="408" spans="1:17">
      <c r="A408" s="13"/>
      <c r="B408" s="13"/>
      <c r="C408" s="13"/>
      <c r="D408" s="13"/>
      <c r="E408" s="13"/>
      <c r="F408" s="13"/>
      <c r="G408" s="13"/>
      <c r="H408" s="33"/>
      <c r="I408" s="33"/>
      <c r="J408" s="33"/>
      <c r="K408" s="33"/>
      <c r="L408" s="33"/>
      <c r="M408" s="33"/>
      <c r="N408" s="33"/>
      <c r="O408" s="33"/>
      <c r="P408" s="33"/>
      <c r="Q408" s="13"/>
    </row>
    <row r="409" spans="1:17">
      <c r="A409" s="13"/>
      <c r="B409" s="13"/>
      <c r="C409" s="13"/>
      <c r="D409" s="13"/>
      <c r="E409" s="13"/>
      <c r="F409" s="13"/>
      <c r="G409" s="13"/>
      <c r="H409" s="33"/>
      <c r="I409" s="33"/>
      <c r="J409" s="33"/>
      <c r="K409" s="33"/>
      <c r="L409" s="33"/>
      <c r="M409" s="33"/>
      <c r="N409" s="33"/>
      <c r="O409" s="33"/>
      <c r="P409" s="33"/>
      <c r="Q409" s="13"/>
    </row>
    <row r="410" spans="1:17">
      <c r="A410" s="13"/>
      <c r="B410" s="13"/>
      <c r="C410" s="13"/>
      <c r="D410" s="13"/>
      <c r="E410" s="13"/>
      <c r="F410" s="13"/>
      <c r="G410" s="13"/>
      <c r="H410" s="33"/>
      <c r="I410" s="33"/>
      <c r="J410" s="33"/>
      <c r="K410" s="33"/>
      <c r="L410" s="33"/>
      <c r="M410" s="33"/>
      <c r="N410" s="33"/>
      <c r="O410" s="33"/>
      <c r="P410" s="33"/>
      <c r="Q410" s="13"/>
    </row>
    <row r="411" spans="1:17">
      <c r="A411" s="13"/>
      <c r="B411" s="13"/>
      <c r="C411" s="13"/>
      <c r="D411" s="13"/>
      <c r="E411" s="13"/>
      <c r="F411" s="13"/>
      <c r="G411" s="13"/>
      <c r="H411" s="33"/>
      <c r="I411" s="33"/>
      <c r="J411" s="33"/>
      <c r="K411" s="33"/>
      <c r="L411" s="33"/>
      <c r="M411" s="33"/>
      <c r="N411" s="33"/>
      <c r="O411" s="33"/>
      <c r="P411" s="33"/>
      <c r="Q411" s="13"/>
    </row>
    <row r="412" spans="1:17">
      <c r="A412" s="13"/>
      <c r="B412" s="13"/>
      <c r="C412" s="13"/>
      <c r="D412" s="13"/>
      <c r="E412" s="13"/>
      <c r="F412" s="13"/>
      <c r="G412" s="13"/>
      <c r="H412" s="33"/>
      <c r="I412" s="33"/>
      <c r="J412" s="33"/>
      <c r="K412" s="33"/>
      <c r="L412" s="33"/>
      <c r="M412" s="33"/>
      <c r="N412" s="33"/>
      <c r="O412" s="33"/>
      <c r="P412" s="33"/>
      <c r="Q412" s="13"/>
    </row>
    <row r="413" spans="1:17">
      <c r="A413" s="13"/>
      <c r="B413" s="13"/>
      <c r="C413" s="13"/>
      <c r="D413" s="13"/>
      <c r="E413" s="13"/>
      <c r="F413" s="13"/>
      <c r="G413" s="13"/>
      <c r="H413" s="33"/>
      <c r="I413" s="33"/>
      <c r="J413" s="33"/>
      <c r="K413" s="33"/>
      <c r="L413" s="33"/>
      <c r="M413" s="33"/>
      <c r="N413" s="33"/>
      <c r="O413" s="33"/>
      <c r="P413" s="33"/>
      <c r="Q413" s="13"/>
    </row>
    <row r="414" spans="1:17">
      <c r="A414" s="13"/>
      <c r="B414" s="13"/>
      <c r="C414" s="13"/>
      <c r="D414" s="13"/>
      <c r="E414" s="13"/>
      <c r="F414" s="13"/>
      <c r="G414" s="13"/>
      <c r="H414" s="33"/>
      <c r="I414" s="33"/>
      <c r="J414" s="33"/>
      <c r="K414" s="33"/>
      <c r="L414" s="33"/>
      <c r="M414" s="33"/>
      <c r="N414" s="33"/>
      <c r="O414" s="33"/>
      <c r="P414" s="33"/>
      <c r="Q414" s="13"/>
    </row>
    <row r="415" spans="1:17">
      <c r="A415" s="13"/>
      <c r="B415" s="13"/>
      <c r="C415" s="13"/>
      <c r="D415" s="13"/>
      <c r="E415" s="13"/>
      <c r="F415" s="13"/>
      <c r="G415" s="13"/>
      <c r="H415" s="33"/>
      <c r="I415" s="33"/>
      <c r="J415" s="33"/>
      <c r="K415" s="33"/>
      <c r="L415" s="33"/>
      <c r="M415" s="33"/>
      <c r="N415" s="33"/>
      <c r="O415" s="33"/>
      <c r="P415" s="33"/>
      <c r="Q415" s="13"/>
    </row>
    <row r="416" spans="1:17">
      <c r="A416" s="13"/>
      <c r="B416" s="13"/>
      <c r="C416" s="13"/>
      <c r="D416" s="13"/>
      <c r="E416" s="13"/>
      <c r="F416" s="13"/>
      <c r="G416" s="13"/>
      <c r="H416" s="33"/>
      <c r="I416" s="33"/>
      <c r="J416" s="33"/>
      <c r="K416" s="33"/>
      <c r="L416" s="33"/>
      <c r="M416" s="33"/>
      <c r="N416" s="33"/>
      <c r="O416" s="33"/>
      <c r="P416" s="33"/>
      <c r="Q416" s="13"/>
    </row>
    <row r="417" spans="1:17">
      <c r="A417" s="13"/>
      <c r="B417" s="13"/>
      <c r="C417" s="13"/>
      <c r="D417" s="13"/>
      <c r="E417" s="13"/>
      <c r="F417" s="13"/>
      <c r="G417" s="13"/>
      <c r="H417" s="33"/>
      <c r="I417" s="33"/>
      <c r="J417" s="33"/>
      <c r="K417" s="33"/>
      <c r="L417" s="33"/>
      <c r="M417" s="33"/>
      <c r="N417" s="33"/>
      <c r="O417" s="33"/>
      <c r="P417" s="33"/>
      <c r="Q417" s="13"/>
    </row>
    <row r="418" spans="1:17">
      <c r="A418" s="13"/>
      <c r="B418" s="13"/>
      <c r="C418" s="13"/>
      <c r="D418" s="13"/>
      <c r="E418" s="13"/>
      <c r="F418" s="13"/>
      <c r="G418" s="13"/>
      <c r="H418" s="33"/>
      <c r="I418" s="33"/>
      <c r="J418" s="33"/>
      <c r="K418" s="33"/>
      <c r="L418" s="33"/>
      <c r="M418" s="33"/>
      <c r="N418" s="33"/>
      <c r="O418" s="33"/>
      <c r="P418" s="33"/>
      <c r="Q418" s="13"/>
    </row>
    <row r="419" spans="1:17">
      <c r="A419" s="13"/>
      <c r="B419" s="13"/>
      <c r="C419" s="13"/>
      <c r="D419" s="13"/>
      <c r="E419" s="13"/>
      <c r="F419" s="13"/>
      <c r="G419" s="13"/>
      <c r="H419" s="33"/>
      <c r="I419" s="33"/>
      <c r="J419" s="33"/>
      <c r="K419" s="33"/>
      <c r="L419" s="33"/>
      <c r="M419" s="33"/>
      <c r="N419" s="33"/>
      <c r="O419" s="33"/>
      <c r="P419" s="33"/>
      <c r="Q419" s="13"/>
    </row>
    <row r="420" spans="1:17">
      <c r="A420" s="13"/>
      <c r="B420" s="13"/>
      <c r="C420" s="13"/>
      <c r="D420" s="13"/>
      <c r="E420" s="13"/>
      <c r="F420" s="13"/>
      <c r="G420" s="13"/>
      <c r="H420" s="33"/>
      <c r="I420" s="33"/>
      <c r="J420" s="33"/>
      <c r="K420" s="33"/>
      <c r="L420" s="33"/>
      <c r="M420" s="33"/>
      <c r="N420" s="33"/>
      <c r="O420" s="33"/>
      <c r="P420" s="33"/>
      <c r="Q420" s="13"/>
    </row>
    <row r="421" spans="1:17">
      <c r="A421" s="13"/>
      <c r="B421" s="13"/>
      <c r="C421" s="13"/>
      <c r="D421" s="13"/>
      <c r="E421" s="13"/>
      <c r="F421" s="13"/>
      <c r="G421" s="13"/>
      <c r="H421" s="33"/>
      <c r="I421" s="33"/>
      <c r="J421" s="33"/>
      <c r="K421" s="33"/>
      <c r="L421" s="33"/>
      <c r="M421" s="33"/>
      <c r="N421" s="33"/>
      <c r="O421" s="33"/>
      <c r="P421" s="33"/>
      <c r="Q421" s="13"/>
    </row>
    <row r="422" spans="1:17">
      <c r="A422" s="13"/>
      <c r="B422" s="13"/>
      <c r="C422" s="13"/>
      <c r="D422" s="13"/>
      <c r="E422" s="13"/>
      <c r="F422" s="13"/>
      <c r="G422" s="13"/>
      <c r="H422" s="33"/>
      <c r="I422" s="33"/>
      <c r="J422" s="33"/>
      <c r="K422" s="33"/>
      <c r="L422" s="33"/>
      <c r="M422" s="33"/>
      <c r="N422" s="33"/>
      <c r="O422" s="33"/>
      <c r="P422" s="33"/>
      <c r="Q422" s="13"/>
    </row>
    <row r="423" spans="1:17">
      <c r="A423" s="13"/>
      <c r="B423" s="13"/>
      <c r="C423" s="13"/>
      <c r="D423" s="13"/>
      <c r="E423" s="13"/>
      <c r="F423" s="13"/>
      <c r="G423" s="13"/>
      <c r="H423" s="33"/>
      <c r="I423" s="33"/>
      <c r="J423" s="33"/>
      <c r="K423" s="33"/>
      <c r="L423" s="33"/>
      <c r="M423" s="33"/>
      <c r="N423" s="33"/>
      <c r="O423" s="33"/>
      <c r="P423" s="33"/>
      <c r="Q423" s="13"/>
    </row>
    <row r="424" spans="1:17">
      <c r="A424" s="13"/>
      <c r="B424" s="13"/>
      <c r="C424" s="13"/>
      <c r="D424" s="13"/>
      <c r="E424" s="13"/>
      <c r="F424" s="13"/>
      <c r="G424" s="13"/>
      <c r="H424" s="33"/>
      <c r="I424" s="33"/>
      <c r="J424" s="33"/>
      <c r="K424" s="33"/>
      <c r="L424" s="33"/>
      <c r="M424" s="33"/>
      <c r="N424" s="33"/>
      <c r="O424" s="33"/>
      <c r="P424" s="33"/>
      <c r="Q424" s="13"/>
    </row>
    <row r="425" spans="1:17">
      <c r="A425" s="13"/>
      <c r="B425" s="13"/>
      <c r="C425" s="13"/>
      <c r="D425" s="13"/>
      <c r="E425" s="13"/>
      <c r="F425" s="13"/>
      <c r="G425" s="13"/>
      <c r="H425" s="33"/>
      <c r="I425" s="33"/>
      <c r="J425" s="33"/>
      <c r="K425" s="33"/>
      <c r="L425" s="33"/>
      <c r="M425" s="33"/>
      <c r="N425" s="33"/>
      <c r="O425" s="33"/>
      <c r="P425" s="33"/>
      <c r="Q425" s="13"/>
    </row>
    <row r="426" spans="1:17">
      <c r="A426" s="13"/>
      <c r="B426" s="13"/>
      <c r="C426" s="13"/>
      <c r="D426" s="13"/>
      <c r="E426" s="13"/>
      <c r="F426" s="13"/>
      <c r="G426" s="13"/>
      <c r="H426" s="33"/>
      <c r="I426" s="33"/>
      <c r="J426" s="33"/>
      <c r="K426" s="33"/>
      <c r="L426" s="33"/>
      <c r="M426" s="33"/>
      <c r="N426" s="33"/>
      <c r="O426" s="33"/>
      <c r="P426" s="33"/>
      <c r="Q426" s="13"/>
    </row>
    <row r="427" spans="1:17">
      <c r="A427" s="13"/>
      <c r="B427" s="13"/>
      <c r="C427" s="13"/>
      <c r="D427" s="13"/>
      <c r="E427" s="13"/>
      <c r="F427" s="13"/>
      <c r="G427" s="13"/>
      <c r="H427" s="33"/>
      <c r="I427" s="33"/>
      <c r="J427" s="33"/>
      <c r="K427" s="33"/>
      <c r="L427" s="33"/>
      <c r="M427" s="33"/>
      <c r="N427" s="33"/>
      <c r="O427" s="33"/>
      <c r="P427" s="33"/>
      <c r="Q427" s="13"/>
    </row>
    <row r="428" spans="1:17">
      <c r="A428" s="13"/>
      <c r="B428" s="13"/>
      <c r="C428" s="13"/>
      <c r="D428" s="13"/>
      <c r="E428" s="13"/>
      <c r="F428" s="13"/>
      <c r="G428" s="13"/>
      <c r="H428" s="33"/>
      <c r="I428" s="33"/>
      <c r="J428" s="33"/>
      <c r="K428" s="33"/>
      <c r="L428" s="33"/>
      <c r="M428" s="33"/>
      <c r="N428" s="33"/>
      <c r="O428" s="33"/>
      <c r="P428" s="33"/>
      <c r="Q428" s="13"/>
    </row>
    <row r="429" spans="1:17">
      <c r="A429" s="13"/>
      <c r="B429" s="13"/>
      <c r="C429" s="13"/>
      <c r="D429" s="13"/>
      <c r="E429" s="13"/>
      <c r="F429" s="13"/>
      <c r="G429" s="13"/>
      <c r="H429" s="33"/>
      <c r="I429" s="33"/>
      <c r="J429" s="33"/>
      <c r="K429" s="33"/>
      <c r="L429" s="33"/>
      <c r="M429" s="33"/>
      <c r="N429" s="33"/>
      <c r="O429" s="33"/>
      <c r="P429" s="33"/>
      <c r="Q429" s="13"/>
    </row>
    <row r="430" spans="1:17">
      <c r="A430" s="13"/>
      <c r="B430" s="13"/>
      <c r="C430" s="13"/>
      <c r="D430" s="13"/>
      <c r="E430" s="13"/>
      <c r="F430" s="13"/>
      <c r="G430" s="13"/>
      <c r="H430" s="33"/>
      <c r="I430" s="33"/>
      <c r="J430" s="33"/>
      <c r="K430" s="33"/>
      <c r="L430" s="33"/>
      <c r="M430" s="33"/>
      <c r="N430" s="33"/>
      <c r="O430" s="33"/>
      <c r="P430" s="33"/>
      <c r="Q430" s="13"/>
    </row>
    <row r="431" spans="1:17">
      <c r="A431" s="13"/>
      <c r="B431" s="13"/>
      <c r="C431" s="13"/>
      <c r="D431" s="13"/>
      <c r="E431" s="13"/>
      <c r="F431" s="13"/>
      <c r="G431" s="13"/>
      <c r="H431" s="33"/>
      <c r="I431" s="33"/>
      <c r="J431" s="33"/>
      <c r="K431" s="33"/>
      <c r="L431" s="33"/>
      <c r="M431" s="33"/>
      <c r="N431" s="33"/>
      <c r="O431" s="33"/>
      <c r="P431" s="33"/>
      <c r="Q431" s="13"/>
    </row>
    <row r="432" spans="1:17">
      <c r="A432" s="13"/>
      <c r="B432" s="13"/>
      <c r="C432" s="13"/>
      <c r="D432" s="13"/>
      <c r="E432" s="13"/>
      <c r="F432" s="13"/>
      <c r="G432" s="13"/>
      <c r="H432" s="33"/>
      <c r="I432" s="33"/>
      <c r="J432" s="33"/>
      <c r="K432" s="33"/>
      <c r="L432" s="33"/>
      <c r="M432" s="33"/>
      <c r="N432" s="33"/>
      <c r="O432" s="33"/>
      <c r="P432" s="33"/>
      <c r="Q432" s="13"/>
    </row>
    <row r="433" spans="1:17">
      <c r="A433" s="13"/>
      <c r="B433" s="13"/>
      <c r="C433" s="13"/>
      <c r="D433" s="13"/>
      <c r="E433" s="13"/>
      <c r="F433" s="13"/>
      <c r="G433" s="13"/>
      <c r="H433" s="33"/>
      <c r="I433" s="33"/>
      <c r="J433" s="33"/>
      <c r="K433" s="33"/>
      <c r="L433" s="33"/>
      <c r="M433" s="33"/>
      <c r="N433" s="33"/>
      <c r="O433" s="33"/>
      <c r="P433" s="33"/>
      <c r="Q433" s="13"/>
    </row>
    <row r="434" spans="1:17">
      <c r="A434" s="13"/>
      <c r="B434" s="13"/>
      <c r="C434" s="13"/>
      <c r="D434" s="13"/>
      <c r="E434" s="13"/>
      <c r="F434" s="13"/>
      <c r="G434" s="13"/>
      <c r="H434" s="33"/>
      <c r="I434" s="33"/>
      <c r="J434" s="33"/>
      <c r="K434" s="33"/>
      <c r="L434" s="33"/>
      <c r="M434" s="33"/>
      <c r="N434" s="33"/>
      <c r="O434" s="33"/>
      <c r="P434" s="33"/>
      <c r="Q434" s="13"/>
    </row>
    <row r="435" spans="1:17">
      <c r="A435" s="13"/>
      <c r="B435" s="13"/>
      <c r="C435" s="13"/>
      <c r="D435" s="13"/>
      <c r="E435" s="13"/>
      <c r="F435" s="13"/>
      <c r="G435" s="13"/>
      <c r="H435" s="33"/>
      <c r="I435" s="33"/>
      <c r="J435" s="33"/>
      <c r="K435" s="33"/>
      <c r="L435" s="33"/>
      <c r="M435" s="33"/>
      <c r="N435" s="33"/>
      <c r="O435" s="33"/>
      <c r="P435" s="33"/>
      <c r="Q435" s="13"/>
    </row>
    <row r="436" spans="1:17">
      <c r="A436" s="13"/>
      <c r="B436" s="13"/>
      <c r="C436" s="13"/>
      <c r="D436" s="13"/>
      <c r="E436" s="13"/>
      <c r="F436" s="13"/>
      <c r="G436" s="13"/>
      <c r="H436" s="33"/>
      <c r="I436" s="33"/>
      <c r="J436" s="33"/>
      <c r="K436" s="33"/>
      <c r="L436" s="33"/>
      <c r="M436" s="33"/>
      <c r="N436" s="33"/>
      <c r="O436" s="33"/>
      <c r="P436" s="33"/>
      <c r="Q436" s="13"/>
    </row>
    <row r="437" spans="1:17">
      <c r="A437" s="13"/>
      <c r="B437" s="13"/>
      <c r="C437" s="13"/>
      <c r="D437" s="13"/>
      <c r="E437" s="13"/>
      <c r="F437" s="13"/>
      <c r="G437" s="13"/>
      <c r="H437" s="33"/>
      <c r="I437" s="33"/>
      <c r="J437" s="33"/>
      <c r="K437" s="33"/>
      <c r="L437" s="33"/>
      <c r="M437" s="33"/>
      <c r="N437" s="33"/>
      <c r="O437" s="33"/>
      <c r="P437" s="33"/>
      <c r="Q437" s="13"/>
    </row>
    <row r="438" spans="1:17">
      <c r="A438" s="13"/>
      <c r="B438" s="13"/>
      <c r="C438" s="13"/>
      <c r="D438" s="13"/>
      <c r="E438" s="13"/>
      <c r="F438" s="13"/>
      <c r="G438" s="13"/>
      <c r="H438" s="33"/>
      <c r="I438" s="33"/>
      <c r="J438" s="33"/>
      <c r="K438" s="33"/>
      <c r="L438" s="33"/>
      <c r="M438" s="33"/>
      <c r="N438" s="33"/>
      <c r="O438" s="33"/>
      <c r="P438" s="33"/>
      <c r="Q438" s="13"/>
    </row>
    <row r="439" spans="1:17">
      <c r="A439" s="13"/>
      <c r="B439" s="13"/>
      <c r="C439" s="13"/>
      <c r="D439" s="13"/>
      <c r="E439" s="13"/>
      <c r="F439" s="13"/>
      <c r="G439" s="13"/>
      <c r="H439" s="33"/>
      <c r="I439" s="33"/>
      <c r="J439" s="33"/>
      <c r="K439" s="33"/>
      <c r="L439" s="33"/>
      <c r="M439" s="33"/>
      <c r="N439" s="33"/>
      <c r="O439" s="33"/>
      <c r="P439" s="33"/>
      <c r="Q439" s="13"/>
    </row>
    <row r="440" spans="1:17">
      <c r="A440" s="13"/>
      <c r="B440" s="13"/>
      <c r="C440" s="13"/>
      <c r="D440" s="13"/>
      <c r="E440" s="13"/>
      <c r="F440" s="13"/>
      <c r="G440" s="13"/>
      <c r="H440" s="33"/>
      <c r="I440" s="33"/>
      <c r="J440" s="33"/>
      <c r="K440" s="33"/>
      <c r="L440" s="33"/>
      <c r="M440" s="33"/>
      <c r="N440" s="33"/>
      <c r="O440" s="33"/>
      <c r="P440" s="33"/>
      <c r="Q440" s="13"/>
    </row>
    <row r="441" spans="1:17">
      <c r="A441" s="13"/>
      <c r="B441" s="13"/>
      <c r="C441" s="13"/>
      <c r="D441" s="13"/>
      <c r="E441" s="13"/>
      <c r="F441" s="13"/>
      <c r="G441" s="13"/>
      <c r="H441" s="33"/>
      <c r="I441" s="33"/>
      <c r="J441" s="33"/>
      <c r="K441" s="33"/>
      <c r="L441" s="33"/>
      <c r="M441" s="33"/>
      <c r="N441" s="33"/>
      <c r="O441" s="33"/>
      <c r="P441" s="33"/>
      <c r="Q441" s="13"/>
    </row>
    <row r="442" spans="1:17">
      <c r="A442" s="13"/>
      <c r="B442" s="13"/>
      <c r="C442" s="13"/>
      <c r="D442" s="13"/>
      <c r="E442" s="13"/>
      <c r="F442" s="13"/>
      <c r="G442" s="13"/>
      <c r="H442" s="33"/>
      <c r="I442" s="33"/>
      <c r="J442" s="33"/>
      <c r="K442" s="33"/>
      <c r="L442" s="33"/>
      <c r="M442" s="33"/>
      <c r="N442" s="33"/>
      <c r="O442" s="33"/>
      <c r="P442" s="33"/>
      <c r="Q442" s="13"/>
    </row>
    <row r="443" spans="1:17">
      <c r="A443" s="13"/>
      <c r="B443" s="13"/>
      <c r="C443" s="13"/>
      <c r="D443" s="13"/>
      <c r="E443" s="13"/>
      <c r="F443" s="13"/>
      <c r="G443" s="13"/>
      <c r="H443" s="33"/>
      <c r="I443" s="33"/>
      <c r="J443" s="33"/>
      <c r="K443" s="33"/>
      <c r="L443" s="33"/>
      <c r="M443" s="33"/>
      <c r="N443" s="33"/>
      <c r="O443" s="33"/>
      <c r="P443" s="33"/>
      <c r="Q443" s="13"/>
    </row>
    <row r="444" spans="1:17">
      <c r="A444" s="13"/>
      <c r="B444" s="13"/>
      <c r="C444" s="13"/>
      <c r="D444" s="13"/>
      <c r="E444" s="13"/>
      <c r="F444" s="13"/>
      <c r="G444" s="13"/>
      <c r="H444" s="33"/>
      <c r="I444" s="33"/>
      <c r="J444" s="33"/>
      <c r="K444" s="33"/>
      <c r="L444" s="33"/>
      <c r="M444" s="33"/>
      <c r="N444" s="33"/>
      <c r="O444" s="33"/>
      <c r="P444" s="33"/>
      <c r="Q444" s="13"/>
    </row>
    <row r="445" spans="1:17">
      <c r="A445" s="13"/>
      <c r="B445" s="13"/>
      <c r="C445" s="13"/>
      <c r="D445" s="13"/>
      <c r="E445" s="13"/>
      <c r="F445" s="13"/>
      <c r="G445" s="13"/>
      <c r="H445" s="33"/>
      <c r="I445" s="33"/>
      <c r="J445" s="33"/>
      <c r="K445" s="33"/>
      <c r="L445" s="33"/>
      <c r="M445" s="33"/>
      <c r="N445" s="33"/>
      <c r="O445" s="33"/>
      <c r="P445" s="33"/>
      <c r="Q445" s="13"/>
    </row>
    <row r="446" spans="1:17">
      <c r="A446" s="13"/>
      <c r="B446" s="13"/>
      <c r="C446" s="13"/>
      <c r="D446" s="13"/>
      <c r="E446" s="13"/>
      <c r="F446" s="13"/>
      <c r="G446" s="13"/>
      <c r="H446" s="33"/>
      <c r="I446" s="33"/>
      <c r="J446" s="33"/>
      <c r="K446" s="33"/>
      <c r="L446" s="33"/>
      <c r="M446" s="33"/>
      <c r="N446" s="33"/>
      <c r="O446" s="33"/>
      <c r="P446" s="33"/>
      <c r="Q446" s="13"/>
    </row>
    <row r="447" spans="1:17">
      <c r="A447" s="13"/>
      <c r="B447" s="13"/>
      <c r="C447" s="13"/>
      <c r="D447" s="13"/>
      <c r="E447" s="13"/>
      <c r="F447" s="13"/>
      <c r="G447" s="13"/>
      <c r="H447" s="33"/>
      <c r="I447" s="33"/>
      <c r="J447" s="33"/>
      <c r="K447" s="33"/>
      <c r="L447" s="33"/>
      <c r="M447" s="33"/>
      <c r="N447" s="33"/>
      <c r="O447" s="33"/>
      <c r="P447" s="33"/>
      <c r="Q447" s="13"/>
    </row>
    <row r="448" spans="1:17">
      <c r="A448" s="13"/>
      <c r="B448" s="13"/>
      <c r="C448" s="13"/>
      <c r="D448" s="13"/>
      <c r="E448" s="13"/>
      <c r="F448" s="13"/>
      <c r="G448" s="13"/>
      <c r="H448" s="33"/>
      <c r="I448" s="33"/>
      <c r="J448" s="33"/>
      <c r="K448" s="33"/>
      <c r="L448" s="33"/>
      <c r="M448" s="33"/>
      <c r="N448" s="33"/>
      <c r="O448" s="33"/>
      <c r="P448" s="33"/>
      <c r="Q448" s="13"/>
    </row>
    <row r="449" spans="1:17">
      <c r="A449" s="13"/>
      <c r="B449" s="13"/>
      <c r="C449" s="13"/>
      <c r="D449" s="13"/>
      <c r="E449" s="13"/>
      <c r="F449" s="13"/>
      <c r="G449" s="13"/>
      <c r="H449" s="33"/>
      <c r="I449" s="33"/>
      <c r="J449" s="33"/>
      <c r="K449" s="33"/>
      <c r="L449" s="33"/>
      <c r="M449" s="33"/>
      <c r="N449" s="33"/>
      <c r="O449" s="33"/>
      <c r="P449" s="33"/>
      <c r="Q449" s="13"/>
    </row>
    <row r="450" spans="1:17">
      <c r="A450" s="13"/>
      <c r="B450" s="13"/>
      <c r="C450" s="13"/>
      <c r="D450" s="13"/>
      <c r="E450" s="13"/>
      <c r="F450" s="13"/>
      <c r="G450" s="13"/>
      <c r="H450" s="33"/>
      <c r="I450" s="33"/>
      <c r="J450" s="33"/>
      <c r="K450" s="33"/>
      <c r="L450" s="33"/>
      <c r="M450" s="33"/>
      <c r="N450" s="33"/>
      <c r="O450" s="33"/>
      <c r="P450" s="33"/>
      <c r="Q450" s="13"/>
    </row>
    <row r="451" spans="1:17">
      <c r="A451" s="13"/>
      <c r="B451" s="13"/>
      <c r="C451" s="13"/>
      <c r="D451" s="13"/>
      <c r="E451" s="13"/>
      <c r="F451" s="13"/>
      <c r="G451" s="13"/>
      <c r="H451" s="33"/>
      <c r="I451" s="33"/>
      <c r="J451" s="33"/>
      <c r="K451" s="33"/>
      <c r="L451" s="33"/>
      <c r="M451" s="33"/>
      <c r="N451" s="33"/>
      <c r="O451" s="33"/>
      <c r="P451" s="33"/>
      <c r="Q451" s="13"/>
    </row>
    <row r="452" spans="1:17">
      <c r="A452" s="13"/>
      <c r="B452" s="13"/>
      <c r="C452" s="13"/>
      <c r="D452" s="13"/>
      <c r="E452" s="13"/>
      <c r="F452" s="13"/>
      <c r="G452" s="13"/>
      <c r="H452" s="33"/>
      <c r="I452" s="33"/>
      <c r="J452" s="33"/>
      <c r="K452" s="33"/>
      <c r="L452" s="33"/>
      <c r="M452" s="33"/>
      <c r="N452" s="33"/>
      <c r="O452" s="33"/>
      <c r="P452" s="33"/>
      <c r="Q452" s="13"/>
    </row>
    <row r="453" spans="1:17">
      <c r="A453" s="13"/>
      <c r="B453" s="13"/>
      <c r="C453" s="13"/>
      <c r="D453" s="13"/>
      <c r="E453" s="13"/>
      <c r="F453" s="13"/>
      <c r="G453" s="13"/>
      <c r="H453" s="33"/>
      <c r="I453" s="33"/>
      <c r="J453" s="33"/>
      <c r="K453" s="33"/>
      <c r="L453" s="33"/>
      <c r="M453" s="33"/>
      <c r="N453" s="33"/>
      <c r="O453" s="33"/>
      <c r="P453" s="33"/>
      <c r="Q453" s="13"/>
    </row>
    <row r="454" spans="1:17">
      <c r="A454" s="13"/>
      <c r="B454" s="13"/>
      <c r="C454" s="13"/>
      <c r="D454" s="13"/>
      <c r="E454" s="13"/>
      <c r="F454" s="13"/>
      <c r="G454" s="13"/>
      <c r="H454" s="33"/>
      <c r="I454" s="33"/>
      <c r="J454" s="33"/>
      <c r="K454" s="33"/>
      <c r="L454" s="33"/>
      <c r="M454" s="33"/>
      <c r="N454" s="33"/>
      <c r="O454" s="33"/>
      <c r="P454" s="33"/>
      <c r="Q454" s="13"/>
    </row>
    <row r="455" spans="1:17">
      <c r="A455" s="13"/>
      <c r="B455" s="13"/>
      <c r="C455" s="13"/>
      <c r="D455" s="13"/>
      <c r="E455" s="13"/>
      <c r="F455" s="13"/>
      <c r="G455" s="13"/>
      <c r="H455" s="33"/>
      <c r="I455" s="33"/>
      <c r="J455" s="33"/>
      <c r="K455" s="33"/>
      <c r="L455" s="33"/>
      <c r="M455" s="33"/>
      <c r="N455" s="33"/>
      <c r="O455" s="33"/>
      <c r="P455" s="33"/>
      <c r="Q455" s="13"/>
    </row>
    <row r="456" spans="1:17">
      <c r="A456" s="13"/>
      <c r="B456" s="13"/>
      <c r="C456" s="13"/>
      <c r="D456" s="13"/>
      <c r="E456" s="13"/>
      <c r="F456" s="13"/>
      <c r="G456" s="13"/>
      <c r="H456" s="33"/>
      <c r="I456" s="33"/>
      <c r="J456" s="33"/>
      <c r="K456" s="33"/>
      <c r="L456" s="33"/>
      <c r="M456" s="33"/>
      <c r="N456" s="33"/>
      <c r="O456" s="33"/>
      <c r="P456" s="33"/>
      <c r="Q456" s="13"/>
    </row>
    <row r="457" spans="1:17">
      <c r="A457" s="13"/>
      <c r="B457" s="13"/>
      <c r="C457" s="13"/>
      <c r="D457" s="13"/>
      <c r="E457" s="13"/>
      <c r="F457" s="13"/>
      <c r="G457" s="13"/>
      <c r="H457" s="33"/>
      <c r="I457" s="33"/>
      <c r="J457" s="33"/>
      <c r="K457" s="33"/>
      <c r="L457" s="33"/>
      <c r="M457" s="33"/>
      <c r="N457" s="33"/>
      <c r="O457" s="33"/>
      <c r="P457" s="33"/>
      <c r="Q457" s="13"/>
    </row>
    <row r="458" spans="1:17">
      <c r="A458" s="13"/>
      <c r="B458" s="13"/>
      <c r="C458" s="13"/>
      <c r="D458" s="13"/>
      <c r="E458" s="13"/>
      <c r="F458" s="13"/>
      <c r="G458" s="13"/>
      <c r="H458" s="33"/>
      <c r="I458" s="33"/>
      <c r="J458" s="33"/>
      <c r="K458" s="33"/>
      <c r="L458" s="33"/>
      <c r="M458" s="33"/>
      <c r="N458" s="33"/>
      <c r="O458" s="33"/>
      <c r="P458" s="33"/>
      <c r="Q458" s="13"/>
    </row>
    <row r="459" spans="1:17">
      <c r="A459" s="13"/>
      <c r="B459" s="13"/>
      <c r="C459" s="13"/>
      <c r="D459" s="13"/>
      <c r="E459" s="13"/>
      <c r="F459" s="13"/>
      <c r="G459" s="13"/>
      <c r="H459" s="33"/>
      <c r="I459" s="33"/>
      <c r="J459" s="33"/>
      <c r="K459" s="33"/>
      <c r="L459" s="33"/>
      <c r="M459" s="33"/>
      <c r="N459" s="33"/>
      <c r="O459" s="33"/>
      <c r="P459" s="33"/>
      <c r="Q459" s="13"/>
    </row>
    <row r="460" spans="1:17">
      <c r="A460" s="13"/>
      <c r="B460" s="13"/>
      <c r="C460" s="13"/>
      <c r="D460" s="13"/>
      <c r="E460" s="13"/>
      <c r="F460" s="13"/>
      <c r="G460" s="13"/>
      <c r="H460" s="33"/>
      <c r="I460" s="33"/>
      <c r="J460" s="33"/>
      <c r="K460" s="33"/>
      <c r="L460" s="33"/>
      <c r="M460" s="33"/>
      <c r="N460" s="33"/>
      <c r="O460" s="33"/>
      <c r="P460" s="33"/>
      <c r="Q460" s="13"/>
    </row>
    <row r="461" spans="1:17">
      <c r="A461" s="13"/>
      <c r="B461" s="13"/>
      <c r="C461" s="13"/>
      <c r="D461" s="13"/>
      <c r="E461" s="13"/>
      <c r="F461" s="13"/>
      <c r="G461" s="13"/>
      <c r="H461" s="33"/>
      <c r="I461" s="33"/>
      <c r="J461" s="33"/>
      <c r="K461" s="33"/>
      <c r="L461" s="33"/>
      <c r="M461" s="33"/>
      <c r="N461" s="33"/>
      <c r="O461" s="33"/>
      <c r="P461" s="33"/>
      <c r="Q461" s="13"/>
    </row>
    <row r="462" spans="1:17">
      <c r="A462" s="13"/>
      <c r="B462" s="13"/>
      <c r="C462" s="13"/>
      <c r="D462" s="13"/>
      <c r="E462" s="13"/>
      <c r="F462" s="13"/>
      <c r="G462" s="13"/>
      <c r="H462" s="33"/>
      <c r="I462" s="33"/>
      <c r="J462" s="33"/>
      <c r="K462" s="33"/>
      <c r="L462" s="33"/>
      <c r="M462" s="33"/>
      <c r="N462" s="33"/>
      <c r="O462" s="33"/>
      <c r="P462" s="33"/>
      <c r="Q462" s="13"/>
    </row>
    <row r="463" spans="1:17">
      <c r="A463" s="13"/>
      <c r="B463" s="13"/>
      <c r="C463" s="13"/>
      <c r="D463" s="13"/>
      <c r="E463" s="13"/>
      <c r="F463" s="13"/>
      <c r="G463" s="13"/>
      <c r="H463" s="33"/>
      <c r="I463" s="33"/>
      <c r="J463" s="33"/>
      <c r="K463" s="33"/>
      <c r="L463" s="33"/>
      <c r="M463" s="33"/>
      <c r="N463" s="33"/>
      <c r="O463" s="33"/>
      <c r="P463" s="33"/>
      <c r="Q463" s="13"/>
    </row>
    <row r="464" spans="1:17">
      <c r="A464" s="13"/>
      <c r="B464" s="13"/>
      <c r="C464" s="13"/>
      <c r="D464" s="13"/>
      <c r="E464" s="13"/>
      <c r="F464" s="13"/>
      <c r="G464" s="13"/>
      <c r="H464" s="33"/>
      <c r="I464" s="33"/>
      <c r="J464" s="33"/>
      <c r="K464" s="33"/>
      <c r="L464" s="33"/>
      <c r="M464" s="33"/>
      <c r="N464" s="33"/>
      <c r="O464" s="33"/>
      <c r="P464" s="33"/>
      <c r="Q464" s="13"/>
    </row>
    <row r="465" spans="1:17">
      <c r="A465" s="13"/>
      <c r="B465" s="13"/>
      <c r="C465" s="13"/>
      <c r="D465" s="13"/>
      <c r="E465" s="13"/>
      <c r="F465" s="13"/>
      <c r="G465" s="13"/>
      <c r="H465" s="33"/>
      <c r="I465" s="33"/>
      <c r="J465" s="33"/>
      <c r="K465" s="33"/>
      <c r="L465" s="33"/>
      <c r="M465" s="33"/>
      <c r="N465" s="33"/>
      <c r="O465" s="33"/>
      <c r="P465" s="33"/>
      <c r="Q465" s="13"/>
    </row>
    <row r="466" spans="1:17">
      <c r="A466" s="13"/>
      <c r="B466" s="13"/>
      <c r="C466" s="13"/>
      <c r="D466" s="13"/>
      <c r="E466" s="13"/>
      <c r="F466" s="13"/>
      <c r="G466" s="13"/>
      <c r="H466" s="33"/>
      <c r="I466" s="33"/>
      <c r="J466" s="33"/>
      <c r="K466" s="33"/>
      <c r="L466" s="33"/>
      <c r="M466" s="33"/>
      <c r="N466" s="33"/>
      <c r="O466" s="33"/>
      <c r="P466" s="33"/>
      <c r="Q466" s="13"/>
    </row>
    <row r="467" spans="1:17">
      <c r="A467" s="13"/>
      <c r="B467" s="13"/>
      <c r="C467" s="13"/>
      <c r="D467" s="13"/>
      <c r="E467" s="13"/>
      <c r="F467" s="13"/>
      <c r="G467" s="13"/>
      <c r="H467" s="33"/>
      <c r="I467" s="33"/>
      <c r="J467" s="33"/>
      <c r="K467" s="33"/>
      <c r="L467" s="33"/>
      <c r="M467" s="33"/>
      <c r="N467" s="33"/>
      <c r="O467" s="33"/>
      <c r="P467" s="33"/>
      <c r="Q467" s="13"/>
    </row>
    <row r="468" spans="1:17">
      <c r="A468" s="13"/>
      <c r="B468" s="13"/>
      <c r="C468" s="13"/>
      <c r="D468" s="13"/>
      <c r="E468" s="13"/>
      <c r="F468" s="13"/>
      <c r="G468" s="13"/>
      <c r="H468" s="33"/>
      <c r="I468" s="33"/>
      <c r="J468" s="33"/>
      <c r="K468" s="33"/>
      <c r="L468" s="33"/>
      <c r="M468" s="33"/>
      <c r="N468" s="33"/>
      <c r="O468" s="33"/>
      <c r="P468" s="33"/>
      <c r="Q468" s="13"/>
    </row>
    <row r="469" spans="1:17">
      <c r="A469" s="13"/>
      <c r="B469" s="13"/>
      <c r="C469" s="13"/>
      <c r="D469" s="13"/>
      <c r="E469" s="13"/>
      <c r="F469" s="13"/>
      <c r="G469" s="13"/>
      <c r="H469" s="33"/>
      <c r="I469" s="33"/>
      <c r="J469" s="33"/>
      <c r="K469" s="33"/>
      <c r="L469" s="33"/>
      <c r="M469" s="33"/>
      <c r="N469" s="33"/>
      <c r="O469" s="33"/>
      <c r="P469" s="33"/>
      <c r="Q469" s="13"/>
    </row>
    <row r="470" spans="1:17">
      <c r="A470" s="13"/>
      <c r="B470" s="13"/>
      <c r="C470" s="13"/>
      <c r="D470" s="13"/>
      <c r="E470" s="13"/>
      <c r="F470" s="13"/>
      <c r="G470" s="13"/>
      <c r="H470" s="33"/>
      <c r="I470" s="33"/>
      <c r="J470" s="33"/>
      <c r="K470" s="33"/>
      <c r="L470" s="33"/>
      <c r="M470" s="33"/>
      <c r="N470" s="33"/>
      <c r="O470" s="33"/>
      <c r="P470" s="33"/>
      <c r="Q470" s="13"/>
    </row>
    <row r="471" spans="1:17">
      <c r="A471" s="13"/>
      <c r="B471" s="13"/>
      <c r="C471" s="13"/>
      <c r="D471" s="13"/>
      <c r="E471" s="13"/>
      <c r="F471" s="13"/>
      <c r="G471" s="13"/>
      <c r="H471" s="33"/>
      <c r="I471" s="33"/>
      <c r="J471" s="33"/>
      <c r="K471" s="33"/>
      <c r="L471" s="33"/>
      <c r="M471" s="33"/>
      <c r="N471" s="33"/>
      <c r="O471" s="33"/>
      <c r="P471" s="33"/>
      <c r="Q471" s="13"/>
    </row>
    <row r="472" spans="1:17">
      <c r="A472" s="13"/>
      <c r="B472" s="13"/>
      <c r="C472" s="13"/>
      <c r="D472" s="13"/>
      <c r="E472" s="13"/>
      <c r="F472" s="13"/>
      <c r="G472" s="13"/>
      <c r="H472" s="33"/>
      <c r="I472" s="33"/>
      <c r="J472" s="33"/>
      <c r="K472" s="33"/>
      <c r="L472" s="33"/>
      <c r="M472" s="33"/>
      <c r="N472" s="33"/>
      <c r="O472" s="33"/>
      <c r="P472" s="33"/>
      <c r="Q472" s="13"/>
    </row>
    <row r="473" spans="1:17">
      <c r="A473" s="13"/>
      <c r="B473" s="13"/>
      <c r="C473" s="13"/>
      <c r="D473" s="13"/>
      <c r="E473" s="13"/>
      <c r="F473" s="13"/>
      <c r="G473" s="13"/>
      <c r="H473" s="33"/>
      <c r="I473" s="33"/>
      <c r="J473" s="33"/>
      <c r="K473" s="33"/>
      <c r="L473" s="33"/>
      <c r="M473" s="33"/>
      <c r="N473" s="33"/>
      <c r="O473" s="33"/>
      <c r="P473" s="33"/>
      <c r="Q473" s="13"/>
    </row>
    <row r="474" spans="1:17">
      <c r="A474" s="13"/>
      <c r="B474" s="13"/>
      <c r="C474" s="13"/>
      <c r="D474" s="13"/>
      <c r="E474" s="13"/>
      <c r="F474" s="13"/>
      <c r="G474" s="13"/>
      <c r="H474" s="33"/>
      <c r="I474" s="33"/>
      <c r="J474" s="33"/>
      <c r="K474" s="33"/>
      <c r="L474" s="33"/>
      <c r="M474" s="33"/>
      <c r="N474" s="33"/>
      <c r="O474" s="33"/>
      <c r="P474" s="33"/>
      <c r="Q474" s="13"/>
    </row>
    <row r="475" spans="1:17">
      <c r="A475" s="13"/>
      <c r="B475" s="13"/>
      <c r="C475" s="13"/>
      <c r="D475" s="13"/>
      <c r="E475" s="13"/>
      <c r="F475" s="13"/>
      <c r="G475" s="13"/>
      <c r="H475" s="33"/>
      <c r="I475" s="33"/>
      <c r="J475" s="33"/>
      <c r="K475" s="33"/>
      <c r="L475" s="33"/>
      <c r="M475" s="33"/>
      <c r="N475" s="33"/>
      <c r="O475" s="33"/>
      <c r="P475" s="33"/>
      <c r="Q475" s="13"/>
    </row>
    <row r="476" spans="1:17">
      <c r="A476" s="13"/>
      <c r="B476" s="13"/>
      <c r="C476" s="13"/>
      <c r="D476" s="13"/>
      <c r="E476" s="13"/>
      <c r="F476" s="13"/>
      <c r="G476" s="13"/>
      <c r="H476" s="33"/>
      <c r="I476" s="33"/>
      <c r="J476" s="33"/>
      <c r="K476" s="33"/>
      <c r="L476" s="33"/>
      <c r="M476" s="33"/>
      <c r="N476" s="33"/>
      <c r="O476" s="33"/>
      <c r="P476" s="33"/>
      <c r="Q476" s="13"/>
    </row>
    <row r="477" spans="1:17">
      <c r="A477" s="13"/>
      <c r="B477" s="13"/>
      <c r="C477" s="13"/>
      <c r="D477" s="13"/>
      <c r="E477" s="13"/>
      <c r="F477" s="13"/>
      <c r="G477" s="13"/>
      <c r="H477" s="33"/>
      <c r="I477" s="33"/>
      <c r="J477" s="33"/>
      <c r="K477" s="33"/>
      <c r="L477" s="33"/>
      <c r="M477" s="33"/>
      <c r="N477" s="33"/>
      <c r="O477" s="33"/>
      <c r="P477" s="33"/>
      <c r="Q477" s="13"/>
    </row>
    <row r="478" spans="1:17">
      <c r="A478" s="13"/>
      <c r="B478" s="13"/>
      <c r="C478" s="13"/>
      <c r="D478" s="13"/>
      <c r="E478" s="13"/>
      <c r="F478" s="13"/>
      <c r="G478" s="13"/>
      <c r="H478" s="33"/>
      <c r="I478" s="33"/>
      <c r="J478" s="33"/>
      <c r="K478" s="33"/>
      <c r="L478" s="33"/>
      <c r="M478" s="33"/>
      <c r="N478" s="33"/>
      <c r="O478" s="33"/>
      <c r="P478" s="33"/>
      <c r="Q478" s="13"/>
    </row>
    <row r="479" spans="1:17">
      <c r="A479" s="13"/>
      <c r="B479" s="13"/>
      <c r="C479" s="13"/>
      <c r="D479" s="13"/>
      <c r="E479" s="13"/>
      <c r="F479" s="13"/>
      <c r="G479" s="13"/>
      <c r="H479" s="33"/>
      <c r="I479" s="33"/>
      <c r="J479" s="33"/>
      <c r="K479" s="33"/>
      <c r="L479" s="33"/>
      <c r="M479" s="33"/>
      <c r="N479" s="33"/>
      <c r="O479" s="33"/>
      <c r="P479" s="33"/>
      <c r="Q479" s="13"/>
    </row>
    <row r="480" spans="1:17">
      <c r="A480" s="13"/>
      <c r="B480" s="13"/>
      <c r="C480" s="13"/>
      <c r="D480" s="13"/>
      <c r="E480" s="13"/>
      <c r="F480" s="13"/>
      <c r="G480" s="13"/>
      <c r="H480" s="33"/>
      <c r="I480" s="33"/>
      <c r="J480" s="33"/>
      <c r="K480" s="33"/>
      <c r="L480" s="33"/>
      <c r="M480" s="33"/>
      <c r="N480" s="33"/>
      <c r="O480" s="33"/>
      <c r="P480" s="33"/>
      <c r="Q480" s="13"/>
    </row>
    <row r="481" spans="1:17">
      <c r="A481" s="13"/>
      <c r="B481" s="13"/>
      <c r="C481" s="13"/>
      <c r="D481" s="13"/>
      <c r="E481" s="13"/>
      <c r="F481" s="13"/>
      <c r="G481" s="13"/>
      <c r="H481" s="33"/>
      <c r="I481" s="33"/>
      <c r="J481" s="33"/>
      <c r="K481" s="33"/>
      <c r="L481" s="33"/>
      <c r="M481" s="33"/>
      <c r="N481" s="33"/>
      <c r="O481" s="33"/>
      <c r="P481" s="33"/>
      <c r="Q481" s="13"/>
    </row>
    <row r="482" spans="1:17">
      <c r="A482" s="13"/>
      <c r="B482" s="13"/>
      <c r="C482" s="13"/>
      <c r="D482" s="13"/>
      <c r="E482" s="13"/>
      <c r="F482" s="13"/>
      <c r="G482" s="13"/>
      <c r="H482" s="33"/>
      <c r="I482" s="33"/>
      <c r="J482" s="33"/>
      <c r="K482" s="33"/>
      <c r="L482" s="33"/>
      <c r="M482" s="33"/>
      <c r="N482" s="33"/>
      <c r="O482" s="33"/>
      <c r="P482" s="33"/>
      <c r="Q482" s="13"/>
    </row>
    <row r="483" spans="1:17">
      <c r="A483" s="13"/>
      <c r="B483" s="13"/>
      <c r="C483" s="13"/>
      <c r="D483" s="13"/>
      <c r="E483" s="13"/>
      <c r="F483" s="13"/>
      <c r="G483" s="13"/>
      <c r="H483" s="33"/>
      <c r="I483" s="33"/>
      <c r="J483" s="33"/>
      <c r="K483" s="33"/>
      <c r="L483" s="33"/>
      <c r="M483" s="33"/>
      <c r="N483" s="33"/>
      <c r="O483" s="33"/>
      <c r="P483" s="33"/>
      <c r="Q483" s="13"/>
    </row>
    <row r="484" spans="1:17">
      <c r="A484" s="13"/>
      <c r="B484" s="13"/>
      <c r="C484" s="13"/>
      <c r="D484" s="13"/>
      <c r="E484" s="13"/>
      <c r="F484" s="13"/>
      <c r="G484" s="13"/>
      <c r="H484" s="33"/>
      <c r="I484" s="33"/>
      <c r="J484" s="33"/>
      <c r="K484" s="33"/>
      <c r="L484" s="33"/>
      <c r="M484" s="33"/>
      <c r="N484" s="33"/>
      <c r="O484" s="33"/>
      <c r="P484" s="33"/>
      <c r="Q484" s="13"/>
    </row>
    <row r="485" spans="1:17">
      <c r="A485" s="13"/>
      <c r="B485" s="13"/>
      <c r="C485" s="13"/>
      <c r="D485" s="13"/>
      <c r="E485" s="13"/>
      <c r="F485" s="13"/>
      <c r="G485" s="13"/>
      <c r="H485" s="33"/>
      <c r="I485" s="33"/>
      <c r="J485" s="33"/>
      <c r="K485" s="33"/>
      <c r="L485" s="33"/>
      <c r="M485" s="33"/>
      <c r="N485" s="33"/>
      <c r="O485" s="33"/>
      <c r="P485" s="33"/>
      <c r="Q485" s="13"/>
    </row>
    <row r="486" spans="1:17">
      <c r="A486" s="13"/>
      <c r="B486" s="13"/>
      <c r="C486" s="13"/>
      <c r="D486" s="13"/>
      <c r="E486" s="13"/>
      <c r="F486" s="13"/>
      <c r="G486" s="13"/>
      <c r="H486" s="33"/>
      <c r="I486" s="33"/>
      <c r="J486" s="33"/>
      <c r="K486" s="33"/>
      <c r="L486" s="33"/>
      <c r="M486" s="33"/>
      <c r="N486" s="33"/>
      <c r="O486" s="33"/>
      <c r="P486" s="33"/>
      <c r="Q486" s="13"/>
    </row>
    <row r="487" spans="1:17">
      <c r="A487" s="13"/>
      <c r="B487" s="13"/>
      <c r="C487" s="13"/>
      <c r="D487" s="13"/>
      <c r="E487" s="13"/>
      <c r="F487" s="13"/>
      <c r="G487" s="13"/>
      <c r="H487" s="33"/>
      <c r="I487" s="33"/>
      <c r="J487" s="33"/>
      <c r="K487" s="33"/>
      <c r="L487" s="33"/>
      <c r="M487" s="33"/>
      <c r="N487" s="33"/>
      <c r="O487" s="33"/>
      <c r="P487" s="33"/>
      <c r="Q487" s="13"/>
    </row>
    <row r="488" spans="1:17">
      <c r="A488" s="13"/>
      <c r="B488" s="13"/>
      <c r="C488" s="13"/>
      <c r="D488" s="13"/>
      <c r="E488" s="13"/>
      <c r="F488" s="13"/>
      <c r="G488" s="13"/>
      <c r="H488" s="33"/>
      <c r="I488" s="33"/>
      <c r="J488" s="33"/>
      <c r="K488" s="33"/>
      <c r="L488" s="33"/>
      <c r="M488" s="33"/>
      <c r="N488" s="33"/>
      <c r="O488" s="33"/>
      <c r="P488" s="33"/>
      <c r="Q488" s="13"/>
    </row>
    <row r="489" spans="1:17">
      <c r="A489" s="13"/>
      <c r="B489" s="13"/>
      <c r="C489" s="13"/>
      <c r="D489" s="13"/>
      <c r="E489" s="13"/>
      <c r="F489" s="13"/>
      <c r="G489" s="13"/>
      <c r="H489" s="33"/>
      <c r="I489" s="33"/>
      <c r="J489" s="33"/>
      <c r="K489" s="33"/>
      <c r="L489" s="33"/>
      <c r="M489" s="33"/>
      <c r="N489" s="33"/>
      <c r="O489" s="33"/>
      <c r="P489" s="33"/>
      <c r="Q489" s="13"/>
    </row>
    <row r="490" spans="1:17">
      <c r="A490" s="13"/>
      <c r="B490" s="13"/>
      <c r="C490" s="13"/>
      <c r="D490" s="13"/>
      <c r="E490" s="13"/>
      <c r="F490" s="13"/>
      <c r="G490" s="13"/>
      <c r="H490" s="33"/>
      <c r="I490" s="33"/>
      <c r="J490" s="33"/>
      <c r="K490" s="33"/>
      <c r="L490" s="33"/>
      <c r="M490" s="33"/>
      <c r="N490" s="33"/>
      <c r="O490" s="33"/>
      <c r="P490" s="33"/>
      <c r="Q490" s="13"/>
    </row>
    <row r="491" spans="1:17">
      <c r="A491" s="13"/>
      <c r="B491" s="13"/>
      <c r="C491" s="13"/>
      <c r="D491" s="13"/>
      <c r="E491" s="13"/>
      <c r="F491" s="13"/>
      <c r="G491" s="13"/>
      <c r="H491" s="33"/>
      <c r="I491" s="33"/>
      <c r="J491" s="33"/>
      <c r="K491" s="33"/>
      <c r="L491" s="33"/>
      <c r="M491" s="33"/>
      <c r="N491" s="33"/>
      <c r="O491" s="33"/>
      <c r="P491" s="33"/>
      <c r="Q491" s="13"/>
    </row>
    <row r="492" spans="1:17">
      <c r="A492" s="13"/>
      <c r="B492" s="13"/>
      <c r="C492" s="13"/>
      <c r="D492" s="13"/>
      <c r="E492" s="13"/>
      <c r="F492" s="13"/>
      <c r="G492" s="13"/>
      <c r="H492" s="33"/>
      <c r="I492" s="33"/>
      <c r="J492" s="33"/>
      <c r="K492" s="33"/>
      <c r="L492" s="33"/>
      <c r="M492" s="33"/>
      <c r="N492" s="33"/>
      <c r="O492" s="33"/>
      <c r="P492" s="33"/>
      <c r="Q492" s="13"/>
    </row>
    <row r="493" spans="1:17">
      <c r="A493" s="13"/>
      <c r="B493" s="13"/>
      <c r="C493" s="13"/>
      <c r="D493" s="13"/>
      <c r="E493" s="13"/>
      <c r="F493" s="13"/>
      <c r="G493" s="13"/>
      <c r="H493" s="33"/>
      <c r="I493" s="33"/>
      <c r="J493" s="33"/>
      <c r="K493" s="33"/>
      <c r="L493" s="33"/>
      <c r="M493" s="33"/>
      <c r="N493" s="33"/>
      <c r="O493" s="33"/>
      <c r="P493" s="33"/>
      <c r="Q493" s="13"/>
    </row>
    <row r="494" spans="1:17">
      <c r="A494" s="13"/>
      <c r="B494" s="13"/>
      <c r="C494" s="13"/>
      <c r="D494" s="13"/>
      <c r="E494" s="13"/>
      <c r="F494" s="13"/>
      <c r="G494" s="13"/>
      <c r="H494" s="33"/>
      <c r="I494" s="33"/>
      <c r="J494" s="33"/>
      <c r="K494" s="33"/>
      <c r="L494" s="33"/>
      <c r="M494" s="33"/>
      <c r="N494" s="33"/>
      <c r="O494" s="33"/>
      <c r="P494" s="33"/>
      <c r="Q494" s="13"/>
    </row>
    <row r="495" spans="1:17">
      <c r="A495" s="13"/>
      <c r="B495" s="13"/>
      <c r="C495" s="13"/>
      <c r="D495" s="13"/>
      <c r="E495" s="13"/>
      <c r="F495" s="13"/>
      <c r="G495" s="13"/>
      <c r="H495" s="33"/>
      <c r="I495" s="33"/>
      <c r="J495" s="33"/>
      <c r="K495" s="33"/>
      <c r="L495" s="33"/>
      <c r="M495" s="33"/>
      <c r="N495" s="33"/>
      <c r="O495" s="33"/>
      <c r="P495" s="33"/>
      <c r="Q495" s="13"/>
    </row>
    <row r="496" spans="1:17">
      <c r="A496" s="13"/>
      <c r="B496" s="13"/>
      <c r="C496" s="13"/>
      <c r="D496" s="13"/>
      <c r="E496" s="13"/>
      <c r="F496" s="13"/>
      <c r="G496" s="13"/>
      <c r="H496" s="33"/>
      <c r="I496" s="33"/>
      <c r="J496" s="33"/>
      <c r="K496" s="33"/>
      <c r="L496" s="33"/>
      <c r="M496" s="33"/>
      <c r="N496" s="33"/>
      <c r="O496" s="33"/>
      <c r="P496" s="33"/>
      <c r="Q496" s="13"/>
    </row>
    <row r="497" spans="1:17">
      <c r="A497" s="13"/>
      <c r="B497" s="13"/>
      <c r="C497" s="13"/>
      <c r="D497" s="13"/>
      <c r="E497" s="13"/>
      <c r="F497" s="13"/>
      <c r="G497" s="13"/>
      <c r="H497" s="33"/>
      <c r="I497" s="33"/>
      <c r="J497" s="33"/>
      <c r="K497" s="33"/>
      <c r="L497" s="33"/>
      <c r="M497" s="33"/>
      <c r="N497" s="33"/>
      <c r="O497" s="33"/>
      <c r="P497" s="33"/>
      <c r="Q497" s="13"/>
    </row>
    <row r="498" spans="1:17">
      <c r="A498" s="13"/>
      <c r="B498" s="13"/>
      <c r="C498" s="13"/>
      <c r="D498" s="13"/>
      <c r="E498" s="13"/>
      <c r="F498" s="13"/>
      <c r="G498" s="13"/>
      <c r="H498" s="33"/>
      <c r="I498" s="33"/>
      <c r="J498" s="33"/>
      <c r="K498" s="33"/>
      <c r="L498" s="33"/>
      <c r="M498" s="33"/>
      <c r="N498" s="33"/>
      <c r="O498" s="33"/>
      <c r="P498" s="33"/>
      <c r="Q498" s="13"/>
    </row>
    <row r="499" spans="1:17">
      <c r="A499" s="13"/>
      <c r="B499" s="13"/>
      <c r="C499" s="13"/>
      <c r="D499" s="13"/>
      <c r="E499" s="13"/>
      <c r="F499" s="13"/>
      <c r="G499" s="13"/>
      <c r="H499" s="33"/>
      <c r="I499" s="33"/>
      <c r="J499" s="33"/>
      <c r="K499" s="33"/>
      <c r="L499" s="33"/>
      <c r="M499" s="33"/>
      <c r="N499" s="33"/>
      <c r="O499" s="33"/>
      <c r="P499" s="33"/>
      <c r="Q499" s="13"/>
    </row>
    <row r="500" spans="1:17">
      <c r="A500" s="13"/>
      <c r="B500" s="13"/>
      <c r="C500" s="13"/>
      <c r="D500" s="13"/>
      <c r="E500" s="13"/>
      <c r="F500" s="13"/>
      <c r="G500" s="13"/>
      <c r="H500" s="33"/>
      <c r="I500" s="33"/>
      <c r="J500" s="33"/>
      <c r="K500" s="33"/>
      <c r="L500" s="33"/>
      <c r="M500" s="33"/>
      <c r="N500" s="33"/>
      <c r="O500" s="33"/>
      <c r="P500" s="33"/>
      <c r="Q500" s="13"/>
    </row>
    <row r="501" spans="1:17">
      <c r="A501" s="13"/>
      <c r="B501" s="13"/>
      <c r="C501" s="13"/>
      <c r="D501" s="13"/>
      <c r="E501" s="13"/>
      <c r="F501" s="13"/>
      <c r="G501" s="13"/>
      <c r="H501" s="33"/>
      <c r="I501" s="33"/>
      <c r="J501" s="33"/>
      <c r="K501" s="33"/>
      <c r="L501" s="33"/>
      <c r="M501" s="33"/>
      <c r="N501" s="33"/>
      <c r="O501" s="33"/>
      <c r="P501" s="33"/>
      <c r="Q501" s="13"/>
    </row>
    <row r="502" spans="1:17">
      <c r="A502" s="13"/>
      <c r="B502" s="13"/>
      <c r="C502" s="13"/>
      <c r="D502" s="13"/>
      <c r="E502" s="13"/>
      <c r="F502" s="13"/>
      <c r="G502" s="13"/>
      <c r="H502" s="33"/>
      <c r="I502" s="33"/>
      <c r="J502" s="33"/>
      <c r="K502" s="33"/>
      <c r="L502" s="33"/>
      <c r="M502" s="33"/>
      <c r="N502" s="33"/>
      <c r="O502" s="33"/>
      <c r="P502" s="33"/>
      <c r="Q502" s="13"/>
    </row>
    <row r="503" spans="1:17">
      <c r="A503" s="13"/>
      <c r="B503" s="13"/>
      <c r="C503" s="13"/>
      <c r="D503" s="13"/>
      <c r="E503" s="13"/>
      <c r="F503" s="13"/>
      <c r="G503" s="13"/>
      <c r="H503" s="33"/>
      <c r="I503" s="33"/>
      <c r="J503" s="33"/>
      <c r="K503" s="33"/>
      <c r="L503" s="33"/>
      <c r="M503" s="33"/>
      <c r="N503" s="33"/>
      <c r="O503" s="33"/>
      <c r="P503" s="33"/>
      <c r="Q503" s="13"/>
    </row>
    <row r="504" spans="1:17">
      <c r="A504" s="13"/>
      <c r="B504" s="13"/>
      <c r="C504" s="13"/>
      <c r="D504" s="13"/>
      <c r="E504" s="13"/>
      <c r="F504" s="13"/>
      <c r="G504" s="13"/>
      <c r="H504" s="33"/>
      <c r="I504" s="33"/>
      <c r="J504" s="33"/>
      <c r="K504" s="33"/>
      <c r="L504" s="33"/>
      <c r="M504" s="33"/>
      <c r="N504" s="33"/>
      <c r="O504" s="33"/>
      <c r="P504" s="33"/>
      <c r="Q504" s="13"/>
    </row>
    <row r="505" spans="1:17">
      <c r="A505" s="13"/>
      <c r="B505" s="13"/>
      <c r="C505" s="13"/>
      <c r="D505" s="13"/>
      <c r="E505" s="13"/>
      <c r="F505" s="13"/>
      <c r="G505" s="13"/>
      <c r="H505" s="33"/>
      <c r="I505" s="33"/>
      <c r="J505" s="33"/>
      <c r="K505" s="33"/>
      <c r="L505" s="33"/>
      <c r="M505" s="33"/>
      <c r="N505" s="33"/>
      <c r="O505" s="33"/>
      <c r="P505" s="33"/>
      <c r="Q505" s="13"/>
    </row>
    <row r="506" spans="1:17">
      <c r="A506" s="13"/>
      <c r="B506" s="13"/>
      <c r="C506" s="13"/>
      <c r="D506" s="13"/>
      <c r="E506" s="13"/>
      <c r="F506" s="13"/>
      <c r="G506" s="13"/>
      <c r="H506" s="33"/>
      <c r="I506" s="33"/>
      <c r="J506" s="33"/>
      <c r="K506" s="33"/>
      <c r="L506" s="33"/>
      <c r="M506" s="33"/>
      <c r="N506" s="33"/>
      <c r="O506" s="33"/>
      <c r="P506" s="33"/>
      <c r="Q506" s="13"/>
    </row>
    <row r="507" spans="1:17">
      <c r="A507" s="13"/>
      <c r="B507" s="13"/>
      <c r="C507" s="13"/>
      <c r="D507" s="13"/>
      <c r="E507" s="13"/>
      <c r="F507" s="13"/>
      <c r="G507" s="13"/>
      <c r="H507" s="33"/>
      <c r="I507" s="33"/>
      <c r="J507" s="33"/>
      <c r="K507" s="33"/>
      <c r="L507" s="33"/>
      <c r="M507" s="33"/>
      <c r="N507" s="33"/>
      <c r="O507" s="33"/>
      <c r="P507" s="33"/>
      <c r="Q507" s="13"/>
    </row>
    <row r="508" spans="1:17">
      <c r="A508" s="13"/>
      <c r="B508" s="13"/>
      <c r="C508" s="13"/>
      <c r="D508" s="13"/>
      <c r="E508" s="13"/>
      <c r="F508" s="13"/>
      <c r="G508" s="13"/>
      <c r="H508" s="33"/>
      <c r="I508" s="33"/>
      <c r="J508" s="33"/>
      <c r="K508" s="33"/>
      <c r="L508" s="33"/>
      <c r="M508" s="33"/>
      <c r="N508" s="33"/>
      <c r="O508" s="33"/>
      <c r="P508" s="33"/>
      <c r="Q508" s="13"/>
    </row>
    <row r="509" spans="1:17">
      <c r="A509" s="13"/>
      <c r="B509" s="13"/>
      <c r="C509" s="13"/>
      <c r="D509" s="13"/>
      <c r="E509" s="13"/>
      <c r="F509" s="13"/>
      <c r="G509" s="13"/>
      <c r="H509" s="33"/>
      <c r="I509" s="33"/>
      <c r="J509" s="33"/>
      <c r="K509" s="33"/>
      <c r="L509" s="33"/>
      <c r="M509" s="33"/>
      <c r="N509" s="33"/>
      <c r="O509" s="33"/>
      <c r="P509" s="33"/>
      <c r="Q509" s="13"/>
    </row>
    <row r="510" spans="1:17">
      <c r="A510" s="13"/>
      <c r="B510" s="13"/>
      <c r="C510" s="13"/>
      <c r="D510" s="13"/>
      <c r="E510" s="13"/>
      <c r="F510" s="13"/>
      <c r="G510" s="13"/>
      <c r="H510" s="33"/>
      <c r="I510" s="33"/>
      <c r="J510" s="33"/>
      <c r="K510" s="33"/>
      <c r="L510" s="33"/>
      <c r="M510" s="33"/>
      <c r="N510" s="33"/>
      <c r="O510" s="33"/>
      <c r="P510" s="33"/>
      <c r="Q510" s="13"/>
    </row>
    <row r="511" spans="1:17">
      <c r="A511" s="13"/>
      <c r="B511" s="13"/>
      <c r="C511" s="13"/>
      <c r="D511" s="13"/>
      <c r="E511" s="13"/>
      <c r="F511" s="13"/>
      <c r="G511" s="13"/>
      <c r="H511" s="33"/>
      <c r="I511" s="33"/>
      <c r="J511" s="33"/>
      <c r="K511" s="33"/>
      <c r="L511" s="33"/>
      <c r="M511" s="33"/>
      <c r="N511" s="33"/>
      <c r="O511" s="33"/>
      <c r="P511" s="33"/>
      <c r="Q511" s="13"/>
    </row>
    <row r="512" spans="1:17">
      <c r="A512" s="13"/>
      <c r="B512" s="13"/>
      <c r="C512" s="13"/>
      <c r="D512" s="13"/>
      <c r="E512" s="13"/>
      <c r="F512" s="13"/>
      <c r="G512" s="13"/>
      <c r="H512" s="33"/>
      <c r="I512" s="33"/>
      <c r="J512" s="33"/>
      <c r="K512" s="33"/>
      <c r="L512" s="33"/>
      <c r="M512" s="33"/>
      <c r="N512" s="33"/>
      <c r="O512" s="33"/>
      <c r="P512" s="33"/>
      <c r="Q512" s="13"/>
    </row>
    <row r="513" spans="1:17">
      <c r="A513" s="13"/>
      <c r="B513" s="13"/>
      <c r="C513" s="13"/>
      <c r="D513" s="13"/>
      <c r="E513" s="13"/>
      <c r="F513" s="13"/>
      <c r="G513" s="13"/>
      <c r="H513" s="33"/>
      <c r="I513" s="33"/>
      <c r="J513" s="33"/>
      <c r="K513" s="33"/>
      <c r="L513" s="33"/>
      <c r="M513" s="33"/>
      <c r="N513" s="33"/>
      <c r="O513" s="33"/>
      <c r="P513" s="33"/>
      <c r="Q513" s="13"/>
    </row>
    <row r="514" spans="1:17">
      <c r="A514" s="13"/>
      <c r="B514" s="13"/>
      <c r="C514" s="13"/>
      <c r="D514" s="13"/>
      <c r="E514" s="13"/>
      <c r="F514" s="13"/>
      <c r="G514" s="13"/>
      <c r="H514" s="33"/>
      <c r="I514" s="33"/>
      <c r="J514" s="33"/>
      <c r="K514" s="33"/>
      <c r="L514" s="33"/>
      <c r="M514" s="33"/>
      <c r="N514" s="33"/>
      <c r="O514" s="33"/>
      <c r="P514" s="33"/>
      <c r="Q514" s="13"/>
    </row>
    <row r="515" spans="1:17">
      <c r="A515" s="13"/>
      <c r="B515" s="13"/>
      <c r="C515" s="13"/>
      <c r="D515" s="13"/>
      <c r="E515" s="13"/>
      <c r="F515" s="13"/>
      <c r="G515" s="13"/>
      <c r="H515" s="33"/>
      <c r="I515" s="33"/>
      <c r="J515" s="33"/>
      <c r="K515" s="33"/>
      <c r="L515" s="33"/>
      <c r="M515" s="33"/>
      <c r="N515" s="33"/>
      <c r="O515" s="33"/>
      <c r="P515" s="33"/>
      <c r="Q515" s="13"/>
    </row>
    <row r="516" spans="1:17">
      <c r="A516" s="13"/>
      <c r="B516" s="13"/>
      <c r="C516" s="13"/>
      <c r="D516" s="13"/>
      <c r="E516" s="13"/>
      <c r="F516" s="13"/>
      <c r="G516" s="13"/>
      <c r="H516" s="33"/>
      <c r="I516" s="33"/>
      <c r="J516" s="33"/>
      <c r="K516" s="33"/>
      <c r="L516" s="33"/>
      <c r="M516" s="33"/>
      <c r="N516" s="33"/>
      <c r="O516" s="33"/>
      <c r="P516" s="33"/>
      <c r="Q516" s="13"/>
    </row>
    <row r="517" spans="1:17">
      <c r="A517" s="13"/>
      <c r="B517" s="13"/>
      <c r="C517" s="13"/>
      <c r="D517" s="13"/>
      <c r="E517" s="13"/>
      <c r="F517" s="13"/>
      <c r="G517" s="13"/>
      <c r="H517" s="33"/>
      <c r="I517" s="33"/>
      <c r="J517" s="33"/>
      <c r="K517" s="33"/>
      <c r="L517" s="33"/>
      <c r="M517" s="33"/>
      <c r="N517" s="33"/>
      <c r="O517" s="33"/>
      <c r="P517" s="33"/>
      <c r="Q517" s="13"/>
    </row>
    <row r="518" spans="1:17">
      <c r="A518" s="13"/>
      <c r="B518" s="13"/>
      <c r="C518" s="13"/>
      <c r="D518" s="13"/>
      <c r="E518" s="13"/>
      <c r="F518" s="13"/>
      <c r="G518" s="13"/>
      <c r="H518" s="33"/>
      <c r="I518" s="33"/>
      <c r="J518" s="33"/>
      <c r="K518" s="33"/>
      <c r="L518" s="33"/>
      <c r="M518" s="33"/>
      <c r="N518" s="33"/>
      <c r="O518" s="33"/>
      <c r="P518" s="33"/>
      <c r="Q518" s="13"/>
    </row>
    <row r="519" spans="1:17">
      <c r="A519" s="13"/>
      <c r="B519" s="13"/>
      <c r="C519" s="13"/>
      <c r="D519" s="13"/>
      <c r="E519" s="13"/>
      <c r="F519" s="13"/>
      <c r="G519" s="13"/>
      <c r="H519" s="33"/>
      <c r="I519" s="33"/>
      <c r="J519" s="33"/>
      <c r="K519" s="33"/>
      <c r="L519" s="33"/>
      <c r="M519" s="33"/>
      <c r="N519" s="33"/>
      <c r="O519" s="33"/>
      <c r="P519" s="33"/>
      <c r="Q519" s="13"/>
    </row>
    <row r="520" spans="1:17">
      <c r="A520" s="13"/>
      <c r="B520" s="13"/>
      <c r="C520" s="13"/>
      <c r="D520" s="13"/>
      <c r="E520" s="13"/>
      <c r="F520" s="13"/>
      <c r="G520" s="13"/>
      <c r="H520" s="33"/>
      <c r="I520" s="33"/>
      <c r="J520" s="33"/>
      <c r="K520" s="33"/>
      <c r="L520" s="33"/>
      <c r="M520" s="33"/>
      <c r="N520" s="33"/>
      <c r="O520" s="33"/>
      <c r="P520" s="33"/>
      <c r="Q520" s="13"/>
    </row>
    <row r="521" spans="1:17">
      <c r="A521" s="13"/>
      <c r="B521" s="13"/>
      <c r="C521" s="13"/>
      <c r="D521" s="13"/>
      <c r="E521" s="13"/>
      <c r="F521" s="13"/>
      <c r="G521" s="13"/>
      <c r="H521" s="33"/>
      <c r="I521" s="33"/>
      <c r="J521" s="33"/>
      <c r="K521" s="33"/>
      <c r="L521" s="33"/>
      <c r="M521" s="33"/>
      <c r="N521" s="33"/>
      <c r="O521" s="33"/>
      <c r="P521" s="33"/>
      <c r="Q521" s="13"/>
    </row>
    <row r="522" spans="1:17">
      <c r="A522" s="13"/>
      <c r="B522" s="13"/>
      <c r="C522" s="13"/>
      <c r="D522" s="13"/>
      <c r="E522" s="13"/>
      <c r="F522" s="13"/>
      <c r="G522" s="13"/>
      <c r="H522" s="33"/>
      <c r="I522" s="33"/>
      <c r="J522" s="33"/>
      <c r="K522" s="33"/>
      <c r="L522" s="33"/>
      <c r="M522" s="33"/>
      <c r="N522" s="33"/>
      <c r="O522" s="33"/>
      <c r="P522" s="33"/>
      <c r="Q522" s="13"/>
    </row>
    <row r="523" spans="1:17">
      <c r="A523" s="13"/>
      <c r="B523" s="13"/>
      <c r="C523" s="13"/>
      <c r="D523" s="13"/>
      <c r="E523" s="13"/>
      <c r="F523" s="13"/>
      <c r="G523" s="13"/>
      <c r="H523" s="33"/>
      <c r="I523" s="33"/>
      <c r="J523" s="33"/>
      <c r="K523" s="33"/>
      <c r="L523" s="33"/>
      <c r="M523" s="33"/>
      <c r="N523" s="33"/>
      <c r="O523" s="33"/>
      <c r="P523" s="33"/>
      <c r="Q523" s="13"/>
    </row>
    <row r="524" spans="1:17">
      <c r="A524" s="13"/>
      <c r="B524" s="13"/>
      <c r="C524" s="13"/>
      <c r="D524" s="13"/>
      <c r="E524" s="13"/>
      <c r="F524" s="13"/>
      <c r="G524" s="13"/>
      <c r="H524" s="33"/>
      <c r="I524" s="33"/>
      <c r="J524" s="33"/>
      <c r="K524" s="33"/>
      <c r="L524" s="33"/>
      <c r="M524" s="33"/>
      <c r="N524" s="33"/>
      <c r="O524" s="33"/>
      <c r="P524" s="33"/>
      <c r="Q524" s="13"/>
    </row>
    <row r="525" spans="1:17">
      <c r="A525" s="13"/>
      <c r="B525" s="13"/>
      <c r="C525" s="13"/>
      <c r="D525" s="13"/>
      <c r="E525" s="13"/>
      <c r="F525" s="13"/>
      <c r="G525" s="13"/>
      <c r="H525" s="33"/>
      <c r="I525" s="33"/>
      <c r="J525" s="33"/>
      <c r="K525" s="33"/>
      <c r="L525" s="33"/>
      <c r="M525" s="33"/>
      <c r="N525" s="33"/>
      <c r="O525" s="33"/>
      <c r="P525" s="33"/>
      <c r="Q525" s="13"/>
    </row>
    <row r="526" spans="1:17">
      <c r="A526" s="13"/>
      <c r="B526" s="13"/>
      <c r="C526" s="13"/>
      <c r="D526" s="13"/>
      <c r="E526" s="13"/>
      <c r="F526" s="13"/>
      <c r="G526" s="13"/>
      <c r="H526" s="33"/>
      <c r="I526" s="33"/>
      <c r="J526" s="33"/>
      <c r="K526" s="33"/>
      <c r="L526" s="33"/>
      <c r="M526" s="33"/>
      <c r="N526" s="33"/>
      <c r="O526" s="33"/>
      <c r="P526" s="33"/>
      <c r="Q526" s="13"/>
    </row>
    <row r="527" spans="1:17">
      <c r="A527" s="13"/>
      <c r="B527" s="13"/>
      <c r="C527" s="13"/>
      <c r="D527" s="13"/>
      <c r="E527" s="13"/>
      <c r="F527" s="13"/>
      <c r="G527" s="13"/>
      <c r="H527" s="33"/>
      <c r="I527" s="33"/>
      <c r="J527" s="33"/>
      <c r="K527" s="33"/>
      <c r="L527" s="33"/>
      <c r="M527" s="33"/>
      <c r="N527" s="33"/>
      <c r="O527" s="33"/>
      <c r="P527" s="33"/>
      <c r="Q527" s="13"/>
    </row>
    <row r="528" spans="1:17">
      <c r="A528" s="13"/>
      <c r="B528" s="13"/>
      <c r="C528" s="13"/>
      <c r="D528" s="13"/>
      <c r="E528" s="13"/>
      <c r="F528" s="13"/>
      <c r="G528" s="13"/>
      <c r="H528" s="33"/>
      <c r="I528" s="33"/>
      <c r="J528" s="33"/>
      <c r="K528" s="33"/>
      <c r="L528" s="33"/>
      <c r="M528" s="33"/>
      <c r="N528" s="33"/>
      <c r="O528" s="33"/>
      <c r="P528" s="33"/>
      <c r="Q528" s="13"/>
    </row>
    <row r="529" spans="1:17">
      <c r="A529" s="13"/>
      <c r="B529" s="13"/>
      <c r="C529" s="13"/>
      <c r="D529" s="13"/>
      <c r="E529" s="13"/>
      <c r="F529" s="13"/>
      <c r="G529" s="13"/>
      <c r="H529" s="33"/>
      <c r="I529" s="33"/>
      <c r="J529" s="33"/>
      <c r="K529" s="33"/>
      <c r="L529" s="33"/>
      <c r="M529" s="33"/>
      <c r="N529" s="33"/>
      <c r="O529" s="33"/>
      <c r="P529" s="33"/>
      <c r="Q529" s="13"/>
    </row>
    <row r="530" spans="1:17">
      <c r="A530" s="13"/>
      <c r="B530" s="13"/>
      <c r="C530" s="13"/>
      <c r="D530" s="13"/>
      <c r="E530" s="13"/>
      <c r="F530" s="13"/>
      <c r="G530" s="13"/>
      <c r="H530" s="33"/>
      <c r="I530" s="33"/>
      <c r="J530" s="33"/>
      <c r="K530" s="33"/>
      <c r="L530" s="33"/>
      <c r="M530" s="33"/>
      <c r="N530" s="33"/>
      <c r="O530" s="33"/>
      <c r="P530" s="33"/>
      <c r="Q530" s="13"/>
    </row>
    <row r="531" spans="1:17">
      <c r="A531" s="13"/>
      <c r="B531" s="13"/>
      <c r="C531" s="13"/>
      <c r="D531" s="13"/>
      <c r="E531" s="13"/>
      <c r="F531" s="13"/>
      <c r="G531" s="13"/>
      <c r="H531" s="33"/>
      <c r="I531" s="33"/>
      <c r="J531" s="33"/>
      <c r="K531" s="33"/>
      <c r="L531" s="33"/>
      <c r="M531" s="33"/>
      <c r="N531" s="33"/>
      <c r="O531" s="33"/>
      <c r="P531" s="33"/>
      <c r="Q531" s="13"/>
    </row>
    <row r="532" spans="1:17">
      <c r="A532" s="13"/>
      <c r="B532" s="13"/>
      <c r="C532" s="13"/>
      <c r="D532" s="13"/>
      <c r="E532" s="13"/>
      <c r="F532" s="13"/>
      <c r="G532" s="13"/>
      <c r="H532" s="33"/>
      <c r="I532" s="33"/>
      <c r="J532" s="33"/>
      <c r="K532" s="33"/>
      <c r="L532" s="33"/>
      <c r="M532" s="33"/>
      <c r="N532" s="33"/>
      <c r="O532" s="33"/>
      <c r="P532" s="33"/>
      <c r="Q532" s="13"/>
    </row>
    <row r="533" spans="1:17">
      <c r="A533" s="13"/>
      <c r="B533" s="13"/>
      <c r="C533" s="13"/>
      <c r="D533" s="13"/>
      <c r="E533" s="13"/>
      <c r="F533" s="13"/>
      <c r="G533" s="13"/>
      <c r="H533" s="33"/>
      <c r="I533" s="33"/>
      <c r="J533" s="33"/>
      <c r="K533" s="33"/>
      <c r="L533" s="33"/>
      <c r="M533" s="33"/>
      <c r="N533" s="33"/>
      <c r="O533" s="33"/>
      <c r="P533" s="33"/>
      <c r="Q533" s="13"/>
    </row>
    <row r="534" spans="1:17">
      <c r="A534" s="13"/>
      <c r="B534" s="13"/>
      <c r="C534" s="13"/>
      <c r="D534" s="13"/>
      <c r="E534" s="13"/>
      <c r="F534" s="13"/>
      <c r="G534" s="13"/>
      <c r="H534" s="33"/>
      <c r="I534" s="33"/>
      <c r="J534" s="33"/>
      <c r="K534" s="33"/>
      <c r="L534" s="33"/>
      <c r="M534" s="33"/>
      <c r="N534" s="33"/>
      <c r="O534" s="33"/>
      <c r="P534" s="33"/>
      <c r="Q534" s="13"/>
    </row>
    <row r="535" spans="1:17">
      <c r="A535" s="13"/>
      <c r="B535" s="13"/>
      <c r="C535" s="13"/>
      <c r="D535" s="13"/>
      <c r="E535" s="13"/>
      <c r="F535" s="13"/>
      <c r="G535" s="13"/>
      <c r="H535" s="33"/>
      <c r="I535" s="33"/>
      <c r="J535" s="33"/>
      <c r="K535" s="33"/>
      <c r="L535" s="33"/>
      <c r="M535" s="33"/>
      <c r="N535" s="33"/>
      <c r="O535" s="33"/>
      <c r="P535" s="33"/>
      <c r="Q535" s="13"/>
    </row>
    <row r="536" spans="1:17">
      <c r="A536" s="13"/>
      <c r="B536" s="13"/>
      <c r="C536" s="13"/>
      <c r="D536" s="13"/>
      <c r="E536" s="13"/>
      <c r="F536" s="13"/>
      <c r="G536" s="13"/>
      <c r="H536" s="33"/>
      <c r="I536" s="33"/>
      <c r="J536" s="33"/>
      <c r="K536" s="33"/>
      <c r="L536" s="33"/>
      <c r="M536" s="33"/>
      <c r="N536" s="33"/>
      <c r="O536" s="33"/>
      <c r="P536" s="33"/>
      <c r="Q536" s="13"/>
    </row>
    <row r="537" spans="1:17">
      <c r="A537" s="13"/>
      <c r="B537" s="13"/>
      <c r="C537" s="13"/>
      <c r="D537" s="13"/>
      <c r="E537" s="13"/>
      <c r="F537" s="13"/>
      <c r="G537" s="13"/>
      <c r="H537" s="33"/>
      <c r="I537" s="33"/>
      <c r="J537" s="33"/>
      <c r="K537" s="33"/>
      <c r="L537" s="33"/>
      <c r="M537" s="33"/>
      <c r="N537" s="33"/>
      <c r="O537" s="33"/>
      <c r="P537" s="33"/>
      <c r="Q537" s="13"/>
    </row>
    <row r="538" spans="1:17">
      <c r="A538" s="13"/>
      <c r="B538" s="13"/>
      <c r="C538" s="13"/>
      <c r="D538" s="13"/>
      <c r="E538" s="13"/>
      <c r="F538" s="13"/>
      <c r="G538" s="13"/>
      <c r="H538" s="33"/>
      <c r="I538" s="33"/>
      <c r="J538" s="33"/>
      <c r="K538" s="33"/>
      <c r="L538" s="33"/>
      <c r="M538" s="33"/>
      <c r="N538" s="33"/>
      <c r="O538" s="33"/>
      <c r="P538" s="33"/>
      <c r="Q538" s="13"/>
    </row>
    <row r="539" spans="1:17">
      <c r="A539" s="13"/>
      <c r="B539" s="13"/>
      <c r="C539" s="13"/>
      <c r="D539" s="13"/>
      <c r="E539" s="13"/>
      <c r="F539" s="13"/>
      <c r="G539" s="13"/>
      <c r="H539" s="33"/>
      <c r="I539" s="33"/>
      <c r="J539" s="33"/>
      <c r="K539" s="33"/>
      <c r="L539" s="33"/>
      <c r="M539" s="33"/>
      <c r="N539" s="33"/>
      <c r="O539" s="33"/>
      <c r="P539" s="33"/>
      <c r="Q539" s="13"/>
    </row>
    <row r="540" spans="1:17">
      <c r="A540" s="13"/>
      <c r="B540" s="13"/>
      <c r="C540" s="13"/>
      <c r="D540" s="13"/>
      <c r="E540" s="13"/>
      <c r="F540" s="13"/>
      <c r="G540" s="13"/>
      <c r="H540" s="33"/>
      <c r="I540" s="33"/>
      <c r="J540" s="33"/>
      <c r="K540" s="33"/>
      <c r="L540" s="33"/>
      <c r="M540" s="33"/>
      <c r="N540" s="33"/>
      <c r="O540" s="33"/>
      <c r="P540" s="33"/>
      <c r="Q540" s="13"/>
    </row>
    <row r="541" spans="1:17">
      <c r="A541" s="13"/>
      <c r="B541" s="13"/>
      <c r="C541" s="13"/>
      <c r="D541" s="13"/>
      <c r="E541" s="13"/>
      <c r="F541" s="13"/>
      <c r="G541" s="13"/>
      <c r="H541" s="33"/>
      <c r="I541" s="33"/>
      <c r="J541" s="33"/>
      <c r="K541" s="33"/>
      <c r="L541" s="33"/>
      <c r="M541" s="33"/>
      <c r="N541" s="33"/>
      <c r="O541" s="33"/>
      <c r="P541" s="33"/>
      <c r="Q541" s="13"/>
    </row>
    <row r="542" spans="1:17">
      <c r="A542" s="13"/>
      <c r="B542" s="13"/>
      <c r="C542" s="13"/>
      <c r="D542" s="13"/>
      <c r="E542" s="13"/>
      <c r="F542" s="13"/>
      <c r="G542" s="13"/>
      <c r="H542" s="33"/>
      <c r="I542" s="33"/>
      <c r="J542" s="33"/>
      <c r="K542" s="33"/>
      <c r="L542" s="33"/>
      <c r="M542" s="33"/>
      <c r="N542" s="33"/>
      <c r="O542" s="33"/>
      <c r="P542" s="33"/>
      <c r="Q542" s="13"/>
    </row>
    <row r="543" spans="1:17">
      <c r="A543" s="13"/>
      <c r="B543" s="13"/>
      <c r="C543" s="13"/>
      <c r="D543" s="13"/>
      <c r="E543" s="13"/>
      <c r="F543" s="13"/>
      <c r="G543" s="13"/>
      <c r="H543" s="33"/>
      <c r="I543" s="33"/>
      <c r="J543" s="33"/>
      <c r="K543" s="33"/>
      <c r="L543" s="33"/>
      <c r="M543" s="33"/>
      <c r="N543" s="33"/>
      <c r="O543" s="33"/>
      <c r="P543" s="33"/>
      <c r="Q543" s="13"/>
    </row>
  </sheetData>
  <autoFilter ref="A1:Q543" xr:uid="{D4C031FC-D67B-4925-A9F1-BEE658CA5C8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4774-DA22-44DB-965F-2FBD1917931A}">
  <dimension ref="A1:J543"/>
  <sheetViews>
    <sheetView workbookViewId="0">
      <pane ySplit="1" topLeftCell="A11" activePane="bottomLeft" state="frozen"/>
      <selection pane="bottomLeft" activeCell="C22" sqref="C22"/>
    </sheetView>
  </sheetViews>
  <sheetFormatPr defaultRowHeight="14.5"/>
  <cols>
    <col min="1" max="1" width="34.08984375" style="1" customWidth="1"/>
    <col min="2" max="2" width="14.26953125" style="1" bestFit="1" customWidth="1"/>
    <col min="3" max="3" width="16.54296875" customWidth="1"/>
    <col min="4" max="5" width="16.54296875" style="10" customWidth="1"/>
    <col min="6" max="6" width="17.7265625" style="10" bestFit="1" customWidth="1"/>
    <col min="7" max="10" width="16.54296875" style="10" customWidth="1"/>
  </cols>
  <sheetData>
    <row r="1" spans="1:10" ht="42">
      <c r="A1" s="15" t="s">
        <v>3</v>
      </c>
      <c r="B1" s="15" t="s">
        <v>1</v>
      </c>
      <c r="C1" s="6" t="s">
        <v>17</v>
      </c>
      <c r="D1" s="7" t="s">
        <v>18</v>
      </c>
      <c r="E1" s="7" t="s">
        <v>19</v>
      </c>
      <c r="F1" s="7" t="s">
        <v>20</v>
      </c>
      <c r="G1" s="8" t="s">
        <v>21</v>
      </c>
      <c r="H1" s="9" t="s">
        <v>22</v>
      </c>
      <c r="I1" s="9" t="s">
        <v>23</v>
      </c>
      <c r="J1" s="9" t="s">
        <v>24</v>
      </c>
    </row>
    <row r="2" spans="1:10">
      <c r="A2" s="2" t="str">
        <f>Master_Data!D2</f>
        <v>CV-192-STR-ABF-STD-0001</v>
      </c>
      <c r="B2" s="2" t="str">
        <f>Master_Data!B2</f>
        <v>Structural</v>
      </c>
      <c r="C2" s="17">
        <f>IF(Master_Data!H2="","",Master_Data!H2 - WEEKDAY(Master_Data!H2,2) + 1)</f>
        <v>46020</v>
      </c>
      <c r="D2" s="17">
        <f>IF(Master_Data!J2="","",Master_Data!J2 - WEEKDAY(Master_Data!J2,2) + 1)</f>
        <v>46013</v>
      </c>
      <c r="E2" s="17">
        <f>IF(Master_Data!M2="","",Master_Data!M2 - WEEKDAY(Master_Data!M2,2) + 1)</f>
        <v>46027</v>
      </c>
      <c r="F2" s="17">
        <f>IF(Master_Data!N2="","",Master_Data!N2 - WEEKDAY(Master_Data!N2,2) + 1)</f>
        <v>46020</v>
      </c>
      <c r="G2" s="18">
        <f>EOMONTH(Master_Data!H2,-1)+1</f>
        <v>45992</v>
      </c>
      <c r="H2" s="18">
        <f>IF(Master_Data!J2="","",EOMONTH(Master_Data!J2,-1)+1)</f>
        <v>45992</v>
      </c>
      <c r="I2" s="18">
        <f>IF(Master_Data!M2="","",EOMONTH(Master_Data!M2,-1)+1)</f>
        <v>46023</v>
      </c>
      <c r="J2" s="18">
        <f>IF(Master_Data!N2="","",EOMONTH(Master_Data!N2,-1)+1)</f>
        <v>46023</v>
      </c>
    </row>
    <row r="3" spans="1:10">
      <c r="A3" s="2" t="str">
        <f>Master_Data!D3</f>
        <v xml:space="preserve">CV-192-STR-ABF-DRW-0001 </v>
      </c>
      <c r="B3" s="2" t="str">
        <f>Master_Data!B3</f>
        <v>Structural</v>
      </c>
      <c r="C3" s="17">
        <f>IF(Master_Data!H3="","",Master_Data!H3 - WEEKDAY(Master_Data!H3,2) + 1)</f>
        <v>46027</v>
      </c>
      <c r="D3" s="17">
        <f>IF(Master_Data!J3="","",Master_Data!J3 - WEEKDAY(Master_Data!J3,2) + 1)</f>
        <v>46041</v>
      </c>
      <c r="E3" s="17">
        <f>IF(Master_Data!M3="","",Master_Data!M3 - WEEKDAY(Master_Data!M3,2) + 1)</f>
        <v>46034</v>
      </c>
      <c r="F3" s="17">
        <f>IF(Master_Data!N3="","",Master_Data!N3 - WEEKDAY(Master_Data!N3,2) + 1)</f>
        <v>46055</v>
      </c>
      <c r="G3" s="18">
        <f>EOMONTH(Master_Data!H3,-1)+1</f>
        <v>46023</v>
      </c>
      <c r="H3" s="18">
        <f>IF(Master_Data!J3="","",EOMONTH(Master_Data!J3,-1)+1)</f>
        <v>46023</v>
      </c>
      <c r="I3" s="18">
        <f>IF(Master_Data!M3="","",EOMONTH(Master_Data!M3,-1)+1)</f>
        <v>46023</v>
      </c>
      <c r="J3" s="18">
        <f>IF(Master_Data!N3="","",EOMONTH(Master_Data!N3,-1)+1)</f>
        <v>46054</v>
      </c>
    </row>
    <row r="4" spans="1:10">
      <c r="A4" s="2" t="str">
        <f>Master_Data!D4</f>
        <v>CV-192-STR-ABF-DRW-0002</v>
      </c>
      <c r="B4" s="2" t="str">
        <f>Master_Data!B4</f>
        <v>Structural</v>
      </c>
      <c r="C4" s="17">
        <f>IF(Master_Data!H4="","",Master_Data!H4 - WEEKDAY(Master_Data!H4,2) + 1)</f>
        <v>46027</v>
      </c>
      <c r="D4" s="17">
        <f>IF(Master_Data!J4="","",Master_Data!J4 - WEEKDAY(Master_Data!J4,2) + 1)</f>
        <v>46041</v>
      </c>
      <c r="E4" s="17">
        <f>IF(Master_Data!M4="","",Master_Data!M4 - WEEKDAY(Master_Data!M4,2) + 1)</f>
        <v>46034</v>
      </c>
      <c r="F4" s="17">
        <f>IF(Master_Data!N4="","",Master_Data!N4 - WEEKDAY(Master_Data!N4,2) + 1)</f>
        <v>46055</v>
      </c>
      <c r="G4" s="18">
        <f>EOMONTH(Master_Data!H4,-1)+1</f>
        <v>46023</v>
      </c>
      <c r="H4" s="18">
        <f>IF(Master_Data!J4="","",EOMONTH(Master_Data!J4,-1)+1)</f>
        <v>46023</v>
      </c>
      <c r="I4" s="18">
        <f>IF(Master_Data!M4="","",EOMONTH(Master_Data!M4,-1)+1)</f>
        <v>46023</v>
      </c>
      <c r="J4" s="18">
        <f>IF(Master_Data!N4="","",EOMONTH(Master_Data!N4,-1)+1)</f>
        <v>46054</v>
      </c>
    </row>
    <row r="5" spans="1:10">
      <c r="A5" s="2" t="str">
        <f>Master_Data!D5</f>
        <v>CV-192-STR-ABF-DRW-0003</v>
      </c>
      <c r="B5" s="2" t="str">
        <f>Master_Data!B5</f>
        <v>Structural</v>
      </c>
      <c r="C5" s="17">
        <f>IF(Master_Data!H5="","",Master_Data!H5 - WEEKDAY(Master_Data!H5,2) + 1)</f>
        <v>46027</v>
      </c>
      <c r="D5" s="17">
        <f>IF(Master_Data!J5="","",Master_Data!J5 - WEEKDAY(Master_Data!J5,2) + 1)</f>
        <v>46041</v>
      </c>
      <c r="E5" s="17">
        <f>IF(Master_Data!M5="","",Master_Data!M5 - WEEKDAY(Master_Data!M5,2) + 1)</f>
        <v>46034</v>
      </c>
      <c r="F5" s="17">
        <f>IF(Master_Data!N5="","",Master_Data!N5 - WEEKDAY(Master_Data!N5,2) + 1)</f>
        <v>46055</v>
      </c>
      <c r="G5" s="18">
        <f>EOMONTH(Master_Data!H5,-1)+1</f>
        <v>46023</v>
      </c>
      <c r="H5" s="18">
        <f>IF(Master_Data!J5="","",EOMONTH(Master_Data!J5,-1)+1)</f>
        <v>46023</v>
      </c>
      <c r="I5" s="18">
        <f>IF(Master_Data!M5="","",EOMONTH(Master_Data!M5,-1)+1)</f>
        <v>46023</v>
      </c>
      <c r="J5" s="18">
        <f>IF(Master_Data!N5="","",EOMONTH(Master_Data!N5,-1)+1)</f>
        <v>46054</v>
      </c>
    </row>
    <row r="6" spans="1:10">
      <c r="A6" s="2" t="str">
        <f>Master_Data!D6</f>
        <v>CV-192-STR-ABF-DRW-0004</v>
      </c>
      <c r="B6" s="2" t="str">
        <f>Master_Data!B6</f>
        <v>Structural</v>
      </c>
      <c r="C6" s="17">
        <f>IF(Master_Data!H6="","",Master_Data!H6 - WEEKDAY(Master_Data!H6,2) + 1)</f>
        <v>46027</v>
      </c>
      <c r="D6" s="17">
        <f>IF(Master_Data!J6="","",Master_Data!J6 - WEEKDAY(Master_Data!J6,2) + 1)</f>
        <v>46041</v>
      </c>
      <c r="E6" s="17">
        <f>IF(Master_Data!M6="","",Master_Data!M6 - WEEKDAY(Master_Data!M6,2) + 1)</f>
        <v>46034</v>
      </c>
      <c r="F6" s="17">
        <f>IF(Master_Data!N6="","",Master_Data!N6 - WEEKDAY(Master_Data!N6,2) + 1)</f>
        <v>46055</v>
      </c>
      <c r="G6" s="18">
        <f>EOMONTH(Master_Data!H6,-1)+1</f>
        <v>46023</v>
      </c>
      <c r="H6" s="18">
        <f>IF(Master_Data!J6="","",EOMONTH(Master_Data!J6,-1)+1)</f>
        <v>46023</v>
      </c>
      <c r="I6" s="18">
        <f>IF(Master_Data!M6="","",EOMONTH(Master_Data!M6,-1)+1)</f>
        <v>46023</v>
      </c>
      <c r="J6" s="18">
        <f>IF(Master_Data!N6="","",EOMONTH(Master_Data!N6,-1)+1)</f>
        <v>46054</v>
      </c>
    </row>
    <row r="7" spans="1:10">
      <c r="A7" s="2" t="str">
        <f>Master_Data!D7</f>
        <v>CV-192-STR-ABF-DRW-0005</v>
      </c>
      <c r="B7" s="2" t="str">
        <f>Master_Data!B7</f>
        <v>Structural</v>
      </c>
      <c r="C7" s="17">
        <f>IF(Master_Data!H7="","",Master_Data!H7 - WEEKDAY(Master_Data!H7,2) + 1)</f>
        <v>46034</v>
      </c>
      <c r="D7" s="17">
        <f>IF(Master_Data!J7="","",Master_Data!J7 - WEEKDAY(Master_Data!J7,2) + 1)</f>
        <v>46118</v>
      </c>
      <c r="E7" s="17">
        <f>IF(Master_Data!M7="","",Master_Data!M7 - WEEKDAY(Master_Data!M7,2) + 1)</f>
        <v>46041</v>
      </c>
      <c r="F7" s="17">
        <f>IF(Master_Data!N7="","",Master_Data!N7 - WEEKDAY(Master_Data!N7,2) + 1)</f>
        <v>46132</v>
      </c>
      <c r="G7" s="18">
        <f>EOMONTH(Master_Data!H7,-1)+1</f>
        <v>46023</v>
      </c>
      <c r="H7" s="18">
        <f>IF(Master_Data!J7="","",EOMONTH(Master_Data!J7,-1)+1)</f>
        <v>46113</v>
      </c>
      <c r="I7" s="18">
        <f>IF(Master_Data!M7="","",EOMONTH(Master_Data!M7,-1)+1)</f>
        <v>46023</v>
      </c>
      <c r="J7" s="18">
        <f>IF(Master_Data!N7="","",EOMONTH(Master_Data!N7,-1)+1)</f>
        <v>46113</v>
      </c>
    </row>
    <row r="8" spans="1:10">
      <c r="A8" s="2" t="str">
        <f>Master_Data!D8</f>
        <v>CV-192-STR-ABF-DRW-0006</v>
      </c>
      <c r="B8" s="2" t="str">
        <f>Master_Data!B8</f>
        <v>Structural</v>
      </c>
      <c r="C8" s="17">
        <f>IF(Master_Data!H8="","",Master_Data!H8 - WEEKDAY(Master_Data!H8,2) + 1)</f>
        <v>46034</v>
      </c>
      <c r="D8" s="17">
        <f>IF(Master_Data!J8="","",Master_Data!J8 - WEEKDAY(Master_Data!J8,2) + 1)</f>
        <v>46118</v>
      </c>
      <c r="E8" s="17">
        <f>IF(Master_Data!M8="","",Master_Data!M8 - WEEKDAY(Master_Data!M8,2) + 1)</f>
        <v>46041</v>
      </c>
      <c r="F8" s="17">
        <f>IF(Master_Data!N8="","",Master_Data!N8 - WEEKDAY(Master_Data!N8,2) + 1)</f>
        <v>46132</v>
      </c>
      <c r="G8" s="18">
        <f>EOMONTH(Master_Data!H8,-1)+1</f>
        <v>46023</v>
      </c>
      <c r="H8" s="18">
        <f>IF(Master_Data!J8="","",EOMONTH(Master_Data!J8,-1)+1)</f>
        <v>46113</v>
      </c>
      <c r="I8" s="18">
        <f>IF(Master_Data!M8="","",EOMONTH(Master_Data!M8,-1)+1)</f>
        <v>46023</v>
      </c>
      <c r="J8" s="18">
        <f>IF(Master_Data!N8="","",EOMONTH(Master_Data!N8,-1)+1)</f>
        <v>46113</v>
      </c>
    </row>
    <row r="9" spans="1:10">
      <c r="A9" s="2" t="str">
        <f>Master_Data!D9</f>
        <v>CV-192-STR-ABF-DRW-0007</v>
      </c>
      <c r="B9" s="2" t="str">
        <f>Master_Data!B9</f>
        <v>Structural</v>
      </c>
      <c r="C9" s="17">
        <f>IF(Master_Data!H9="","",Master_Data!H9 - WEEKDAY(Master_Data!H9,2) + 1)</f>
        <v>46041</v>
      </c>
      <c r="D9" s="17">
        <f>IF(Master_Data!J9="","",Master_Data!J9 - WEEKDAY(Master_Data!J9,2) + 1)</f>
        <v>46118</v>
      </c>
      <c r="E9" s="17">
        <f>IF(Master_Data!M9="","",Master_Data!M9 - WEEKDAY(Master_Data!M9,2) + 1)</f>
        <v>46041</v>
      </c>
      <c r="F9" s="17">
        <f>IF(Master_Data!N9="","",Master_Data!N9 - WEEKDAY(Master_Data!N9,2) + 1)</f>
        <v>46132</v>
      </c>
      <c r="G9" s="18">
        <f>EOMONTH(Master_Data!H9,-1)+1</f>
        <v>46023</v>
      </c>
      <c r="H9" s="18">
        <f>IF(Master_Data!J9="","",EOMONTH(Master_Data!J9,-1)+1)</f>
        <v>46113</v>
      </c>
      <c r="I9" s="18">
        <f>IF(Master_Data!M9="","",EOMONTH(Master_Data!M9,-1)+1)</f>
        <v>46023</v>
      </c>
      <c r="J9" s="18">
        <f>IF(Master_Data!N9="","",EOMONTH(Master_Data!N9,-1)+1)</f>
        <v>46113</v>
      </c>
    </row>
    <row r="10" spans="1:10">
      <c r="A10" s="2" t="str">
        <f>Master_Data!D10</f>
        <v>CV-192-STR-ABF-DRW-0008</v>
      </c>
      <c r="B10" s="2" t="str">
        <f>Master_Data!B10</f>
        <v>Structural</v>
      </c>
      <c r="C10" s="17">
        <f>IF(Master_Data!H10="","",Master_Data!H10 - WEEKDAY(Master_Data!H10,2) + 1)</f>
        <v>46041</v>
      </c>
      <c r="D10" s="17">
        <f>IF(Master_Data!J10="","",Master_Data!J10 - WEEKDAY(Master_Data!J10,2) + 1)</f>
        <v>46118</v>
      </c>
      <c r="E10" s="17">
        <f>IF(Master_Data!M10="","",Master_Data!M10 - WEEKDAY(Master_Data!M10,2) + 1)</f>
        <v>46048</v>
      </c>
      <c r="F10" s="17">
        <f>IF(Master_Data!N10="","",Master_Data!N10 - WEEKDAY(Master_Data!N10,2) + 1)</f>
        <v>46132</v>
      </c>
      <c r="G10" s="18">
        <f>EOMONTH(Master_Data!H10,-1)+1</f>
        <v>46023</v>
      </c>
      <c r="H10" s="18">
        <f>IF(Master_Data!J10="","",EOMONTH(Master_Data!J10,-1)+1)</f>
        <v>46113</v>
      </c>
      <c r="I10" s="18">
        <f>IF(Master_Data!M10="","",EOMONTH(Master_Data!M10,-1)+1)</f>
        <v>46023</v>
      </c>
      <c r="J10" s="18">
        <f>IF(Master_Data!N10="","",EOMONTH(Master_Data!N10,-1)+1)</f>
        <v>46113</v>
      </c>
    </row>
    <row r="11" spans="1:10">
      <c r="A11" s="2" t="str">
        <f>Master_Data!D11</f>
        <v>CV-192-STR-ABF-DRW-0009</v>
      </c>
      <c r="B11" s="2" t="str">
        <f>Master_Data!B11</f>
        <v>Structural</v>
      </c>
      <c r="C11" s="17">
        <f>IF(Master_Data!H11="","",Master_Data!H11 - WEEKDAY(Master_Data!H11,2) + 1)</f>
        <v>46048</v>
      </c>
      <c r="D11" s="17">
        <f>IF(Master_Data!J11="","",Master_Data!J11 - WEEKDAY(Master_Data!J11,2) + 1)</f>
        <v>46118</v>
      </c>
      <c r="E11" s="17">
        <f>IF(Master_Data!M11="","",Master_Data!M11 - WEEKDAY(Master_Data!M11,2) + 1)</f>
        <v>46048</v>
      </c>
      <c r="F11" s="17">
        <f>IF(Master_Data!N11="","",Master_Data!N11 - WEEKDAY(Master_Data!N11,2) + 1)</f>
        <v>46132</v>
      </c>
      <c r="G11" s="18">
        <f>EOMONTH(Master_Data!H11,-1)+1</f>
        <v>46023</v>
      </c>
      <c r="H11" s="18">
        <f>IF(Master_Data!J11="","",EOMONTH(Master_Data!J11,-1)+1)</f>
        <v>46113</v>
      </c>
      <c r="I11" s="18">
        <f>IF(Master_Data!M11="","",EOMONTH(Master_Data!M11,-1)+1)</f>
        <v>46023</v>
      </c>
      <c r="J11" s="18">
        <f>IF(Master_Data!N11="","",EOMONTH(Master_Data!N11,-1)+1)</f>
        <v>46113</v>
      </c>
    </row>
    <row r="12" spans="1:10">
      <c r="A12" s="2" t="str">
        <f>Master_Data!D12</f>
        <v>CV-192-STR-ABF-DRW-0010</v>
      </c>
      <c r="B12" s="2" t="str">
        <f>Master_Data!B12</f>
        <v>Structural</v>
      </c>
      <c r="C12" s="17">
        <f>IF(Master_Data!H12="","",Master_Data!H12 - WEEKDAY(Master_Data!H12,2) + 1)</f>
        <v>46048</v>
      </c>
      <c r="D12" s="17">
        <f>IF(Master_Data!J12="","",Master_Data!J12 - WEEKDAY(Master_Data!J12,2) + 1)</f>
        <v>46118</v>
      </c>
      <c r="E12" s="17">
        <f>IF(Master_Data!M12="","",Master_Data!M12 - WEEKDAY(Master_Data!M12,2) + 1)</f>
        <v>46055</v>
      </c>
      <c r="F12" s="17">
        <f>IF(Master_Data!N12="","",Master_Data!N12 - WEEKDAY(Master_Data!N12,2) + 1)</f>
        <v>46132</v>
      </c>
      <c r="G12" s="18">
        <f>EOMONTH(Master_Data!H12,-1)+1</f>
        <v>46023</v>
      </c>
      <c r="H12" s="18">
        <f>IF(Master_Data!J12="","",EOMONTH(Master_Data!J12,-1)+1)</f>
        <v>46113</v>
      </c>
      <c r="I12" s="18">
        <f>IF(Master_Data!M12="","",EOMONTH(Master_Data!M12,-1)+1)</f>
        <v>46054</v>
      </c>
      <c r="J12" s="18">
        <f>IF(Master_Data!N12="","",EOMONTH(Master_Data!N12,-1)+1)</f>
        <v>46113</v>
      </c>
    </row>
    <row r="13" spans="1:10">
      <c r="A13" s="2" t="str">
        <f>Master_Data!D13</f>
        <v>CV-192-STR-ABF-DRW-0011</v>
      </c>
      <c r="B13" s="2" t="str">
        <f>Master_Data!B13</f>
        <v>Structural</v>
      </c>
      <c r="C13" s="17">
        <f>IF(Master_Data!H13="","",Master_Data!H13 - WEEKDAY(Master_Data!H13,2) + 1)</f>
        <v>46055</v>
      </c>
      <c r="D13" s="17">
        <f>IF(Master_Data!J13="","",Master_Data!J13 - WEEKDAY(Master_Data!J13,2) + 1)</f>
        <v>46118</v>
      </c>
      <c r="E13" s="17">
        <f>IF(Master_Data!M13="","",Master_Data!M13 - WEEKDAY(Master_Data!M13,2) + 1)</f>
        <v>46055</v>
      </c>
      <c r="F13" s="17">
        <f>IF(Master_Data!N13="","",Master_Data!N13 - WEEKDAY(Master_Data!N13,2) + 1)</f>
        <v>46132</v>
      </c>
      <c r="G13" s="18">
        <f>EOMONTH(Master_Data!H13,-1)+1</f>
        <v>46054</v>
      </c>
      <c r="H13" s="18">
        <f>IF(Master_Data!J13="","",EOMONTH(Master_Data!J13,-1)+1)</f>
        <v>46113</v>
      </c>
      <c r="I13" s="18">
        <f>IF(Master_Data!M13="","",EOMONTH(Master_Data!M13,-1)+1)</f>
        <v>46054</v>
      </c>
      <c r="J13" s="18">
        <f>IF(Master_Data!N13="","",EOMONTH(Master_Data!N13,-1)+1)</f>
        <v>46113</v>
      </c>
    </row>
    <row r="14" spans="1:10">
      <c r="A14" s="2" t="str">
        <f>Master_Data!D14</f>
        <v>CV-192-STR-ABF-DRW-0012</v>
      </c>
      <c r="B14" s="2" t="str">
        <f>Master_Data!B14</f>
        <v>Structural</v>
      </c>
      <c r="C14" s="17">
        <f>IF(Master_Data!H14="","",Master_Data!H14 - WEEKDAY(Master_Data!H14,2) + 1)</f>
        <v>46055</v>
      </c>
      <c r="D14" s="17">
        <f>IF(Master_Data!J14="","",Master_Data!J14 - WEEKDAY(Master_Data!J14,2) + 1)</f>
        <v>46118</v>
      </c>
      <c r="E14" s="17">
        <f>IF(Master_Data!M14="","",Master_Data!M14 - WEEKDAY(Master_Data!M14,2) + 1)</f>
        <v>46062</v>
      </c>
      <c r="F14" s="17">
        <f>IF(Master_Data!N14="","",Master_Data!N14 - WEEKDAY(Master_Data!N14,2) + 1)</f>
        <v>46132</v>
      </c>
      <c r="G14" s="18">
        <f>EOMONTH(Master_Data!H14,-1)+1</f>
        <v>46054</v>
      </c>
      <c r="H14" s="18">
        <f>IF(Master_Data!J14="","",EOMONTH(Master_Data!J14,-1)+1)</f>
        <v>46113</v>
      </c>
      <c r="I14" s="18">
        <f>IF(Master_Data!M14="","",EOMONTH(Master_Data!M14,-1)+1)</f>
        <v>46054</v>
      </c>
      <c r="J14" s="18">
        <f>IF(Master_Data!N14="","",EOMONTH(Master_Data!N14,-1)+1)</f>
        <v>46113</v>
      </c>
    </row>
    <row r="15" spans="1:10">
      <c r="A15" s="2" t="str">
        <f>Master_Data!D15</f>
        <v>CV-192-STR-ABF-DRW-0013</v>
      </c>
      <c r="B15" s="2" t="str">
        <f>Master_Data!B15</f>
        <v>Structural</v>
      </c>
      <c r="C15" s="17">
        <f>IF(Master_Data!H15="","",Master_Data!H15 - WEEKDAY(Master_Data!H15,2) + 1)</f>
        <v>46055</v>
      </c>
      <c r="D15" s="17">
        <f>IF(Master_Data!J15="","",Master_Data!J15 - WEEKDAY(Master_Data!J15,2) + 1)</f>
        <v>46118</v>
      </c>
      <c r="E15" s="17">
        <f>IF(Master_Data!M15="","",Master_Data!M15 - WEEKDAY(Master_Data!M15,2) + 1)</f>
        <v>46062</v>
      </c>
      <c r="F15" s="17">
        <f>IF(Master_Data!N15="","",Master_Data!N15 - WEEKDAY(Master_Data!N15,2) + 1)</f>
        <v>46132</v>
      </c>
      <c r="G15" s="18">
        <f>EOMONTH(Master_Data!H15,-1)+1</f>
        <v>46054</v>
      </c>
      <c r="H15" s="18">
        <f>IF(Master_Data!J15="","",EOMONTH(Master_Data!J15,-1)+1)</f>
        <v>46113</v>
      </c>
      <c r="I15" s="18">
        <f>IF(Master_Data!M15="","",EOMONTH(Master_Data!M15,-1)+1)</f>
        <v>46054</v>
      </c>
      <c r="J15" s="18">
        <f>IF(Master_Data!N15="","",EOMONTH(Master_Data!N15,-1)+1)</f>
        <v>46113</v>
      </c>
    </row>
    <row r="16" spans="1:10">
      <c r="A16" s="2" t="str">
        <f>Master_Data!D16</f>
        <v>CV-192-STR-ABF-DRW-0014</v>
      </c>
      <c r="B16" s="2" t="str">
        <f>Master_Data!B16</f>
        <v>Structural</v>
      </c>
      <c r="C16" s="17">
        <f>IF(Master_Data!H16="","",Master_Data!H16 - WEEKDAY(Master_Data!H16,2) + 1)</f>
        <v>46062</v>
      </c>
      <c r="D16" s="17">
        <f>IF(Master_Data!J16="","",Master_Data!J16 - WEEKDAY(Master_Data!J16,2) + 1)</f>
        <v>46118</v>
      </c>
      <c r="E16" s="17">
        <f>IF(Master_Data!M16="","",Master_Data!M16 - WEEKDAY(Master_Data!M16,2) + 1)</f>
        <v>46062</v>
      </c>
      <c r="F16" s="17">
        <f>IF(Master_Data!N16="","",Master_Data!N16 - WEEKDAY(Master_Data!N16,2) + 1)</f>
        <v>46132</v>
      </c>
      <c r="G16" s="18">
        <f>EOMONTH(Master_Data!H16,-1)+1</f>
        <v>46054</v>
      </c>
      <c r="H16" s="18">
        <f>IF(Master_Data!J16="","",EOMONTH(Master_Data!J16,-1)+1)</f>
        <v>46113</v>
      </c>
      <c r="I16" s="18">
        <f>IF(Master_Data!M16="","",EOMONTH(Master_Data!M16,-1)+1)</f>
        <v>46054</v>
      </c>
      <c r="J16" s="18">
        <f>IF(Master_Data!N16="","",EOMONTH(Master_Data!N16,-1)+1)</f>
        <v>46113</v>
      </c>
    </row>
    <row r="17" spans="1:10">
      <c r="A17" s="2" t="str">
        <f>Master_Data!D17</f>
        <v>CV-192-STR-ABF-DRW-0015</v>
      </c>
      <c r="B17" s="2" t="str">
        <f>Master_Data!B17</f>
        <v>Structural</v>
      </c>
      <c r="C17" s="17">
        <f>IF(Master_Data!H17="","",Master_Data!H17 - WEEKDAY(Master_Data!H17,2) + 1)</f>
        <v>46062</v>
      </c>
      <c r="D17" s="17">
        <f>IF(Master_Data!J17="","",Master_Data!J17 - WEEKDAY(Master_Data!J17,2) + 1)</f>
        <v>46118</v>
      </c>
      <c r="E17" s="17">
        <f>IF(Master_Data!M17="","",Master_Data!M17 - WEEKDAY(Master_Data!M17,2) + 1)</f>
        <v>46069</v>
      </c>
      <c r="F17" s="17">
        <f>IF(Master_Data!N17="","",Master_Data!N17 - WEEKDAY(Master_Data!N17,2) + 1)</f>
        <v>46132</v>
      </c>
      <c r="G17" s="18">
        <f>EOMONTH(Master_Data!H17,-1)+1</f>
        <v>46054</v>
      </c>
      <c r="H17" s="18">
        <f>IF(Master_Data!J17="","",EOMONTH(Master_Data!J17,-1)+1)</f>
        <v>46113</v>
      </c>
      <c r="I17" s="18">
        <f>IF(Master_Data!M17="","",EOMONTH(Master_Data!M17,-1)+1)</f>
        <v>46054</v>
      </c>
      <c r="J17" s="18">
        <f>IF(Master_Data!N17="","",EOMONTH(Master_Data!N17,-1)+1)</f>
        <v>46113</v>
      </c>
    </row>
    <row r="18" spans="1:10">
      <c r="A18" s="2" t="str">
        <f>Master_Data!D18</f>
        <v>CV-192-ARC-ABF-DRW-0001</v>
      </c>
      <c r="B18" s="2" t="str">
        <f>Master_Data!B18</f>
        <v>Architecture</v>
      </c>
      <c r="C18" s="17">
        <f>IF(Master_Data!H18="","",Master_Data!H18 - WEEKDAY(Master_Data!H18,2) + 1)</f>
        <v>46041</v>
      </c>
      <c r="D18" s="17">
        <f>IF(Master_Data!J18="","",Master_Data!J18 - WEEKDAY(Master_Data!J18,2) + 1)</f>
        <v>46181</v>
      </c>
      <c r="E18" s="17">
        <f>IF(Master_Data!M18="","",Master_Data!M18 - WEEKDAY(Master_Data!M18,2) + 1)</f>
        <v>46048</v>
      </c>
      <c r="F18" s="17">
        <f>IF(Master_Data!N18="","",Master_Data!N18 - WEEKDAY(Master_Data!N18,2) + 1)</f>
        <v>46146</v>
      </c>
      <c r="G18" s="18">
        <f>EOMONTH(Master_Data!H18,-1)+1</f>
        <v>46023</v>
      </c>
      <c r="H18" s="18">
        <f>IF(Master_Data!J18="","",EOMONTH(Master_Data!J18,-1)+1)</f>
        <v>46174</v>
      </c>
      <c r="I18" s="18">
        <f>IF(Master_Data!M18="","",EOMONTH(Master_Data!M18,-1)+1)</f>
        <v>46023</v>
      </c>
      <c r="J18" s="18">
        <f>IF(Master_Data!N18="","",EOMONTH(Master_Data!N18,-1)+1)</f>
        <v>46143</v>
      </c>
    </row>
    <row r="19" spans="1:10">
      <c r="A19" s="2" t="str">
        <f>Master_Data!D19</f>
        <v>CV-192-ARC-ABF-DRW-0002</v>
      </c>
      <c r="B19" s="2" t="str">
        <f>Master_Data!B19</f>
        <v>Architecture</v>
      </c>
      <c r="C19" s="17">
        <f>IF(Master_Data!H19="","",Master_Data!H19 - WEEKDAY(Master_Data!H19,2) + 1)</f>
        <v>46048</v>
      </c>
      <c r="D19" s="17">
        <f>IF(Master_Data!J19="","",Master_Data!J19 - WEEKDAY(Master_Data!J19,2) + 1)</f>
        <v>46181</v>
      </c>
      <c r="E19" s="17">
        <f>IF(Master_Data!M19="","",Master_Data!M19 - WEEKDAY(Master_Data!M19,2) + 1)</f>
        <v>46048</v>
      </c>
      <c r="F19" s="17">
        <f>IF(Master_Data!N19="","",Master_Data!N19 - WEEKDAY(Master_Data!N19,2) + 1)</f>
        <v>46146</v>
      </c>
      <c r="G19" s="18">
        <f>EOMONTH(Master_Data!H19,-1)+1</f>
        <v>46023</v>
      </c>
      <c r="H19" s="18">
        <f>IF(Master_Data!J19="","",EOMONTH(Master_Data!J19,-1)+1)</f>
        <v>46174</v>
      </c>
      <c r="I19" s="18">
        <f>IF(Master_Data!M19="","",EOMONTH(Master_Data!M19,-1)+1)</f>
        <v>46023</v>
      </c>
      <c r="J19" s="18">
        <f>IF(Master_Data!N19="","",EOMONTH(Master_Data!N19,-1)+1)</f>
        <v>46143</v>
      </c>
    </row>
    <row r="20" spans="1:10">
      <c r="A20" s="2" t="str">
        <f>Master_Data!D20</f>
        <v>CV-192-ARC-ABF-DRW-0003</v>
      </c>
      <c r="B20" s="2" t="str">
        <f>Master_Data!B20</f>
        <v>Architecture</v>
      </c>
      <c r="C20" s="17">
        <f>IF(Master_Data!H20="","",Master_Data!H20 - WEEKDAY(Master_Data!H20,2) + 1)</f>
        <v>46048</v>
      </c>
      <c r="D20" s="17">
        <f>IF(Master_Data!J20="","",Master_Data!J20 - WEEKDAY(Master_Data!J20,2) + 1)</f>
        <v>46181</v>
      </c>
      <c r="E20" s="17">
        <f>IF(Master_Data!M20="","",Master_Data!M20 - WEEKDAY(Master_Data!M20,2) + 1)</f>
        <v>46055</v>
      </c>
      <c r="F20" s="17">
        <f>IF(Master_Data!N20="","",Master_Data!N20 - WEEKDAY(Master_Data!N20,2) + 1)</f>
        <v>46146</v>
      </c>
      <c r="G20" s="18">
        <f>EOMONTH(Master_Data!H20,-1)+1</f>
        <v>46023</v>
      </c>
      <c r="H20" s="18">
        <f>IF(Master_Data!J20="","",EOMONTH(Master_Data!J20,-1)+1)</f>
        <v>46174</v>
      </c>
      <c r="I20" s="18">
        <f>IF(Master_Data!M20="","",EOMONTH(Master_Data!M20,-1)+1)</f>
        <v>46054</v>
      </c>
      <c r="J20" s="18">
        <f>IF(Master_Data!N20="","",EOMONTH(Master_Data!N20,-1)+1)</f>
        <v>46143</v>
      </c>
    </row>
    <row r="21" spans="1:10">
      <c r="A21" s="2" t="str">
        <f>Master_Data!D21</f>
        <v>CV-192-ARC-ABF-DRW-0004</v>
      </c>
      <c r="B21" s="2" t="str">
        <f>Master_Data!B21</f>
        <v>Architecture</v>
      </c>
      <c r="C21" s="17">
        <f>IF(Master_Data!H21="","",Master_Data!H21 - WEEKDAY(Master_Data!H21,2) + 1)</f>
        <v>46048</v>
      </c>
      <c r="D21" s="17">
        <f>IF(Master_Data!J21="","",Master_Data!J21 - WEEKDAY(Master_Data!J21,2) + 1)</f>
        <v>46181</v>
      </c>
      <c r="E21" s="17">
        <f>IF(Master_Data!M21="","",Master_Data!M21 - WEEKDAY(Master_Data!M21,2) + 1)</f>
        <v>46055</v>
      </c>
      <c r="F21" s="17">
        <f>IF(Master_Data!N21="","",Master_Data!N21 - WEEKDAY(Master_Data!N21,2) + 1)</f>
        <v>46146</v>
      </c>
      <c r="G21" s="18">
        <f>EOMONTH(Master_Data!H21,-1)+1</f>
        <v>46023</v>
      </c>
      <c r="H21" s="18">
        <f>IF(Master_Data!J21="","",EOMONTH(Master_Data!J21,-1)+1)</f>
        <v>46174</v>
      </c>
      <c r="I21" s="18">
        <f>IF(Master_Data!M21="","",EOMONTH(Master_Data!M21,-1)+1)</f>
        <v>46054</v>
      </c>
      <c r="J21" s="18">
        <f>IF(Master_Data!N21="","",EOMONTH(Master_Data!N21,-1)+1)</f>
        <v>46143</v>
      </c>
    </row>
    <row r="22" spans="1:10">
      <c r="A22" s="2"/>
      <c r="B22" s="2"/>
      <c r="C22" s="17"/>
      <c r="D22" s="17"/>
      <c r="E22" s="17"/>
      <c r="F22" s="17"/>
      <c r="G22" s="18"/>
      <c r="H22" s="18"/>
      <c r="I22" s="18"/>
      <c r="J22" s="18"/>
    </row>
    <row r="23" spans="1:10">
      <c r="A23" s="2"/>
      <c r="B23" s="2"/>
      <c r="C23" s="17"/>
      <c r="D23" s="17"/>
      <c r="E23" s="17"/>
      <c r="F23" s="17"/>
      <c r="G23" s="18"/>
      <c r="H23" s="18"/>
      <c r="I23" s="18"/>
      <c r="J23" s="18"/>
    </row>
    <row r="24" spans="1:10">
      <c r="A24" s="2"/>
      <c r="B24" s="2"/>
      <c r="C24" s="17"/>
      <c r="D24" s="17"/>
      <c r="E24" s="17"/>
      <c r="F24" s="17"/>
      <c r="G24" s="18"/>
      <c r="H24" s="18"/>
      <c r="I24" s="18"/>
      <c r="J24" s="18"/>
    </row>
    <row r="25" spans="1:10">
      <c r="A25" s="2"/>
      <c r="B25" s="2"/>
      <c r="C25" s="17"/>
      <c r="D25" s="17"/>
      <c r="E25" s="17"/>
      <c r="F25" s="17"/>
      <c r="G25" s="18"/>
      <c r="H25" s="18"/>
      <c r="I25" s="18"/>
      <c r="J25" s="18"/>
    </row>
    <row r="26" spans="1:10">
      <c r="A26" s="2"/>
      <c r="B26" s="2"/>
      <c r="C26" s="17"/>
      <c r="D26" s="17"/>
      <c r="E26" s="17"/>
      <c r="F26" s="17"/>
      <c r="G26" s="18"/>
      <c r="H26" s="18"/>
      <c r="I26" s="18"/>
      <c r="J26" s="18"/>
    </row>
    <row r="27" spans="1:10">
      <c r="A27" s="2"/>
      <c r="B27" s="2"/>
      <c r="C27" s="17"/>
      <c r="D27" s="17"/>
      <c r="E27" s="17"/>
      <c r="F27" s="17"/>
      <c r="G27" s="18"/>
      <c r="H27" s="18"/>
      <c r="I27" s="18"/>
      <c r="J27" s="18"/>
    </row>
    <row r="28" spans="1:10">
      <c r="A28" s="2"/>
      <c r="B28" s="2"/>
      <c r="C28" s="17"/>
      <c r="D28" s="17"/>
      <c r="E28" s="17"/>
      <c r="F28" s="17"/>
      <c r="G28" s="18"/>
      <c r="H28" s="18"/>
      <c r="I28" s="18"/>
      <c r="J28" s="18"/>
    </row>
    <row r="29" spans="1:10">
      <c r="A29" s="2"/>
      <c r="B29" s="2"/>
      <c r="C29" s="17"/>
      <c r="D29" s="17"/>
      <c r="E29" s="17"/>
      <c r="F29" s="17"/>
      <c r="G29" s="18"/>
      <c r="H29" s="18"/>
      <c r="I29" s="18"/>
      <c r="J29" s="18"/>
    </row>
    <row r="30" spans="1:10">
      <c r="A30" s="2"/>
      <c r="B30" s="2"/>
      <c r="C30" s="17"/>
      <c r="D30" s="17"/>
      <c r="E30" s="17"/>
      <c r="F30" s="17"/>
      <c r="G30" s="18"/>
      <c r="H30" s="18"/>
      <c r="I30" s="18"/>
      <c r="J30" s="18"/>
    </row>
    <row r="31" spans="1:10">
      <c r="A31" s="2"/>
      <c r="B31" s="2"/>
      <c r="C31" s="17"/>
      <c r="D31" s="17"/>
      <c r="E31" s="17"/>
      <c r="F31" s="17"/>
      <c r="G31" s="18"/>
      <c r="H31" s="18"/>
      <c r="I31" s="18"/>
      <c r="J31" s="18"/>
    </row>
    <row r="32" spans="1:10">
      <c r="A32" s="2"/>
      <c r="B32" s="2"/>
      <c r="C32" s="17"/>
      <c r="D32" s="17"/>
      <c r="E32" s="17"/>
      <c r="F32" s="17"/>
      <c r="G32" s="18"/>
      <c r="H32" s="18"/>
      <c r="I32" s="18"/>
      <c r="J32" s="18"/>
    </row>
    <row r="33" spans="1:10">
      <c r="A33" s="2"/>
      <c r="B33" s="2"/>
      <c r="C33" s="17"/>
      <c r="D33" s="17"/>
      <c r="E33" s="17"/>
      <c r="F33" s="17"/>
      <c r="G33" s="18"/>
      <c r="H33" s="18"/>
      <c r="I33" s="18"/>
      <c r="J33" s="18"/>
    </row>
    <row r="34" spans="1:10">
      <c r="A34" s="2"/>
      <c r="B34" s="2"/>
      <c r="C34" s="17"/>
      <c r="D34" s="17"/>
      <c r="E34" s="17"/>
      <c r="F34" s="17"/>
      <c r="G34" s="18"/>
      <c r="H34" s="18"/>
      <c r="I34" s="18"/>
      <c r="J34" s="18"/>
    </row>
    <row r="35" spans="1:10">
      <c r="A35" s="2"/>
      <c r="B35" s="2"/>
      <c r="C35" s="17"/>
      <c r="D35" s="17"/>
      <c r="E35" s="17"/>
      <c r="F35" s="17"/>
      <c r="G35" s="18"/>
      <c r="H35" s="18"/>
      <c r="I35" s="18"/>
      <c r="J35" s="18"/>
    </row>
    <row r="36" spans="1:10">
      <c r="A36" s="2"/>
      <c r="B36" s="2"/>
      <c r="C36" s="17"/>
      <c r="D36" s="17"/>
      <c r="E36" s="17"/>
      <c r="F36" s="17"/>
      <c r="G36" s="18"/>
      <c r="H36" s="18"/>
      <c r="I36" s="18"/>
      <c r="J36" s="18"/>
    </row>
    <row r="37" spans="1:10">
      <c r="A37" s="2"/>
      <c r="B37" s="2"/>
      <c r="C37" s="17"/>
      <c r="D37" s="17"/>
      <c r="E37" s="17"/>
      <c r="F37" s="17"/>
      <c r="G37" s="18"/>
      <c r="H37" s="18"/>
      <c r="I37" s="18"/>
      <c r="J37" s="18"/>
    </row>
    <row r="38" spans="1:10">
      <c r="A38" s="2"/>
      <c r="B38" s="2"/>
      <c r="C38" s="17"/>
      <c r="D38" s="17"/>
      <c r="E38" s="17"/>
      <c r="F38" s="17"/>
      <c r="G38" s="18"/>
      <c r="H38" s="18"/>
      <c r="I38" s="18"/>
      <c r="J38" s="18"/>
    </row>
    <row r="39" spans="1:10">
      <c r="A39" s="2"/>
      <c r="B39" s="2"/>
      <c r="C39" s="17"/>
      <c r="D39" s="17"/>
      <c r="E39" s="17"/>
      <c r="F39" s="17"/>
      <c r="G39" s="18"/>
      <c r="H39" s="18"/>
      <c r="I39" s="18"/>
      <c r="J39" s="18"/>
    </row>
    <row r="40" spans="1:10">
      <c r="A40" s="2"/>
      <c r="B40" s="2"/>
      <c r="C40" s="17"/>
      <c r="D40" s="17"/>
      <c r="E40" s="17"/>
      <c r="F40" s="17"/>
      <c r="G40" s="18"/>
      <c r="H40" s="18"/>
      <c r="I40" s="18"/>
      <c r="J40" s="18"/>
    </row>
    <row r="41" spans="1:10">
      <c r="A41" s="2"/>
      <c r="B41" s="2"/>
      <c r="C41" s="17"/>
      <c r="D41" s="17"/>
      <c r="E41" s="17"/>
      <c r="F41" s="17"/>
      <c r="G41" s="18"/>
      <c r="H41" s="18"/>
      <c r="I41" s="18"/>
      <c r="J41" s="18"/>
    </row>
    <row r="42" spans="1:10">
      <c r="A42" s="2"/>
      <c r="B42" s="2"/>
      <c r="C42" s="17"/>
      <c r="D42" s="17"/>
      <c r="E42" s="17"/>
      <c r="F42" s="17"/>
      <c r="G42" s="18"/>
      <c r="H42" s="18"/>
      <c r="I42" s="18"/>
      <c r="J42" s="18"/>
    </row>
    <row r="43" spans="1:10">
      <c r="A43" s="2"/>
      <c r="B43" s="2"/>
      <c r="C43" s="17"/>
      <c r="D43" s="17"/>
      <c r="E43" s="17"/>
      <c r="F43" s="17"/>
      <c r="G43" s="18"/>
      <c r="H43" s="18"/>
      <c r="I43" s="18"/>
      <c r="J43" s="18"/>
    </row>
    <row r="44" spans="1:10">
      <c r="A44" s="2"/>
      <c r="B44" s="2"/>
      <c r="C44" s="17"/>
      <c r="D44" s="17"/>
      <c r="E44" s="17"/>
      <c r="F44" s="17"/>
      <c r="G44" s="18"/>
      <c r="H44" s="18"/>
      <c r="I44" s="18"/>
      <c r="J44" s="18"/>
    </row>
    <row r="45" spans="1:10">
      <c r="A45" s="2"/>
      <c r="B45" s="2"/>
      <c r="C45" s="17"/>
      <c r="D45" s="17"/>
      <c r="E45" s="17"/>
      <c r="F45" s="17"/>
      <c r="G45" s="18"/>
      <c r="H45" s="18"/>
      <c r="I45" s="18"/>
      <c r="J45" s="18"/>
    </row>
    <row r="46" spans="1:10">
      <c r="A46" s="2"/>
      <c r="B46" s="2"/>
      <c r="C46" s="17"/>
      <c r="D46" s="17"/>
      <c r="E46" s="17"/>
      <c r="F46" s="17"/>
      <c r="G46" s="18"/>
      <c r="H46" s="18"/>
      <c r="I46" s="18"/>
      <c r="J46" s="18"/>
    </row>
    <row r="47" spans="1:10">
      <c r="A47" s="2"/>
      <c r="B47" s="2"/>
      <c r="C47" s="17"/>
      <c r="D47" s="17"/>
      <c r="E47" s="17"/>
      <c r="F47" s="17"/>
      <c r="G47" s="18"/>
      <c r="H47" s="18"/>
      <c r="I47" s="18"/>
      <c r="J47" s="18"/>
    </row>
    <row r="48" spans="1:10">
      <c r="A48" s="2"/>
      <c r="B48" s="2"/>
      <c r="C48" s="17"/>
      <c r="D48" s="17"/>
      <c r="E48" s="17"/>
      <c r="F48" s="17"/>
      <c r="G48" s="18"/>
      <c r="H48" s="18"/>
      <c r="I48" s="18"/>
      <c r="J48" s="18"/>
    </row>
    <row r="49" spans="1:10">
      <c r="A49" s="2"/>
      <c r="B49" s="2"/>
      <c r="C49" s="17"/>
      <c r="D49" s="17"/>
      <c r="E49" s="17"/>
      <c r="F49" s="17"/>
      <c r="G49" s="18"/>
      <c r="H49" s="18"/>
      <c r="I49" s="18"/>
      <c r="J49" s="18"/>
    </row>
    <row r="50" spans="1:10">
      <c r="A50" s="2"/>
      <c r="B50" s="2"/>
      <c r="C50" s="17"/>
      <c r="D50" s="17"/>
      <c r="E50" s="17"/>
      <c r="F50" s="17"/>
      <c r="G50" s="18"/>
      <c r="H50" s="18"/>
      <c r="I50" s="18"/>
      <c r="J50" s="18"/>
    </row>
    <row r="51" spans="1:10">
      <c r="A51" s="2"/>
      <c r="B51" s="2"/>
      <c r="C51" s="17"/>
      <c r="D51" s="17"/>
      <c r="E51" s="17"/>
      <c r="F51" s="17"/>
      <c r="G51" s="18"/>
      <c r="H51" s="18"/>
      <c r="I51" s="18"/>
      <c r="J51" s="18"/>
    </row>
    <row r="52" spans="1:10">
      <c r="A52" s="2"/>
      <c r="B52" s="2"/>
      <c r="C52" s="17"/>
      <c r="D52" s="17"/>
      <c r="E52" s="17"/>
      <c r="F52" s="17"/>
      <c r="G52" s="18"/>
      <c r="H52" s="18"/>
      <c r="I52" s="18"/>
      <c r="J52" s="18"/>
    </row>
    <row r="53" spans="1:10">
      <c r="A53" s="2"/>
      <c r="B53" s="2"/>
      <c r="C53" s="17"/>
      <c r="D53" s="17"/>
      <c r="E53" s="17"/>
      <c r="F53" s="17"/>
      <c r="G53" s="18"/>
      <c r="H53" s="18"/>
      <c r="I53" s="18"/>
      <c r="J53" s="18"/>
    </row>
    <row r="54" spans="1:10">
      <c r="A54" s="2"/>
      <c r="B54" s="2"/>
      <c r="C54" s="17"/>
      <c r="D54" s="17"/>
      <c r="E54" s="17"/>
      <c r="F54" s="17"/>
      <c r="G54" s="18"/>
      <c r="H54" s="18"/>
      <c r="I54" s="18"/>
      <c r="J54" s="18"/>
    </row>
    <row r="55" spans="1:10">
      <c r="A55" s="2"/>
      <c r="B55" s="2"/>
      <c r="C55" s="17"/>
      <c r="D55" s="17"/>
      <c r="E55" s="17"/>
      <c r="F55" s="17"/>
      <c r="G55" s="18"/>
      <c r="H55" s="18"/>
      <c r="I55" s="18"/>
      <c r="J55" s="18"/>
    </row>
    <row r="56" spans="1:10">
      <c r="A56" s="2"/>
      <c r="B56" s="2"/>
      <c r="C56" s="17"/>
      <c r="D56" s="17"/>
      <c r="E56" s="17"/>
      <c r="F56" s="17"/>
      <c r="G56" s="18"/>
      <c r="H56" s="18"/>
      <c r="I56" s="18"/>
      <c r="J56" s="18"/>
    </row>
    <row r="57" spans="1:10">
      <c r="A57" s="2"/>
      <c r="B57" s="2"/>
      <c r="C57" s="17"/>
      <c r="D57" s="17"/>
      <c r="E57" s="17"/>
      <c r="F57" s="17"/>
      <c r="G57" s="18"/>
      <c r="H57" s="18"/>
      <c r="I57" s="18"/>
      <c r="J57" s="18"/>
    </row>
    <row r="58" spans="1:10">
      <c r="A58" s="2"/>
      <c r="B58" s="2"/>
      <c r="C58" s="17"/>
      <c r="D58" s="17"/>
      <c r="E58" s="17"/>
      <c r="F58" s="17"/>
      <c r="G58" s="18"/>
      <c r="H58" s="18"/>
      <c r="I58" s="18"/>
      <c r="J58" s="18"/>
    </row>
    <row r="59" spans="1:10">
      <c r="A59" s="2"/>
      <c r="B59" s="2"/>
      <c r="C59" s="17"/>
      <c r="D59" s="17"/>
      <c r="E59" s="17"/>
      <c r="F59" s="17"/>
      <c r="G59" s="18"/>
      <c r="H59" s="18"/>
      <c r="I59" s="18"/>
      <c r="J59" s="18"/>
    </row>
    <row r="60" spans="1:10">
      <c r="A60" s="2"/>
      <c r="B60" s="2"/>
      <c r="C60" s="17"/>
      <c r="D60" s="17"/>
      <c r="E60" s="17"/>
      <c r="F60" s="17"/>
      <c r="G60" s="18"/>
      <c r="H60" s="18"/>
      <c r="I60" s="18"/>
      <c r="J60" s="18"/>
    </row>
    <row r="61" spans="1:10">
      <c r="A61" s="2"/>
      <c r="B61" s="2"/>
      <c r="C61" s="17"/>
      <c r="D61" s="17"/>
      <c r="E61" s="17"/>
      <c r="F61" s="17"/>
      <c r="G61" s="18"/>
      <c r="H61" s="18"/>
      <c r="I61" s="18"/>
      <c r="J61" s="18"/>
    </row>
    <row r="62" spans="1:10">
      <c r="A62" s="2"/>
      <c r="B62" s="2"/>
      <c r="C62" s="17"/>
      <c r="D62" s="17"/>
      <c r="E62" s="17"/>
      <c r="F62" s="17"/>
      <c r="G62" s="18"/>
      <c r="H62" s="18"/>
      <c r="I62" s="18"/>
      <c r="J62" s="18"/>
    </row>
    <row r="63" spans="1:10">
      <c r="A63" s="2"/>
      <c r="B63" s="2"/>
      <c r="C63" s="17"/>
      <c r="D63" s="17"/>
      <c r="E63" s="17"/>
      <c r="F63" s="17"/>
      <c r="G63" s="18"/>
      <c r="H63" s="18"/>
      <c r="I63" s="18"/>
      <c r="J63" s="18"/>
    </row>
    <row r="64" spans="1:10">
      <c r="A64" s="2"/>
      <c r="B64" s="2"/>
      <c r="C64" s="17"/>
      <c r="D64" s="17"/>
      <c r="E64" s="17"/>
      <c r="F64" s="17"/>
      <c r="G64" s="18"/>
      <c r="H64" s="18"/>
      <c r="I64" s="18"/>
      <c r="J64" s="18"/>
    </row>
    <row r="65" spans="1:10">
      <c r="A65" s="2"/>
      <c r="B65" s="2"/>
      <c r="C65" s="17"/>
      <c r="D65" s="17"/>
      <c r="E65" s="17"/>
      <c r="F65" s="17"/>
      <c r="G65" s="18"/>
      <c r="H65" s="18"/>
      <c r="I65" s="18"/>
      <c r="J65" s="18"/>
    </row>
    <row r="66" spans="1:10">
      <c r="A66" s="2"/>
      <c r="B66" s="2"/>
      <c r="C66" s="17"/>
      <c r="D66" s="17"/>
      <c r="E66" s="17"/>
      <c r="F66" s="17"/>
      <c r="G66" s="18"/>
      <c r="H66" s="18"/>
      <c r="I66" s="18"/>
      <c r="J66" s="18"/>
    </row>
    <row r="67" spans="1:10">
      <c r="A67" s="2"/>
      <c r="B67" s="2"/>
      <c r="C67" s="17"/>
      <c r="D67" s="17"/>
      <c r="E67" s="17"/>
      <c r="F67" s="17"/>
      <c r="G67" s="18"/>
      <c r="H67" s="18"/>
      <c r="I67" s="18"/>
      <c r="J67" s="18"/>
    </row>
    <row r="68" spans="1:10">
      <c r="A68" s="2"/>
      <c r="B68" s="2"/>
      <c r="C68" s="17"/>
      <c r="D68" s="17"/>
      <c r="E68" s="17"/>
      <c r="F68" s="17"/>
      <c r="G68" s="18"/>
      <c r="H68" s="18"/>
      <c r="I68" s="18"/>
      <c r="J68" s="18"/>
    </row>
    <row r="69" spans="1:10">
      <c r="A69" s="2"/>
      <c r="B69" s="2"/>
      <c r="C69" s="17"/>
      <c r="D69" s="17"/>
      <c r="E69" s="17"/>
      <c r="F69" s="17"/>
      <c r="G69" s="18"/>
      <c r="H69" s="18"/>
      <c r="I69" s="18"/>
      <c r="J69" s="18"/>
    </row>
    <row r="70" spans="1:10">
      <c r="A70" s="2"/>
      <c r="B70" s="2"/>
      <c r="C70" s="17"/>
      <c r="D70" s="17"/>
      <c r="E70" s="17"/>
      <c r="F70" s="17"/>
      <c r="G70" s="18"/>
      <c r="H70" s="18"/>
      <c r="I70" s="18"/>
      <c r="J70" s="18"/>
    </row>
    <row r="71" spans="1:10">
      <c r="A71" s="2"/>
      <c r="B71" s="2"/>
      <c r="C71" s="17"/>
      <c r="D71" s="17"/>
      <c r="E71" s="17"/>
      <c r="F71" s="17"/>
      <c r="G71" s="18"/>
      <c r="H71" s="18"/>
      <c r="I71" s="18"/>
      <c r="J71" s="18"/>
    </row>
    <row r="72" spans="1:10">
      <c r="A72" s="2"/>
      <c r="B72" s="2"/>
      <c r="C72" s="17"/>
      <c r="D72" s="17"/>
      <c r="E72" s="17"/>
      <c r="F72" s="17"/>
      <c r="G72" s="18"/>
      <c r="H72" s="18"/>
      <c r="I72" s="18"/>
      <c r="J72" s="18"/>
    </row>
    <row r="73" spans="1:10">
      <c r="A73" s="2"/>
      <c r="B73" s="2"/>
      <c r="C73" s="17"/>
      <c r="D73" s="17"/>
      <c r="E73" s="17"/>
      <c r="F73" s="17"/>
      <c r="G73" s="18"/>
      <c r="H73" s="18"/>
      <c r="I73" s="18"/>
      <c r="J73" s="18"/>
    </row>
    <row r="74" spans="1:10">
      <c r="A74" s="2"/>
      <c r="B74" s="2"/>
      <c r="C74" s="17"/>
      <c r="D74" s="17"/>
      <c r="E74" s="17"/>
      <c r="F74" s="17"/>
      <c r="G74" s="18"/>
      <c r="H74" s="18"/>
      <c r="I74" s="18"/>
      <c r="J74" s="18"/>
    </row>
    <row r="75" spans="1:10">
      <c r="A75" s="2"/>
      <c r="B75" s="2"/>
      <c r="C75" s="17"/>
      <c r="D75" s="17"/>
      <c r="E75" s="17"/>
      <c r="F75" s="17"/>
      <c r="G75" s="18"/>
      <c r="H75" s="18"/>
      <c r="I75" s="18"/>
      <c r="J75" s="18"/>
    </row>
    <row r="76" spans="1:10">
      <c r="A76" s="2"/>
      <c r="B76" s="2"/>
      <c r="C76" s="17"/>
      <c r="D76" s="17"/>
      <c r="E76" s="17"/>
      <c r="F76" s="17"/>
      <c r="G76" s="18"/>
      <c r="H76" s="18"/>
      <c r="I76" s="18"/>
      <c r="J76" s="18"/>
    </row>
    <row r="77" spans="1:10">
      <c r="A77" s="2"/>
      <c r="B77" s="2"/>
      <c r="C77" s="17"/>
      <c r="D77" s="17"/>
      <c r="E77" s="17"/>
      <c r="F77" s="17"/>
      <c r="G77" s="18"/>
      <c r="H77" s="18"/>
      <c r="I77" s="18"/>
      <c r="J77" s="18"/>
    </row>
    <row r="78" spans="1:10">
      <c r="A78" s="2"/>
      <c r="B78" s="2"/>
      <c r="C78" s="17"/>
      <c r="D78" s="17"/>
      <c r="E78" s="17"/>
      <c r="F78" s="17"/>
      <c r="G78" s="18"/>
      <c r="H78" s="18"/>
      <c r="I78" s="18"/>
      <c r="J78" s="18"/>
    </row>
    <row r="79" spans="1:10">
      <c r="A79" s="2"/>
      <c r="B79" s="2"/>
      <c r="C79" s="17"/>
      <c r="D79" s="17"/>
      <c r="E79" s="17"/>
      <c r="F79" s="17"/>
      <c r="G79" s="18"/>
      <c r="H79" s="18"/>
      <c r="I79" s="18"/>
      <c r="J79" s="18"/>
    </row>
    <row r="80" spans="1:10">
      <c r="A80" s="2"/>
      <c r="B80" s="2"/>
      <c r="C80" s="17"/>
      <c r="D80" s="17"/>
      <c r="E80" s="17"/>
      <c r="F80" s="17"/>
      <c r="G80" s="18"/>
      <c r="H80" s="18"/>
      <c r="I80" s="18"/>
      <c r="J80" s="18"/>
    </row>
    <row r="81" spans="1:10">
      <c r="A81" s="2"/>
      <c r="B81" s="2"/>
      <c r="C81" s="17"/>
      <c r="D81" s="17"/>
      <c r="E81" s="17"/>
      <c r="F81" s="17"/>
      <c r="G81" s="18"/>
      <c r="H81" s="18"/>
      <c r="I81" s="18"/>
      <c r="J81" s="18"/>
    </row>
    <row r="82" spans="1:10">
      <c r="A82" s="2"/>
      <c r="B82" s="2"/>
      <c r="C82" s="17"/>
      <c r="D82" s="17"/>
      <c r="E82" s="17"/>
      <c r="F82" s="17"/>
      <c r="G82" s="18"/>
      <c r="H82" s="18"/>
      <c r="I82" s="18"/>
      <c r="J82" s="18"/>
    </row>
    <row r="83" spans="1:10">
      <c r="A83" s="2"/>
      <c r="B83" s="2"/>
      <c r="C83" s="17"/>
      <c r="D83" s="17"/>
      <c r="E83" s="17"/>
      <c r="F83" s="17"/>
      <c r="G83" s="18"/>
      <c r="H83" s="18"/>
      <c r="I83" s="18"/>
      <c r="J83" s="18"/>
    </row>
    <row r="84" spans="1:10">
      <c r="A84" s="2"/>
      <c r="B84" s="2"/>
      <c r="C84" s="17"/>
      <c r="D84" s="17"/>
      <c r="E84" s="17"/>
      <c r="F84" s="17"/>
      <c r="G84" s="18"/>
      <c r="H84" s="18"/>
      <c r="I84" s="18"/>
      <c r="J84" s="18"/>
    </row>
    <row r="85" spans="1:10">
      <c r="A85" s="2"/>
      <c r="B85" s="2"/>
      <c r="C85" s="17"/>
      <c r="D85" s="17"/>
      <c r="E85" s="17"/>
      <c r="F85" s="17"/>
      <c r="G85" s="18"/>
      <c r="H85" s="18"/>
      <c r="I85" s="18"/>
      <c r="J85" s="18"/>
    </row>
    <row r="86" spans="1:10">
      <c r="A86" s="2"/>
      <c r="B86" s="2"/>
      <c r="C86" s="17"/>
      <c r="D86" s="17"/>
      <c r="E86" s="17"/>
      <c r="F86" s="17"/>
      <c r="G86" s="18"/>
      <c r="H86" s="18"/>
      <c r="I86" s="18"/>
      <c r="J86" s="18"/>
    </row>
    <row r="87" spans="1:10">
      <c r="A87" s="2"/>
      <c r="B87" s="2"/>
      <c r="C87" s="17"/>
      <c r="D87" s="17"/>
      <c r="E87" s="17"/>
      <c r="F87" s="17"/>
      <c r="G87" s="18"/>
      <c r="H87" s="18"/>
      <c r="I87" s="18"/>
      <c r="J87" s="18"/>
    </row>
    <row r="88" spans="1:10">
      <c r="A88" s="2"/>
      <c r="B88" s="2"/>
      <c r="C88" s="17"/>
      <c r="D88" s="17"/>
      <c r="E88" s="17"/>
      <c r="F88" s="17"/>
      <c r="G88" s="18"/>
      <c r="H88" s="18"/>
      <c r="I88" s="18"/>
      <c r="J88" s="18"/>
    </row>
    <row r="89" spans="1:10">
      <c r="A89" s="2"/>
      <c r="B89" s="2"/>
      <c r="C89" s="17"/>
      <c r="D89" s="17"/>
      <c r="E89" s="17"/>
      <c r="F89" s="17"/>
      <c r="G89" s="18"/>
      <c r="H89" s="18"/>
      <c r="I89" s="18"/>
      <c r="J89" s="18"/>
    </row>
    <row r="90" spans="1:10">
      <c r="A90" s="2"/>
      <c r="B90" s="2"/>
      <c r="C90" s="17"/>
      <c r="D90" s="17"/>
      <c r="E90" s="17"/>
      <c r="F90" s="17"/>
      <c r="G90" s="18"/>
      <c r="H90" s="18"/>
      <c r="I90" s="18"/>
      <c r="J90" s="18"/>
    </row>
    <row r="91" spans="1:10">
      <c r="A91" s="2"/>
      <c r="B91" s="2"/>
      <c r="C91" s="17"/>
      <c r="D91" s="17"/>
      <c r="E91" s="17"/>
      <c r="F91" s="17"/>
      <c r="G91" s="18"/>
      <c r="H91" s="18"/>
      <c r="I91" s="18"/>
      <c r="J91" s="18"/>
    </row>
    <row r="92" spans="1:10">
      <c r="A92" s="2"/>
      <c r="B92" s="2"/>
      <c r="C92" s="17"/>
      <c r="D92" s="17"/>
      <c r="E92" s="17"/>
      <c r="F92" s="17"/>
      <c r="G92" s="18"/>
      <c r="H92" s="18"/>
      <c r="I92" s="18"/>
      <c r="J92" s="18"/>
    </row>
    <row r="93" spans="1:10">
      <c r="A93" s="2"/>
      <c r="B93" s="2"/>
      <c r="C93" s="17"/>
      <c r="D93" s="17"/>
      <c r="E93" s="17"/>
      <c r="F93" s="17"/>
      <c r="G93" s="18"/>
      <c r="H93" s="18"/>
      <c r="I93" s="18"/>
      <c r="J93" s="18"/>
    </row>
    <row r="94" spans="1:10">
      <c r="A94" s="2"/>
      <c r="B94" s="2"/>
      <c r="C94" s="17"/>
      <c r="D94" s="17"/>
      <c r="E94" s="17"/>
      <c r="F94" s="17"/>
      <c r="G94" s="18"/>
      <c r="H94" s="18"/>
      <c r="I94" s="18"/>
      <c r="J94" s="18"/>
    </row>
    <row r="95" spans="1:10">
      <c r="A95" s="2"/>
      <c r="B95" s="2"/>
      <c r="C95" s="17"/>
      <c r="D95" s="17"/>
      <c r="E95" s="17"/>
      <c r="F95" s="17"/>
      <c r="G95" s="18"/>
      <c r="H95" s="18"/>
      <c r="I95" s="18"/>
      <c r="J95" s="18"/>
    </row>
    <row r="96" spans="1:10">
      <c r="A96" s="2"/>
      <c r="B96" s="2"/>
      <c r="C96" s="17"/>
      <c r="D96" s="17"/>
      <c r="E96" s="17"/>
      <c r="F96" s="17"/>
      <c r="G96" s="18"/>
      <c r="H96" s="18"/>
      <c r="I96" s="18"/>
      <c r="J96" s="18"/>
    </row>
    <row r="97" spans="1:10">
      <c r="A97" s="2"/>
      <c r="B97" s="2"/>
      <c r="C97" s="17"/>
      <c r="D97" s="17"/>
      <c r="E97" s="17"/>
      <c r="F97" s="17"/>
      <c r="G97" s="18"/>
      <c r="H97" s="18"/>
      <c r="I97" s="18"/>
      <c r="J97" s="18"/>
    </row>
    <row r="98" spans="1:10">
      <c r="A98" s="2"/>
      <c r="B98" s="2"/>
      <c r="C98" s="17"/>
      <c r="D98" s="17"/>
      <c r="E98" s="17"/>
      <c r="F98" s="17"/>
      <c r="G98" s="18"/>
      <c r="H98" s="18"/>
      <c r="I98" s="18"/>
      <c r="J98" s="18"/>
    </row>
    <row r="99" spans="1:10">
      <c r="A99" s="2"/>
      <c r="B99" s="2"/>
      <c r="C99" s="17"/>
      <c r="D99" s="17"/>
      <c r="E99" s="17"/>
      <c r="F99" s="17"/>
      <c r="G99" s="18"/>
      <c r="H99" s="18"/>
      <c r="I99" s="18"/>
      <c r="J99" s="18"/>
    </row>
    <row r="100" spans="1:10">
      <c r="A100" s="2"/>
      <c r="B100" s="2"/>
      <c r="C100" s="17"/>
      <c r="D100" s="17"/>
      <c r="E100" s="17"/>
      <c r="F100" s="17"/>
      <c r="G100" s="18"/>
      <c r="H100" s="18"/>
      <c r="I100" s="18"/>
      <c r="J100" s="18"/>
    </row>
    <row r="101" spans="1:10">
      <c r="A101" s="2"/>
      <c r="B101" s="2"/>
      <c r="C101" s="17"/>
      <c r="D101" s="17"/>
      <c r="E101" s="17"/>
      <c r="F101" s="17"/>
      <c r="G101" s="18"/>
      <c r="H101" s="18"/>
      <c r="I101" s="18"/>
      <c r="J101" s="18"/>
    </row>
    <row r="102" spans="1:10">
      <c r="A102" s="2"/>
      <c r="B102" s="2"/>
      <c r="C102" s="17"/>
      <c r="D102" s="17"/>
      <c r="E102" s="17"/>
      <c r="F102" s="17"/>
      <c r="G102" s="18"/>
      <c r="H102" s="18"/>
      <c r="I102" s="18"/>
      <c r="J102" s="18"/>
    </row>
    <row r="103" spans="1:10">
      <c r="A103" s="2"/>
      <c r="B103" s="2"/>
      <c r="C103" s="17"/>
      <c r="D103" s="17"/>
      <c r="E103" s="17"/>
      <c r="F103" s="17"/>
      <c r="G103" s="18"/>
      <c r="H103" s="18"/>
      <c r="I103" s="18"/>
      <c r="J103" s="18"/>
    </row>
    <row r="104" spans="1:10">
      <c r="A104" s="2"/>
      <c r="B104" s="2"/>
      <c r="C104" s="17"/>
      <c r="D104" s="17"/>
      <c r="E104" s="17"/>
      <c r="F104" s="17"/>
      <c r="G104" s="18"/>
      <c r="H104" s="18"/>
      <c r="I104" s="18"/>
      <c r="J104" s="18"/>
    </row>
    <row r="105" spans="1:10">
      <c r="A105" s="2"/>
      <c r="B105" s="2"/>
      <c r="C105" s="17"/>
      <c r="D105" s="17"/>
      <c r="E105" s="17"/>
      <c r="F105" s="17"/>
      <c r="G105" s="18"/>
      <c r="H105" s="18"/>
      <c r="I105" s="18"/>
      <c r="J105" s="18"/>
    </row>
    <row r="106" spans="1:10">
      <c r="A106" s="2"/>
      <c r="B106" s="2"/>
      <c r="C106" s="17"/>
      <c r="D106" s="17"/>
      <c r="E106" s="17"/>
      <c r="F106" s="17"/>
      <c r="G106" s="18"/>
      <c r="H106" s="18"/>
      <c r="I106" s="18"/>
      <c r="J106" s="18"/>
    </row>
    <row r="107" spans="1:10">
      <c r="A107" s="2"/>
      <c r="B107" s="2"/>
      <c r="C107" s="17"/>
      <c r="D107" s="17"/>
      <c r="E107" s="17"/>
      <c r="F107" s="17"/>
      <c r="G107" s="18"/>
      <c r="H107" s="18"/>
      <c r="I107" s="18"/>
      <c r="J107" s="18"/>
    </row>
    <row r="108" spans="1:10">
      <c r="A108" s="2"/>
      <c r="B108" s="2"/>
      <c r="C108" s="17"/>
      <c r="D108" s="17"/>
      <c r="E108" s="17"/>
      <c r="F108" s="17"/>
      <c r="G108" s="18"/>
      <c r="H108" s="18"/>
      <c r="I108" s="18"/>
      <c r="J108" s="18"/>
    </row>
    <row r="109" spans="1:10">
      <c r="A109" s="2"/>
      <c r="B109" s="2"/>
      <c r="C109" s="17"/>
      <c r="D109" s="17"/>
      <c r="E109" s="17"/>
      <c r="F109" s="17"/>
      <c r="G109" s="18"/>
      <c r="H109" s="18"/>
      <c r="I109" s="18"/>
      <c r="J109" s="18"/>
    </row>
    <row r="110" spans="1:10">
      <c r="A110" s="2"/>
      <c r="B110" s="2"/>
      <c r="C110" s="17"/>
      <c r="D110" s="17"/>
      <c r="E110" s="17"/>
      <c r="F110" s="17"/>
      <c r="G110" s="18"/>
      <c r="H110" s="18"/>
      <c r="I110" s="18"/>
      <c r="J110" s="18"/>
    </row>
    <row r="111" spans="1:10">
      <c r="A111" s="2"/>
      <c r="B111" s="2"/>
      <c r="C111" s="17"/>
      <c r="D111" s="17"/>
      <c r="E111" s="17"/>
      <c r="F111" s="17"/>
      <c r="G111" s="18"/>
      <c r="H111" s="18"/>
      <c r="I111" s="18"/>
      <c r="J111" s="18"/>
    </row>
    <row r="112" spans="1:10">
      <c r="A112" s="2"/>
      <c r="B112" s="2"/>
      <c r="C112" s="17"/>
      <c r="D112" s="17"/>
      <c r="E112" s="17"/>
      <c r="F112" s="17"/>
      <c r="G112" s="18"/>
      <c r="H112" s="18"/>
      <c r="I112" s="18"/>
      <c r="J112" s="18"/>
    </row>
    <row r="113" spans="1:10">
      <c r="A113" s="2"/>
      <c r="B113" s="2"/>
      <c r="C113" s="17"/>
      <c r="D113" s="17"/>
      <c r="E113" s="17"/>
      <c r="F113" s="17"/>
      <c r="G113" s="18"/>
      <c r="H113" s="18"/>
      <c r="I113" s="18"/>
      <c r="J113" s="18"/>
    </row>
    <row r="114" spans="1:10">
      <c r="A114" s="2"/>
      <c r="B114" s="2"/>
      <c r="C114" s="17"/>
      <c r="D114" s="17"/>
      <c r="E114" s="17"/>
      <c r="F114" s="17"/>
      <c r="G114" s="18"/>
      <c r="H114" s="18"/>
      <c r="I114" s="18"/>
      <c r="J114" s="18"/>
    </row>
    <row r="115" spans="1:10">
      <c r="A115" s="2"/>
      <c r="B115" s="2"/>
      <c r="C115" s="17"/>
      <c r="D115" s="17"/>
      <c r="E115" s="17"/>
      <c r="F115" s="17"/>
      <c r="G115" s="18"/>
      <c r="H115" s="18"/>
      <c r="I115" s="18"/>
      <c r="J115" s="18"/>
    </row>
    <row r="116" spans="1:10">
      <c r="A116" s="2"/>
      <c r="B116" s="2"/>
      <c r="C116" s="17"/>
      <c r="D116" s="17"/>
      <c r="E116" s="17"/>
      <c r="F116" s="17"/>
      <c r="G116" s="18"/>
      <c r="H116" s="18"/>
      <c r="I116" s="18"/>
      <c r="J116" s="18"/>
    </row>
    <row r="117" spans="1:10">
      <c r="A117" s="2"/>
      <c r="B117" s="2"/>
      <c r="C117" s="17"/>
      <c r="D117" s="17"/>
      <c r="E117" s="17"/>
      <c r="F117" s="17"/>
      <c r="G117" s="18"/>
      <c r="H117" s="18"/>
      <c r="I117" s="18"/>
      <c r="J117" s="18"/>
    </row>
    <row r="118" spans="1:10">
      <c r="A118" s="2"/>
      <c r="B118" s="2"/>
      <c r="C118" s="17"/>
      <c r="D118" s="17"/>
      <c r="E118" s="17"/>
      <c r="F118" s="17"/>
      <c r="G118" s="18"/>
      <c r="H118" s="18"/>
      <c r="I118" s="18"/>
      <c r="J118" s="18"/>
    </row>
    <row r="119" spans="1:10">
      <c r="A119" s="2"/>
      <c r="B119" s="2"/>
      <c r="C119" s="17"/>
      <c r="D119" s="17"/>
      <c r="E119" s="17"/>
      <c r="F119" s="17"/>
      <c r="G119" s="18"/>
      <c r="H119" s="18"/>
      <c r="I119" s="18"/>
      <c r="J119" s="18"/>
    </row>
    <row r="120" spans="1:10">
      <c r="A120" s="2"/>
      <c r="B120" s="2"/>
      <c r="C120" s="17"/>
      <c r="D120" s="17"/>
      <c r="E120" s="17"/>
      <c r="F120" s="17"/>
      <c r="G120" s="18"/>
      <c r="H120" s="18"/>
      <c r="I120" s="18"/>
      <c r="J120" s="18"/>
    </row>
    <row r="121" spans="1:10">
      <c r="A121" s="2"/>
      <c r="B121" s="2"/>
      <c r="C121" s="17"/>
      <c r="D121" s="17"/>
      <c r="E121" s="17"/>
      <c r="F121" s="17"/>
      <c r="G121" s="18"/>
      <c r="H121" s="18"/>
      <c r="I121" s="18"/>
      <c r="J121" s="18"/>
    </row>
    <row r="122" spans="1:10">
      <c r="A122" s="2"/>
      <c r="B122" s="2"/>
      <c r="C122" s="17"/>
      <c r="D122" s="17"/>
      <c r="E122" s="17"/>
      <c r="F122" s="17"/>
      <c r="G122" s="18"/>
      <c r="H122" s="18"/>
      <c r="I122" s="18"/>
      <c r="J122" s="18"/>
    </row>
    <row r="123" spans="1:10">
      <c r="A123" s="2"/>
      <c r="B123" s="2"/>
      <c r="C123" s="17"/>
      <c r="D123" s="17"/>
      <c r="E123" s="17"/>
      <c r="F123" s="17"/>
      <c r="G123" s="18"/>
      <c r="H123" s="18"/>
      <c r="I123" s="18"/>
      <c r="J123" s="18"/>
    </row>
    <row r="124" spans="1:10">
      <c r="A124" s="2"/>
      <c r="B124" s="2"/>
      <c r="C124" s="17"/>
      <c r="D124" s="17"/>
      <c r="E124" s="17"/>
      <c r="F124" s="17"/>
      <c r="G124" s="18"/>
      <c r="H124" s="18"/>
      <c r="I124" s="18"/>
      <c r="J124" s="18"/>
    </row>
    <row r="125" spans="1:10">
      <c r="A125" s="2"/>
      <c r="B125" s="2"/>
      <c r="C125" s="17"/>
      <c r="D125" s="17"/>
      <c r="E125" s="17"/>
      <c r="F125" s="17"/>
      <c r="G125" s="18"/>
      <c r="H125" s="18"/>
      <c r="I125" s="18"/>
      <c r="J125" s="18"/>
    </row>
    <row r="126" spans="1:10">
      <c r="A126" s="2"/>
      <c r="B126" s="2"/>
      <c r="C126" s="17"/>
      <c r="D126" s="17"/>
      <c r="E126" s="17"/>
      <c r="F126" s="17"/>
      <c r="G126" s="18"/>
      <c r="H126" s="18"/>
      <c r="I126" s="18"/>
      <c r="J126" s="18"/>
    </row>
    <row r="127" spans="1:10">
      <c r="A127" s="2"/>
      <c r="B127" s="2"/>
      <c r="C127" s="17"/>
      <c r="D127" s="17"/>
      <c r="E127" s="17"/>
      <c r="F127" s="17"/>
      <c r="G127" s="18"/>
      <c r="H127" s="18"/>
      <c r="I127" s="18"/>
      <c r="J127" s="18"/>
    </row>
    <row r="128" spans="1:10">
      <c r="A128" s="2"/>
      <c r="B128" s="2"/>
      <c r="C128" s="17"/>
      <c r="D128" s="17"/>
      <c r="E128" s="17"/>
      <c r="F128" s="17"/>
      <c r="G128" s="18"/>
      <c r="H128" s="18"/>
      <c r="I128" s="18"/>
      <c r="J128" s="18"/>
    </row>
    <row r="129" spans="1:10">
      <c r="A129" s="2"/>
      <c r="B129" s="2"/>
      <c r="C129" s="17"/>
      <c r="D129" s="17"/>
      <c r="E129" s="17"/>
      <c r="F129" s="17"/>
      <c r="G129" s="18"/>
      <c r="H129" s="18"/>
      <c r="I129" s="18"/>
      <c r="J129" s="18"/>
    </row>
    <row r="130" spans="1:10">
      <c r="A130" s="2"/>
      <c r="B130" s="2"/>
      <c r="C130" s="17"/>
      <c r="D130" s="17"/>
      <c r="E130" s="17"/>
      <c r="F130" s="17"/>
      <c r="G130" s="18"/>
      <c r="H130" s="18"/>
      <c r="I130" s="18"/>
      <c r="J130" s="18"/>
    </row>
    <row r="131" spans="1:10">
      <c r="A131" s="2"/>
      <c r="B131" s="2"/>
      <c r="C131" s="17"/>
      <c r="D131" s="17"/>
      <c r="E131" s="17"/>
      <c r="F131" s="17"/>
      <c r="G131" s="18"/>
      <c r="H131" s="18"/>
      <c r="I131" s="18"/>
      <c r="J131" s="18"/>
    </row>
    <row r="132" spans="1:10">
      <c r="A132" s="2"/>
      <c r="B132" s="2"/>
      <c r="C132" s="17"/>
      <c r="D132" s="17"/>
      <c r="E132" s="17"/>
      <c r="F132" s="17"/>
      <c r="G132" s="18"/>
      <c r="H132" s="18"/>
      <c r="I132" s="18"/>
      <c r="J132" s="18"/>
    </row>
    <row r="133" spans="1:10">
      <c r="A133" s="2"/>
      <c r="B133" s="2"/>
      <c r="C133" s="17"/>
      <c r="D133" s="17"/>
      <c r="E133" s="17"/>
      <c r="F133" s="17"/>
      <c r="G133" s="18"/>
      <c r="H133" s="18"/>
      <c r="I133" s="18"/>
      <c r="J133" s="18"/>
    </row>
    <row r="134" spans="1:10">
      <c r="A134" s="2"/>
      <c r="B134" s="2"/>
      <c r="C134" s="17"/>
      <c r="D134" s="17"/>
      <c r="E134" s="17"/>
      <c r="F134" s="17"/>
      <c r="G134" s="18"/>
      <c r="H134" s="18"/>
      <c r="I134" s="18"/>
      <c r="J134" s="18"/>
    </row>
    <row r="135" spans="1:10">
      <c r="A135" s="2"/>
      <c r="B135" s="2"/>
      <c r="C135" s="17"/>
      <c r="D135" s="17"/>
      <c r="E135" s="17"/>
      <c r="F135" s="17"/>
      <c r="G135" s="18"/>
      <c r="H135" s="18"/>
      <c r="I135" s="18"/>
      <c r="J135" s="18"/>
    </row>
    <row r="136" spans="1:10">
      <c r="A136" s="2"/>
      <c r="B136" s="2"/>
      <c r="C136" s="17"/>
      <c r="D136" s="17"/>
      <c r="E136" s="17"/>
      <c r="F136" s="17"/>
      <c r="G136" s="18"/>
      <c r="H136" s="18"/>
      <c r="I136" s="18"/>
      <c r="J136" s="18"/>
    </row>
    <row r="137" spans="1:10">
      <c r="A137" s="2"/>
      <c r="B137" s="2"/>
      <c r="C137" s="17"/>
      <c r="D137" s="17"/>
      <c r="E137" s="17"/>
      <c r="F137" s="17"/>
      <c r="G137" s="18"/>
      <c r="H137" s="18"/>
      <c r="I137" s="18"/>
      <c r="J137" s="18"/>
    </row>
    <row r="138" spans="1:10">
      <c r="A138" s="2"/>
      <c r="B138" s="2"/>
      <c r="C138" s="17"/>
      <c r="D138" s="17"/>
      <c r="E138" s="17"/>
      <c r="F138" s="17"/>
      <c r="G138" s="18"/>
      <c r="H138" s="18"/>
      <c r="I138" s="18"/>
      <c r="J138" s="18"/>
    </row>
    <row r="139" spans="1:10">
      <c r="A139" s="2"/>
      <c r="B139" s="2"/>
      <c r="C139" s="17"/>
      <c r="D139" s="17"/>
      <c r="E139" s="17"/>
      <c r="F139" s="17"/>
      <c r="G139" s="18"/>
      <c r="H139" s="18"/>
      <c r="I139" s="18"/>
      <c r="J139" s="18"/>
    </row>
    <row r="140" spans="1:10">
      <c r="A140" s="2"/>
      <c r="B140" s="2"/>
      <c r="C140" s="17"/>
      <c r="D140" s="17"/>
      <c r="E140" s="17"/>
      <c r="F140" s="17"/>
      <c r="G140" s="18"/>
      <c r="H140" s="18"/>
      <c r="I140" s="18"/>
      <c r="J140" s="18"/>
    </row>
    <row r="141" spans="1:10">
      <c r="A141" s="2"/>
      <c r="B141" s="2"/>
      <c r="C141" s="17"/>
      <c r="D141" s="17"/>
      <c r="E141" s="17"/>
      <c r="F141" s="17"/>
      <c r="G141" s="18"/>
      <c r="H141" s="18"/>
      <c r="I141" s="18"/>
      <c r="J141" s="18"/>
    </row>
    <row r="142" spans="1:10">
      <c r="A142" s="2"/>
      <c r="B142" s="2"/>
      <c r="C142" s="17"/>
      <c r="D142" s="17"/>
      <c r="E142" s="17"/>
      <c r="F142" s="17"/>
      <c r="G142" s="18"/>
      <c r="H142" s="18"/>
      <c r="I142" s="18"/>
      <c r="J142" s="18"/>
    </row>
    <row r="143" spans="1:10">
      <c r="A143" s="2"/>
      <c r="B143" s="2"/>
      <c r="C143" s="17"/>
      <c r="D143" s="17"/>
      <c r="E143" s="17"/>
      <c r="F143" s="17"/>
      <c r="G143" s="18"/>
      <c r="H143" s="18"/>
      <c r="I143" s="18"/>
      <c r="J143" s="18"/>
    </row>
    <row r="144" spans="1:10">
      <c r="A144" s="2"/>
      <c r="B144" s="2"/>
      <c r="C144" s="17"/>
      <c r="D144" s="17"/>
      <c r="E144" s="17"/>
      <c r="F144" s="17"/>
      <c r="G144" s="18"/>
      <c r="H144" s="18"/>
      <c r="I144" s="18"/>
      <c r="J144" s="18"/>
    </row>
    <row r="145" spans="1:10">
      <c r="A145" s="2"/>
      <c r="B145" s="2"/>
      <c r="C145" s="17"/>
      <c r="D145" s="17"/>
      <c r="E145" s="17"/>
      <c r="F145" s="17"/>
      <c r="G145" s="18"/>
      <c r="H145" s="18"/>
      <c r="I145" s="18"/>
      <c r="J145" s="18"/>
    </row>
    <row r="146" spans="1:10">
      <c r="A146" s="2"/>
      <c r="B146" s="2"/>
      <c r="C146" s="17"/>
      <c r="D146" s="17"/>
      <c r="E146" s="17"/>
      <c r="F146" s="17"/>
      <c r="G146" s="18"/>
      <c r="H146" s="18"/>
      <c r="I146" s="18"/>
      <c r="J146" s="18"/>
    </row>
    <row r="147" spans="1:10">
      <c r="A147" s="2"/>
      <c r="B147" s="2"/>
      <c r="C147" s="17"/>
      <c r="D147" s="17"/>
      <c r="E147" s="17"/>
      <c r="F147" s="17"/>
      <c r="G147" s="18"/>
      <c r="H147" s="18"/>
      <c r="I147" s="18"/>
      <c r="J147" s="18"/>
    </row>
    <row r="148" spans="1:10">
      <c r="A148" s="2"/>
      <c r="B148" s="2"/>
      <c r="C148" s="17"/>
      <c r="D148" s="17"/>
      <c r="E148" s="17"/>
      <c r="F148" s="17"/>
      <c r="G148" s="18"/>
      <c r="H148" s="18"/>
      <c r="I148" s="18"/>
      <c r="J148" s="18"/>
    </row>
    <row r="149" spans="1:10">
      <c r="A149" s="2"/>
      <c r="B149" s="2"/>
      <c r="C149" s="17"/>
      <c r="D149" s="17"/>
      <c r="E149" s="17"/>
      <c r="F149" s="17"/>
      <c r="G149" s="18"/>
      <c r="H149" s="18"/>
      <c r="I149" s="18"/>
      <c r="J149" s="18"/>
    </row>
    <row r="150" spans="1:10">
      <c r="A150" s="2"/>
      <c r="B150" s="2"/>
      <c r="C150" s="17"/>
      <c r="D150" s="17"/>
      <c r="E150" s="17"/>
      <c r="F150" s="17"/>
      <c r="G150" s="18"/>
      <c r="H150" s="18"/>
      <c r="I150" s="18"/>
      <c r="J150" s="18"/>
    </row>
    <row r="151" spans="1:10">
      <c r="A151" s="2"/>
      <c r="B151" s="2"/>
      <c r="C151" s="17"/>
      <c r="D151" s="17"/>
      <c r="E151" s="17"/>
      <c r="F151" s="17"/>
      <c r="G151" s="18"/>
      <c r="H151" s="18"/>
      <c r="I151" s="18"/>
      <c r="J151" s="18"/>
    </row>
    <row r="152" spans="1:10">
      <c r="A152" s="2"/>
      <c r="B152" s="2"/>
      <c r="C152" s="17"/>
      <c r="D152" s="17"/>
      <c r="E152" s="17"/>
      <c r="F152" s="17"/>
      <c r="G152" s="18"/>
      <c r="H152" s="18"/>
      <c r="I152" s="18"/>
      <c r="J152" s="18"/>
    </row>
    <row r="153" spans="1:10">
      <c r="A153" s="2"/>
      <c r="B153" s="2"/>
      <c r="C153" s="17"/>
      <c r="D153" s="17"/>
      <c r="E153" s="17"/>
      <c r="F153" s="17"/>
      <c r="G153" s="18"/>
      <c r="H153" s="18"/>
      <c r="I153" s="18"/>
      <c r="J153" s="18"/>
    </row>
    <row r="154" spans="1:10">
      <c r="A154" s="2"/>
      <c r="B154" s="2"/>
      <c r="C154" s="17"/>
      <c r="D154" s="17"/>
      <c r="E154" s="17"/>
      <c r="F154" s="17"/>
      <c r="G154" s="18"/>
      <c r="H154" s="18"/>
      <c r="I154" s="18"/>
      <c r="J154" s="18"/>
    </row>
    <row r="155" spans="1:10">
      <c r="A155" s="2"/>
      <c r="B155" s="2"/>
      <c r="C155" s="17"/>
      <c r="D155" s="17"/>
      <c r="E155" s="17"/>
      <c r="F155" s="17"/>
      <c r="G155" s="18"/>
      <c r="H155" s="18"/>
      <c r="I155" s="18"/>
      <c r="J155" s="18"/>
    </row>
    <row r="156" spans="1:10">
      <c r="A156" s="2"/>
      <c r="B156" s="2"/>
      <c r="C156" s="17"/>
      <c r="D156" s="17"/>
      <c r="E156" s="17"/>
      <c r="F156" s="17"/>
      <c r="G156" s="18"/>
      <c r="H156" s="18"/>
      <c r="I156" s="18"/>
      <c r="J156" s="18"/>
    </row>
    <row r="157" spans="1:10">
      <c r="A157" s="2"/>
      <c r="B157" s="2"/>
      <c r="C157" s="17"/>
      <c r="D157" s="17"/>
      <c r="E157" s="17"/>
      <c r="F157" s="17"/>
      <c r="G157" s="18"/>
      <c r="H157" s="18"/>
      <c r="I157" s="18"/>
      <c r="J157" s="18"/>
    </row>
    <row r="158" spans="1:10">
      <c r="A158" s="2"/>
      <c r="B158" s="2"/>
      <c r="C158" s="17"/>
      <c r="D158" s="17"/>
      <c r="E158" s="17"/>
      <c r="F158" s="17"/>
      <c r="G158" s="18"/>
      <c r="H158" s="18"/>
      <c r="I158" s="18"/>
      <c r="J158" s="18"/>
    </row>
    <row r="159" spans="1:10">
      <c r="A159" s="2"/>
      <c r="B159" s="2"/>
      <c r="C159" s="17"/>
      <c r="D159" s="17"/>
      <c r="E159" s="17"/>
      <c r="F159" s="17"/>
      <c r="G159" s="18"/>
      <c r="H159" s="18"/>
      <c r="I159" s="18"/>
      <c r="J159" s="18"/>
    </row>
    <row r="160" spans="1:10">
      <c r="A160" s="2"/>
      <c r="B160" s="2"/>
      <c r="C160" s="17"/>
      <c r="D160" s="17"/>
      <c r="E160" s="17"/>
      <c r="F160" s="17"/>
      <c r="G160" s="18"/>
      <c r="H160" s="18"/>
      <c r="I160" s="18"/>
      <c r="J160" s="18"/>
    </row>
    <row r="161" spans="1:10">
      <c r="A161" s="2"/>
      <c r="B161" s="2"/>
      <c r="C161" s="17"/>
      <c r="D161" s="17"/>
      <c r="E161" s="17"/>
      <c r="F161" s="17"/>
      <c r="G161" s="18"/>
      <c r="H161" s="18"/>
      <c r="I161" s="18"/>
      <c r="J161" s="18"/>
    </row>
    <row r="162" spans="1:10">
      <c r="A162" s="2"/>
      <c r="B162" s="2"/>
      <c r="C162" s="17"/>
      <c r="D162" s="17"/>
      <c r="E162" s="17"/>
      <c r="F162" s="17"/>
      <c r="G162" s="18"/>
      <c r="H162" s="18"/>
      <c r="I162" s="18"/>
      <c r="J162" s="18"/>
    </row>
    <row r="163" spans="1:10">
      <c r="A163" s="2"/>
      <c r="B163" s="2"/>
      <c r="C163" s="17"/>
      <c r="D163" s="17"/>
      <c r="E163" s="17"/>
      <c r="F163" s="17"/>
      <c r="G163" s="18"/>
      <c r="H163" s="18"/>
      <c r="I163" s="18"/>
      <c r="J163" s="18"/>
    </row>
    <row r="164" spans="1:10">
      <c r="A164" s="2"/>
      <c r="B164" s="2"/>
      <c r="C164" s="17"/>
      <c r="D164" s="17"/>
      <c r="E164" s="17"/>
      <c r="F164" s="17"/>
      <c r="G164" s="18"/>
      <c r="H164" s="18"/>
      <c r="I164" s="18"/>
      <c r="J164" s="18"/>
    </row>
    <row r="165" spans="1:10">
      <c r="A165" s="2"/>
      <c r="B165" s="2"/>
      <c r="C165" s="17"/>
      <c r="D165" s="17"/>
      <c r="E165" s="17"/>
      <c r="F165" s="17"/>
      <c r="G165" s="18"/>
      <c r="H165" s="18"/>
      <c r="I165" s="18"/>
      <c r="J165" s="18"/>
    </row>
    <row r="166" spans="1:10">
      <c r="A166" s="2"/>
      <c r="B166" s="2"/>
      <c r="C166" s="17"/>
      <c r="D166" s="17"/>
      <c r="E166" s="17"/>
      <c r="F166" s="17"/>
      <c r="G166" s="18"/>
      <c r="H166" s="18"/>
      <c r="I166" s="18"/>
      <c r="J166" s="18"/>
    </row>
    <row r="167" spans="1:10">
      <c r="A167" s="2"/>
      <c r="B167" s="2"/>
      <c r="C167" s="17"/>
      <c r="D167" s="17"/>
      <c r="E167" s="17"/>
      <c r="F167" s="17"/>
      <c r="G167" s="18"/>
      <c r="H167" s="18"/>
      <c r="I167" s="18"/>
      <c r="J167" s="18"/>
    </row>
    <row r="168" spans="1:10">
      <c r="A168" s="2"/>
      <c r="B168" s="2"/>
      <c r="C168" s="17"/>
      <c r="D168" s="17"/>
      <c r="E168" s="17"/>
      <c r="F168" s="17"/>
      <c r="G168" s="18"/>
      <c r="H168" s="18"/>
      <c r="I168" s="18"/>
      <c r="J168" s="18"/>
    </row>
    <row r="169" spans="1:10">
      <c r="A169" s="2"/>
      <c r="B169" s="2"/>
      <c r="C169" s="17"/>
      <c r="D169" s="17"/>
      <c r="E169" s="17"/>
      <c r="F169" s="17"/>
      <c r="G169" s="18"/>
      <c r="H169" s="18"/>
      <c r="I169" s="18"/>
      <c r="J169" s="18"/>
    </row>
    <row r="170" spans="1:10">
      <c r="A170" s="2"/>
      <c r="B170" s="2"/>
      <c r="C170" s="17"/>
      <c r="D170" s="17"/>
      <c r="E170" s="17"/>
      <c r="F170" s="17"/>
      <c r="G170" s="18"/>
      <c r="H170" s="18"/>
      <c r="I170" s="18"/>
      <c r="J170" s="18"/>
    </row>
    <row r="171" spans="1:10">
      <c r="A171" s="2"/>
      <c r="B171" s="2"/>
      <c r="C171" s="17"/>
      <c r="D171" s="17"/>
      <c r="E171" s="17"/>
      <c r="F171" s="17"/>
      <c r="G171" s="18"/>
      <c r="H171" s="18"/>
      <c r="I171" s="18"/>
      <c r="J171" s="18"/>
    </row>
    <row r="172" spans="1:10">
      <c r="A172" s="2"/>
      <c r="B172" s="2"/>
      <c r="C172" s="17"/>
      <c r="D172" s="17"/>
      <c r="E172" s="17"/>
      <c r="F172" s="17"/>
      <c r="G172" s="18"/>
      <c r="H172" s="18"/>
      <c r="I172" s="18"/>
      <c r="J172" s="18"/>
    </row>
    <row r="173" spans="1:10">
      <c r="A173" s="2"/>
      <c r="B173" s="2"/>
      <c r="C173" s="17"/>
      <c r="D173" s="17"/>
      <c r="E173" s="17"/>
      <c r="F173" s="17"/>
      <c r="G173" s="18"/>
      <c r="H173" s="18"/>
      <c r="I173" s="18"/>
      <c r="J173" s="18"/>
    </row>
    <row r="174" spans="1:10">
      <c r="A174" s="2"/>
      <c r="B174" s="2"/>
      <c r="C174" s="17"/>
      <c r="D174" s="17"/>
      <c r="E174" s="17"/>
      <c r="F174" s="17"/>
      <c r="G174" s="18"/>
      <c r="H174" s="18"/>
      <c r="I174" s="18"/>
      <c r="J174" s="18"/>
    </row>
    <row r="175" spans="1:10">
      <c r="A175" s="2"/>
      <c r="B175" s="2"/>
      <c r="C175" s="17"/>
      <c r="D175" s="17"/>
      <c r="E175" s="17"/>
      <c r="F175" s="17"/>
      <c r="G175" s="18"/>
      <c r="H175" s="18"/>
      <c r="I175" s="18"/>
      <c r="J175" s="18"/>
    </row>
    <row r="176" spans="1:10">
      <c r="A176" s="2"/>
      <c r="B176" s="2"/>
      <c r="C176" s="17"/>
      <c r="D176" s="17"/>
      <c r="E176" s="17"/>
      <c r="F176" s="17"/>
      <c r="G176" s="18"/>
      <c r="H176" s="18"/>
      <c r="I176" s="18"/>
      <c r="J176" s="18"/>
    </row>
    <row r="177" spans="1:10">
      <c r="A177" s="2"/>
      <c r="B177" s="2"/>
      <c r="C177" s="17"/>
      <c r="D177" s="17"/>
      <c r="E177" s="17"/>
      <c r="F177" s="17"/>
      <c r="G177" s="18"/>
      <c r="H177" s="18"/>
      <c r="I177" s="18"/>
      <c r="J177" s="18"/>
    </row>
    <row r="178" spans="1:10">
      <c r="A178" s="2"/>
      <c r="B178" s="2"/>
      <c r="C178" s="17"/>
      <c r="D178" s="17"/>
      <c r="E178" s="17"/>
      <c r="F178" s="17"/>
      <c r="G178" s="18"/>
      <c r="H178" s="18"/>
      <c r="I178" s="18"/>
      <c r="J178" s="18"/>
    </row>
    <row r="179" spans="1:10">
      <c r="A179" s="2"/>
      <c r="B179" s="2"/>
      <c r="C179" s="17"/>
      <c r="D179" s="17"/>
      <c r="E179" s="17"/>
      <c r="F179" s="17"/>
      <c r="G179" s="18"/>
      <c r="H179" s="18"/>
      <c r="I179" s="18"/>
      <c r="J179" s="18"/>
    </row>
    <row r="180" spans="1:10">
      <c r="A180" s="2"/>
      <c r="B180" s="2"/>
      <c r="C180" s="17"/>
      <c r="D180" s="17"/>
      <c r="E180" s="17"/>
      <c r="F180" s="17"/>
      <c r="G180" s="18"/>
      <c r="H180" s="18"/>
      <c r="I180" s="18"/>
      <c r="J180" s="18"/>
    </row>
    <row r="181" spans="1:10">
      <c r="A181" s="2"/>
      <c r="B181" s="2"/>
      <c r="C181" s="17"/>
      <c r="D181" s="17"/>
      <c r="E181" s="17"/>
      <c r="F181" s="17"/>
      <c r="G181" s="18"/>
      <c r="H181" s="18"/>
      <c r="I181" s="18"/>
      <c r="J181" s="18"/>
    </row>
    <row r="182" spans="1:10">
      <c r="A182" s="2"/>
      <c r="B182" s="2"/>
      <c r="C182" s="17"/>
      <c r="D182" s="17"/>
      <c r="E182" s="17"/>
      <c r="F182" s="17"/>
      <c r="G182" s="18"/>
      <c r="H182" s="18"/>
      <c r="I182" s="18"/>
      <c r="J182" s="18"/>
    </row>
    <row r="183" spans="1:10">
      <c r="A183" s="2"/>
      <c r="B183" s="2"/>
      <c r="C183" s="17"/>
      <c r="D183" s="17"/>
      <c r="E183" s="17"/>
      <c r="F183" s="17"/>
      <c r="G183" s="18"/>
      <c r="H183" s="18"/>
      <c r="I183" s="18"/>
      <c r="J183" s="18"/>
    </row>
    <row r="184" spans="1:10">
      <c r="A184" s="2"/>
      <c r="B184" s="2"/>
      <c r="C184" s="17"/>
      <c r="D184" s="17"/>
      <c r="E184" s="17"/>
      <c r="F184" s="17"/>
      <c r="G184" s="18"/>
      <c r="H184" s="18"/>
      <c r="I184" s="18"/>
      <c r="J184" s="18"/>
    </row>
    <row r="185" spans="1:10">
      <c r="A185" s="2"/>
      <c r="B185" s="2"/>
      <c r="C185" s="17"/>
      <c r="D185" s="17"/>
      <c r="E185" s="17"/>
      <c r="F185" s="17"/>
      <c r="G185" s="18"/>
      <c r="H185" s="18"/>
      <c r="I185" s="18"/>
      <c r="J185" s="18"/>
    </row>
    <row r="186" spans="1:10">
      <c r="A186" s="2"/>
      <c r="B186" s="2"/>
      <c r="C186" s="17"/>
      <c r="D186" s="17"/>
      <c r="E186" s="17"/>
      <c r="F186" s="17"/>
      <c r="G186" s="18"/>
      <c r="H186" s="18"/>
      <c r="I186" s="18"/>
      <c r="J186" s="18"/>
    </row>
    <row r="187" spans="1:10">
      <c r="A187" s="2"/>
      <c r="B187" s="2"/>
      <c r="C187" s="17"/>
      <c r="D187" s="17"/>
      <c r="E187" s="17"/>
      <c r="F187" s="17"/>
      <c r="G187" s="18"/>
      <c r="H187" s="18"/>
      <c r="I187" s="18"/>
      <c r="J187" s="18"/>
    </row>
    <row r="188" spans="1:10">
      <c r="A188" s="2"/>
      <c r="B188" s="2"/>
      <c r="C188" s="17"/>
      <c r="D188" s="17"/>
      <c r="E188" s="17"/>
      <c r="F188" s="17"/>
      <c r="G188" s="18"/>
      <c r="H188" s="18"/>
      <c r="I188" s="18"/>
      <c r="J188" s="18"/>
    </row>
    <row r="189" spans="1:10">
      <c r="A189" s="2"/>
      <c r="B189" s="2"/>
      <c r="C189" s="17"/>
      <c r="D189" s="17"/>
      <c r="E189" s="17"/>
      <c r="F189" s="17"/>
      <c r="G189" s="18"/>
      <c r="H189" s="18"/>
      <c r="I189" s="18"/>
      <c r="J189" s="18"/>
    </row>
    <row r="190" spans="1:10">
      <c r="A190" s="2"/>
      <c r="B190" s="2"/>
      <c r="C190" s="17"/>
      <c r="D190" s="17"/>
      <c r="E190" s="17"/>
      <c r="F190" s="17"/>
      <c r="G190" s="18"/>
      <c r="H190" s="18"/>
      <c r="I190" s="18"/>
      <c r="J190" s="18"/>
    </row>
    <row r="191" spans="1:10">
      <c r="A191" s="2"/>
      <c r="B191" s="2"/>
      <c r="C191" s="17"/>
      <c r="D191" s="17"/>
      <c r="E191" s="17"/>
      <c r="F191" s="17"/>
      <c r="G191" s="18"/>
      <c r="H191" s="18"/>
      <c r="I191" s="18"/>
      <c r="J191" s="18"/>
    </row>
    <row r="192" spans="1:10">
      <c r="A192" s="2"/>
      <c r="B192" s="2"/>
      <c r="C192" s="17"/>
      <c r="D192" s="17"/>
      <c r="E192" s="17"/>
      <c r="F192" s="17"/>
      <c r="G192" s="18"/>
      <c r="H192" s="18"/>
      <c r="I192" s="18"/>
      <c r="J192" s="18"/>
    </row>
    <row r="193" spans="1:10">
      <c r="A193" s="2"/>
      <c r="B193" s="2"/>
      <c r="C193" s="17"/>
      <c r="D193" s="17"/>
      <c r="E193" s="17"/>
      <c r="F193" s="17"/>
      <c r="G193" s="18"/>
      <c r="H193" s="18"/>
      <c r="I193" s="18"/>
      <c r="J193" s="18"/>
    </row>
    <row r="194" spans="1:10">
      <c r="A194" s="2"/>
      <c r="B194" s="2"/>
      <c r="C194" s="17"/>
      <c r="D194" s="17"/>
      <c r="E194" s="17"/>
      <c r="F194" s="17"/>
      <c r="G194" s="18"/>
      <c r="H194" s="18"/>
      <c r="I194" s="18"/>
      <c r="J194" s="18"/>
    </row>
    <row r="195" spans="1:10">
      <c r="A195" s="2"/>
      <c r="B195" s="2"/>
      <c r="C195" s="17"/>
      <c r="D195" s="17"/>
      <c r="E195" s="17"/>
      <c r="F195" s="17"/>
      <c r="G195" s="18"/>
      <c r="H195" s="18"/>
      <c r="I195" s="18"/>
      <c r="J195" s="18"/>
    </row>
    <row r="196" spans="1:10">
      <c r="A196" s="2"/>
      <c r="B196" s="2"/>
      <c r="C196" s="17"/>
      <c r="D196" s="17"/>
      <c r="E196" s="17"/>
      <c r="F196" s="17"/>
      <c r="G196" s="18"/>
      <c r="H196" s="18"/>
      <c r="I196" s="18"/>
      <c r="J196" s="18"/>
    </row>
    <row r="197" spans="1:10">
      <c r="A197" s="2"/>
      <c r="B197" s="2"/>
      <c r="C197" s="17"/>
      <c r="D197" s="17"/>
      <c r="E197" s="17"/>
      <c r="F197" s="17"/>
      <c r="G197" s="18"/>
      <c r="H197" s="18"/>
      <c r="I197" s="18"/>
      <c r="J197" s="18"/>
    </row>
    <row r="198" spans="1:10">
      <c r="A198" s="2"/>
      <c r="B198" s="2"/>
      <c r="C198" s="17"/>
      <c r="D198" s="17"/>
      <c r="E198" s="17"/>
      <c r="F198" s="17"/>
      <c r="G198" s="18"/>
      <c r="H198" s="18"/>
      <c r="I198" s="18"/>
      <c r="J198" s="18"/>
    </row>
    <row r="199" spans="1:10">
      <c r="A199" s="2"/>
      <c r="B199" s="2"/>
      <c r="C199" s="17"/>
      <c r="D199" s="17"/>
      <c r="E199" s="17"/>
      <c r="F199" s="17"/>
      <c r="G199" s="18"/>
      <c r="H199" s="18"/>
      <c r="I199" s="18"/>
      <c r="J199" s="18"/>
    </row>
    <row r="200" spans="1:10">
      <c r="A200" s="2"/>
      <c r="B200" s="2"/>
      <c r="C200" s="17"/>
      <c r="D200" s="17"/>
      <c r="E200" s="17"/>
      <c r="F200" s="17"/>
      <c r="G200" s="18"/>
      <c r="H200" s="18"/>
      <c r="I200" s="18"/>
      <c r="J200" s="18"/>
    </row>
    <row r="201" spans="1:10">
      <c r="A201" s="2"/>
      <c r="B201" s="2"/>
      <c r="C201" s="17"/>
      <c r="D201" s="17"/>
      <c r="E201" s="17"/>
      <c r="F201" s="17"/>
      <c r="G201" s="18"/>
      <c r="H201" s="18"/>
      <c r="I201" s="18"/>
      <c r="J201" s="18"/>
    </row>
    <row r="202" spans="1:10">
      <c r="A202" s="2"/>
      <c r="B202" s="2"/>
      <c r="C202" s="17"/>
      <c r="D202" s="17"/>
      <c r="E202" s="17"/>
      <c r="F202" s="17"/>
      <c r="G202" s="18"/>
      <c r="H202" s="18"/>
      <c r="I202" s="18"/>
      <c r="J202" s="18"/>
    </row>
    <row r="203" spans="1:10">
      <c r="A203" s="2"/>
      <c r="B203" s="2"/>
      <c r="C203" s="17"/>
      <c r="D203" s="17"/>
      <c r="E203" s="17"/>
      <c r="F203" s="17"/>
      <c r="G203" s="18"/>
      <c r="H203" s="18"/>
      <c r="I203" s="18"/>
      <c r="J203" s="18"/>
    </row>
    <row r="204" spans="1:10">
      <c r="A204" s="2"/>
      <c r="B204" s="2"/>
      <c r="C204" s="17"/>
      <c r="D204" s="17"/>
      <c r="E204" s="17"/>
      <c r="F204" s="17"/>
      <c r="G204" s="18"/>
      <c r="H204" s="18"/>
      <c r="I204" s="18"/>
      <c r="J204" s="18"/>
    </row>
    <row r="205" spans="1:10">
      <c r="A205" s="2"/>
      <c r="B205" s="2"/>
      <c r="C205" s="17"/>
      <c r="D205" s="17"/>
      <c r="E205" s="17"/>
      <c r="F205" s="17"/>
      <c r="G205" s="18"/>
      <c r="H205" s="18"/>
      <c r="I205" s="18"/>
      <c r="J205" s="18"/>
    </row>
    <row r="206" spans="1:10">
      <c r="A206" s="2"/>
      <c r="B206" s="2"/>
      <c r="C206" s="17"/>
      <c r="D206" s="17"/>
      <c r="E206" s="17"/>
      <c r="F206" s="17"/>
      <c r="G206" s="18"/>
      <c r="H206" s="18"/>
      <c r="I206" s="18"/>
      <c r="J206" s="18"/>
    </row>
    <row r="207" spans="1:10">
      <c r="A207" s="2"/>
      <c r="B207" s="2"/>
      <c r="C207" s="17"/>
      <c r="D207" s="17"/>
      <c r="E207" s="17"/>
      <c r="F207" s="17"/>
      <c r="G207" s="18"/>
      <c r="H207" s="18"/>
      <c r="I207" s="18"/>
      <c r="J207" s="18"/>
    </row>
    <row r="208" spans="1:10">
      <c r="A208" s="2"/>
      <c r="B208" s="2"/>
      <c r="C208" s="17"/>
      <c r="D208" s="17"/>
      <c r="E208" s="17"/>
      <c r="F208" s="17"/>
      <c r="G208" s="18"/>
      <c r="H208" s="18"/>
      <c r="I208" s="18"/>
      <c r="J208" s="18"/>
    </row>
    <row r="209" spans="1:10">
      <c r="A209" s="2"/>
      <c r="B209" s="2"/>
      <c r="C209" s="17"/>
      <c r="D209" s="17"/>
      <c r="E209" s="17"/>
      <c r="F209" s="17"/>
      <c r="G209" s="18"/>
      <c r="H209" s="18"/>
      <c r="I209" s="18"/>
      <c r="J209" s="18"/>
    </row>
    <row r="210" spans="1:10">
      <c r="A210" s="2"/>
      <c r="B210" s="2"/>
      <c r="C210" s="17"/>
      <c r="D210" s="17"/>
      <c r="E210" s="17"/>
      <c r="F210" s="17"/>
      <c r="G210" s="18"/>
      <c r="H210" s="18"/>
      <c r="I210" s="18"/>
      <c r="J210" s="18"/>
    </row>
    <row r="211" spans="1:10">
      <c r="A211" s="2"/>
      <c r="B211" s="2"/>
      <c r="C211" s="17"/>
      <c r="D211" s="17"/>
      <c r="E211" s="17"/>
      <c r="F211" s="17"/>
      <c r="G211" s="18"/>
      <c r="H211" s="18"/>
      <c r="I211" s="18"/>
      <c r="J211" s="18"/>
    </row>
    <row r="212" spans="1:10">
      <c r="A212" s="2"/>
      <c r="B212" s="2"/>
      <c r="C212" s="17"/>
      <c r="D212" s="17"/>
      <c r="E212" s="17"/>
      <c r="F212" s="17"/>
      <c r="G212" s="18"/>
      <c r="H212" s="18"/>
      <c r="I212" s="18"/>
      <c r="J212" s="18"/>
    </row>
    <row r="213" spans="1:10">
      <c r="A213" s="2"/>
      <c r="B213" s="2"/>
      <c r="C213" s="17"/>
      <c r="D213" s="17"/>
      <c r="E213" s="17"/>
      <c r="F213" s="17"/>
      <c r="G213" s="18"/>
      <c r="H213" s="18"/>
      <c r="I213" s="18"/>
      <c r="J213" s="18"/>
    </row>
    <row r="214" spans="1:10">
      <c r="A214" s="2"/>
      <c r="B214" s="2"/>
      <c r="C214" s="17"/>
      <c r="D214" s="17"/>
      <c r="E214" s="17"/>
      <c r="F214" s="17"/>
      <c r="G214" s="18"/>
      <c r="H214" s="18"/>
      <c r="I214" s="18"/>
      <c r="J214" s="18"/>
    </row>
    <row r="215" spans="1:10">
      <c r="A215" s="2"/>
      <c r="B215" s="2"/>
      <c r="C215" s="17"/>
      <c r="D215" s="17"/>
      <c r="E215" s="17"/>
      <c r="F215" s="17"/>
      <c r="G215" s="18"/>
      <c r="H215" s="18"/>
      <c r="I215" s="18"/>
      <c r="J215" s="18"/>
    </row>
    <row r="216" spans="1:10">
      <c r="A216" s="2"/>
      <c r="B216" s="2"/>
      <c r="C216" s="17"/>
      <c r="D216" s="17"/>
      <c r="E216" s="17"/>
      <c r="F216" s="17"/>
      <c r="G216" s="18"/>
      <c r="H216" s="18"/>
      <c r="I216" s="18"/>
      <c r="J216" s="18"/>
    </row>
    <row r="217" spans="1:10">
      <c r="A217" s="2"/>
      <c r="B217" s="2"/>
      <c r="C217" s="17"/>
      <c r="D217" s="17"/>
      <c r="E217" s="17"/>
      <c r="F217" s="17"/>
      <c r="G217" s="18"/>
      <c r="H217" s="18"/>
      <c r="I217" s="18"/>
      <c r="J217" s="18"/>
    </row>
    <row r="218" spans="1:10">
      <c r="A218" s="2"/>
      <c r="B218" s="2"/>
      <c r="C218" s="17"/>
      <c r="D218" s="17"/>
      <c r="E218" s="17"/>
      <c r="F218" s="17"/>
      <c r="G218" s="18"/>
      <c r="H218" s="18"/>
      <c r="I218" s="18"/>
      <c r="J218" s="18"/>
    </row>
    <row r="219" spans="1:10">
      <c r="A219" s="2"/>
      <c r="B219" s="2"/>
      <c r="C219" s="17"/>
      <c r="D219" s="17"/>
      <c r="E219" s="17"/>
      <c r="F219" s="17"/>
      <c r="G219" s="18"/>
      <c r="H219" s="18"/>
      <c r="I219" s="18"/>
      <c r="J219" s="18"/>
    </row>
    <row r="220" spans="1:10">
      <c r="A220" s="2"/>
      <c r="B220" s="2"/>
      <c r="C220" s="17"/>
      <c r="D220" s="17"/>
      <c r="E220" s="17"/>
      <c r="F220" s="17"/>
      <c r="G220" s="18"/>
      <c r="H220" s="18"/>
      <c r="I220" s="18"/>
      <c r="J220" s="18"/>
    </row>
    <row r="221" spans="1:10">
      <c r="A221" s="2"/>
      <c r="B221" s="2"/>
      <c r="C221" s="17"/>
      <c r="D221" s="17"/>
      <c r="E221" s="17"/>
      <c r="F221" s="17"/>
      <c r="G221" s="18"/>
      <c r="H221" s="18"/>
      <c r="I221" s="18"/>
      <c r="J221" s="18"/>
    </row>
    <row r="222" spans="1:10">
      <c r="A222" s="2"/>
      <c r="B222" s="2"/>
      <c r="C222" s="17"/>
      <c r="D222" s="17"/>
      <c r="E222" s="17"/>
      <c r="F222" s="17"/>
      <c r="G222" s="18"/>
      <c r="H222" s="18"/>
      <c r="I222" s="18"/>
      <c r="J222" s="18"/>
    </row>
    <row r="223" spans="1:10">
      <c r="A223" s="2"/>
      <c r="B223" s="2"/>
      <c r="C223" s="17"/>
      <c r="D223" s="17"/>
      <c r="E223" s="17"/>
      <c r="F223" s="17"/>
      <c r="G223" s="18"/>
      <c r="H223" s="18"/>
      <c r="I223" s="18"/>
      <c r="J223" s="18"/>
    </row>
    <row r="224" spans="1:10">
      <c r="A224" s="2"/>
      <c r="B224" s="2"/>
      <c r="C224" s="17"/>
      <c r="D224" s="17"/>
      <c r="E224" s="17"/>
      <c r="F224" s="17"/>
      <c r="G224" s="18"/>
      <c r="H224" s="18"/>
      <c r="I224" s="18"/>
      <c r="J224" s="18"/>
    </row>
    <row r="225" spans="1:10">
      <c r="A225" s="2"/>
      <c r="B225" s="2"/>
      <c r="C225" s="17"/>
      <c r="D225" s="17"/>
      <c r="E225" s="17"/>
      <c r="F225" s="17"/>
      <c r="G225" s="18"/>
      <c r="H225" s="18"/>
      <c r="I225" s="18"/>
      <c r="J225" s="18"/>
    </row>
    <row r="226" spans="1:10">
      <c r="A226" s="2"/>
      <c r="B226" s="2"/>
      <c r="C226" s="17"/>
      <c r="D226" s="17"/>
      <c r="E226" s="17"/>
      <c r="F226" s="17"/>
      <c r="G226" s="18"/>
      <c r="H226" s="18"/>
      <c r="I226" s="18"/>
      <c r="J226" s="18"/>
    </row>
    <row r="227" spans="1:10">
      <c r="A227" s="2"/>
      <c r="B227" s="2"/>
      <c r="C227" s="17"/>
      <c r="D227" s="17"/>
      <c r="E227" s="17"/>
      <c r="F227" s="17"/>
      <c r="G227" s="18"/>
      <c r="H227" s="18"/>
      <c r="I227" s="18"/>
      <c r="J227" s="18"/>
    </row>
    <row r="228" spans="1:10">
      <c r="A228" s="2"/>
      <c r="B228" s="2"/>
      <c r="C228" s="17"/>
      <c r="D228" s="17"/>
      <c r="E228" s="17"/>
      <c r="F228" s="17"/>
      <c r="G228" s="18"/>
      <c r="H228" s="18"/>
      <c r="I228" s="18"/>
      <c r="J228" s="18"/>
    </row>
    <row r="229" spans="1:10">
      <c r="A229" s="2"/>
      <c r="B229" s="2"/>
      <c r="C229" s="17"/>
      <c r="D229" s="17"/>
      <c r="E229" s="17"/>
      <c r="F229" s="17"/>
      <c r="G229" s="18"/>
      <c r="H229" s="18"/>
      <c r="I229" s="18"/>
      <c r="J229" s="18"/>
    </row>
    <row r="230" spans="1:10">
      <c r="A230" s="2"/>
      <c r="B230" s="2"/>
      <c r="C230" s="17"/>
      <c r="D230" s="17"/>
      <c r="E230" s="17"/>
      <c r="F230" s="17"/>
      <c r="G230" s="18"/>
      <c r="H230" s="18"/>
      <c r="I230" s="18"/>
      <c r="J230" s="18"/>
    </row>
    <row r="231" spans="1:10">
      <c r="A231" s="2"/>
      <c r="B231" s="2"/>
      <c r="C231" s="17"/>
      <c r="D231" s="17"/>
      <c r="E231" s="17"/>
      <c r="F231" s="17"/>
      <c r="G231" s="18"/>
      <c r="H231" s="18"/>
      <c r="I231" s="18"/>
      <c r="J231" s="18"/>
    </row>
    <row r="232" spans="1:10">
      <c r="A232" s="2"/>
      <c r="B232" s="2"/>
      <c r="C232" s="17"/>
      <c r="D232" s="17"/>
      <c r="E232" s="17"/>
      <c r="F232" s="17"/>
      <c r="G232" s="18"/>
      <c r="H232" s="18"/>
      <c r="I232" s="18"/>
      <c r="J232" s="18"/>
    </row>
    <row r="233" spans="1:10">
      <c r="A233" s="2"/>
      <c r="B233" s="2"/>
      <c r="C233" s="17"/>
      <c r="D233" s="17"/>
      <c r="E233" s="17"/>
      <c r="F233" s="17"/>
      <c r="G233" s="18"/>
      <c r="H233" s="18"/>
      <c r="I233" s="18"/>
      <c r="J233" s="18"/>
    </row>
    <row r="234" spans="1:10">
      <c r="A234" s="2"/>
      <c r="B234" s="2"/>
      <c r="C234" s="17"/>
      <c r="D234" s="17"/>
      <c r="E234" s="17"/>
      <c r="F234" s="17"/>
      <c r="G234" s="18"/>
      <c r="H234" s="18"/>
      <c r="I234" s="18"/>
      <c r="J234" s="18"/>
    </row>
    <row r="235" spans="1:10">
      <c r="A235" s="2"/>
      <c r="B235" s="2"/>
      <c r="C235" s="17"/>
      <c r="D235" s="17"/>
      <c r="E235" s="17"/>
      <c r="F235" s="17"/>
      <c r="G235" s="18"/>
      <c r="H235" s="18"/>
      <c r="I235" s="18"/>
      <c r="J235" s="18"/>
    </row>
    <row r="236" spans="1:10">
      <c r="A236" s="2"/>
      <c r="B236" s="2"/>
      <c r="C236" s="17"/>
      <c r="D236" s="17"/>
      <c r="E236" s="17"/>
      <c r="F236" s="17"/>
      <c r="G236" s="18"/>
      <c r="H236" s="18"/>
      <c r="I236" s="18"/>
      <c r="J236" s="18"/>
    </row>
    <row r="237" spans="1:10">
      <c r="A237" s="2"/>
      <c r="B237" s="2"/>
      <c r="C237" s="17"/>
      <c r="D237" s="17"/>
      <c r="E237" s="17"/>
      <c r="F237" s="17"/>
      <c r="G237" s="18"/>
      <c r="H237" s="18"/>
      <c r="I237" s="18"/>
      <c r="J237" s="18"/>
    </row>
    <row r="238" spans="1:10">
      <c r="A238" s="2"/>
      <c r="B238" s="2"/>
      <c r="C238" s="17"/>
      <c r="D238" s="17"/>
      <c r="E238" s="17"/>
      <c r="F238" s="17"/>
      <c r="G238" s="18"/>
      <c r="H238" s="18"/>
      <c r="I238" s="18"/>
      <c r="J238" s="18"/>
    </row>
    <row r="239" spans="1:10">
      <c r="A239" s="2"/>
      <c r="B239" s="2"/>
      <c r="C239" s="17"/>
      <c r="D239" s="17"/>
      <c r="E239" s="17"/>
      <c r="F239" s="17"/>
      <c r="G239" s="18"/>
      <c r="H239" s="18"/>
      <c r="I239" s="18"/>
      <c r="J239" s="18"/>
    </row>
    <row r="240" spans="1:10">
      <c r="A240" s="2"/>
      <c r="B240" s="2"/>
      <c r="C240" s="17"/>
      <c r="D240" s="17"/>
      <c r="E240" s="17"/>
      <c r="F240" s="17"/>
      <c r="G240" s="18"/>
      <c r="H240" s="18"/>
      <c r="I240" s="18"/>
      <c r="J240" s="18"/>
    </row>
    <row r="241" spans="1:10">
      <c r="A241" s="2"/>
      <c r="B241" s="2"/>
      <c r="C241" s="17"/>
      <c r="D241" s="17"/>
      <c r="E241" s="17"/>
      <c r="F241" s="17"/>
      <c r="G241" s="18"/>
      <c r="H241" s="18"/>
      <c r="I241" s="18"/>
      <c r="J241" s="18"/>
    </row>
    <row r="242" spans="1:10">
      <c r="A242" s="2"/>
      <c r="B242" s="2"/>
      <c r="C242" s="17"/>
      <c r="D242" s="17"/>
      <c r="E242" s="17"/>
      <c r="F242" s="17"/>
      <c r="G242" s="18"/>
      <c r="H242" s="18"/>
      <c r="I242" s="18"/>
      <c r="J242" s="18"/>
    </row>
    <row r="243" spans="1:10">
      <c r="A243" s="2"/>
      <c r="B243" s="2"/>
      <c r="C243" s="17"/>
      <c r="D243" s="17"/>
      <c r="E243" s="17"/>
      <c r="F243" s="17"/>
      <c r="G243" s="18"/>
      <c r="H243" s="18"/>
      <c r="I243" s="18"/>
      <c r="J243" s="18"/>
    </row>
    <row r="244" spans="1:10">
      <c r="A244" s="2"/>
      <c r="B244" s="2"/>
      <c r="C244" s="17"/>
      <c r="D244" s="17"/>
      <c r="E244" s="17"/>
      <c r="F244" s="17"/>
      <c r="G244" s="18"/>
      <c r="H244" s="18"/>
      <c r="I244" s="18"/>
      <c r="J244" s="18"/>
    </row>
    <row r="245" spans="1:10">
      <c r="A245" s="2"/>
      <c r="B245" s="2"/>
      <c r="C245" s="17"/>
      <c r="D245" s="17"/>
      <c r="E245" s="17"/>
      <c r="F245" s="17"/>
      <c r="G245" s="18"/>
      <c r="H245" s="18"/>
      <c r="I245" s="18"/>
      <c r="J245" s="18"/>
    </row>
    <row r="246" spans="1:10">
      <c r="A246" s="2"/>
      <c r="B246" s="2"/>
      <c r="C246" s="17"/>
      <c r="D246" s="17"/>
      <c r="E246" s="17"/>
      <c r="F246" s="17"/>
      <c r="G246" s="18"/>
      <c r="H246" s="18"/>
      <c r="I246" s="18"/>
      <c r="J246" s="18"/>
    </row>
    <row r="247" spans="1:10">
      <c r="A247" s="2"/>
      <c r="B247" s="2"/>
      <c r="C247" s="17"/>
      <c r="D247" s="17"/>
      <c r="E247" s="17"/>
      <c r="F247" s="17"/>
      <c r="G247" s="18"/>
      <c r="H247" s="18"/>
      <c r="I247" s="18"/>
      <c r="J247" s="18"/>
    </row>
    <row r="248" spans="1:10">
      <c r="A248" s="2"/>
      <c r="B248" s="2"/>
      <c r="C248" s="17"/>
      <c r="D248" s="17"/>
      <c r="E248" s="17"/>
      <c r="F248" s="17"/>
      <c r="G248" s="18"/>
      <c r="H248" s="18"/>
      <c r="I248" s="18"/>
      <c r="J248" s="18"/>
    </row>
    <row r="249" spans="1:10">
      <c r="A249" s="2"/>
      <c r="B249" s="2"/>
      <c r="C249" s="17"/>
      <c r="D249" s="17"/>
      <c r="E249" s="17"/>
      <c r="F249" s="17"/>
      <c r="G249" s="18"/>
      <c r="H249" s="18"/>
      <c r="I249" s="18"/>
      <c r="J249" s="18"/>
    </row>
    <row r="250" spans="1:10">
      <c r="A250" s="2"/>
      <c r="B250" s="2"/>
      <c r="C250" s="17"/>
      <c r="D250" s="17"/>
      <c r="E250" s="17"/>
      <c r="F250" s="17"/>
      <c r="G250" s="18"/>
      <c r="H250" s="18"/>
      <c r="I250" s="18"/>
      <c r="J250" s="18"/>
    </row>
    <row r="251" spans="1:10">
      <c r="A251" s="2"/>
      <c r="B251" s="2"/>
      <c r="C251" s="17"/>
      <c r="D251" s="17"/>
      <c r="E251" s="17"/>
      <c r="F251" s="17"/>
      <c r="G251" s="18"/>
      <c r="H251" s="18"/>
      <c r="I251" s="18"/>
      <c r="J251" s="18"/>
    </row>
    <row r="252" spans="1:10">
      <c r="A252" s="2"/>
      <c r="B252" s="2"/>
      <c r="C252" s="17"/>
      <c r="D252" s="17"/>
      <c r="E252" s="17"/>
      <c r="F252" s="17"/>
      <c r="G252" s="18"/>
      <c r="H252" s="18"/>
      <c r="I252" s="18"/>
      <c r="J252" s="18"/>
    </row>
    <row r="253" spans="1:10">
      <c r="A253" s="2"/>
      <c r="B253" s="2"/>
      <c r="C253" s="17"/>
      <c r="D253" s="17"/>
      <c r="E253" s="17"/>
      <c r="F253" s="17"/>
      <c r="G253" s="18"/>
      <c r="H253" s="18"/>
      <c r="I253" s="18"/>
      <c r="J253" s="18"/>
    </row>
    <row r="254" spans="1:10">
      <c r="A254" s="2"/>
      <c r="B254" s="2"/>
      <c r="C254" s="17"/>
      <c r="D254" s="17"/>
      <c r="E254" s="17"/>
      <c r="F254" s="17"/>
      <c r="G254" s="18"/>
      <c r="H254" s="18"/>
      <c r="I254" s="18"/>
      <c r="J254" s="18"/>
    </row>
    <row r="255" spans="1:10">
      <c r="A255" s="2"/>
      <c r="B255" s="2"/>
      <c r="C255" s="17"/>
      <c r="D255" s="17"/>
      <c r="E255" s="17"/>
      <c r="F255" s="17"/>
      <c r="G255" s="18"/>
      <c r="H255" s="18"/>
      <c r="I255" s="18"/>
      <c r="J255" s="18"/>
    </row>
    <row r="256" spans="1:10">
      <c r="A256" s="2"/>
      <c r="B256" s="2"/>
      <c r="C256" s="17"/>
      <c r="D256" s="17"/>
      <c r="E256" s="17"/>
      <c r="F256" s="17"/>
      <c r="G256" s="18"/>
      <c r="H256" s="18"/>
      <c r="I256" s="18"/>
      <c r="J256" s="18"/>
    </row>
    <row r="257" spans="1:10">
      <c r="A257" s="2"/>
      <c r="B257" s="2"/>
      <c r="C257" s="17"/>
      <c r="D257" s="17"/>
      <c r="E257" s="17"/>
      <c r="F257" s="17"/>
      <c r="G257" s="18"/>
      <c r="H257" s="18"/>
      <c r="I257" s="18"/>
      <c r="J257" s="18"/>
    </row>
    <row r="258" spans="1:10">
      <c r="A258" s="2"/>
      <c r="B258" s="2"/>
      <c r="C258" s="17"/>
      <c r="D258" s="17"/>
      <c r="E258" s="17"/>
      <c r="F258" s="17"/>
      <c r="G258" s="18"/>
      <c r="H258" s="18"/>
      <c r="I258" s="18"/>
      <c r="J258" s="18"/>
    </row>
    <row r="259" spans="1:10">
      <c r="A259" s="2"/>
      <c r="B259" s="2"/>
      <c r="C259" s="17"/>
      <c r="D259" s="17"/>
      <c r="E259" s="17"/>
      <c r="F259" s="17"/>
      <c r="G259" s="18"/>
      <c r="H259" s="18"/>
      <c r="I259" s="18"/>
      <c r="J259" s="18"/>
    </row>
    <row r="260" spans="1:10">
      <c r="A260" s="2"/>
      <c r="B260" s="2"/>
      <c r="C260" s="17"/>
      <c r="D260" s="17"/>
      <c r="E260" s="17"/>
      <c r="F260" s="17"/>
      <c r="G260" s="18"/>
      <c r="H260" s="18"/>
      <c r="I260" s="18"/>
      <c r="J260" s="18"/>
    </row>
    <row r="261" spans="1:10">
      <c r="A261" s="2"/>
      <c r="B261" s="2"/>
      <c r="C261" s="17"/>
      <c r="D261" s="17"/>
      <c r="E261" s="17"/>
      <c r="F261" s="17"/>
      <c r="G261" s="18"/>
      <c r="H261" s="18"/>
      <c r="I261" s="18"/>
      <c r="J261" s="18"/>
    </row>
    <row r="262" spans="1:10">
      <c r="A262" s="2"/>
      <c r="B262" s="2"/>
      <c r="C262" s="17"/>
      <c r="D262" s="17"/>
      <c r="E262" s="17"/>
      <c r="F262" s="17"/>
      <c r="G262" s="18"/>
      <c r="H262" s="18"/>
      <c r="I262" s="18"/>
      <c r="J262" s="18"/>
    </row>
    <row r="263" spans="1:10">
      <c r="A263" s="2"/>
      <c r="B263" s="2"/>
      <c r="C263" s="17"/>
      <c r="D263" s="17"/>
      <c r="E263" s="17"/>
      <c r="F263" s="17"/>
      <c r="G263" s="18"/>
      <c r="H263" s="18"/>
      <c r="I263" s="18"/>
      <c r="J263" s="18"/>
    </row>
    <row r="264" spans="1:10">
      <c r="A264" s="2"/>
      <c r="B264" s="2"/>
      <c r="C264" s="17"/>
      <c r="D264" s="17"/>
      <c r="E264" s="17"/>
      <c r="F264" s="17"/>
      <c r="G264" s="18"/>
      <c r="H264" s="18"/>
      <c r="I264" s="18"/>
      <c r="J264" s="18"/>
    </row>
    <row r="265" spans="1:10">
      <c r="A265" s="2"/>
      <c r="B265" s="2"/>
      <c r="C265" s="17"/>
      <c r="D265" s="17"/>
      <c r="E265" s="17"/>
      <c r="F265" s="17"/>
      <c r="G265" s="18"/>
      <c r="H265" s="18"/>
      <c r="I265" s="18"/>
      <c r="J265" s="18"/>
    </row>
    <row r="266" spans="1:10">
      <c r="A266" s="2"/>
      <c r="B266" s="2"/>
      <c r="C266" s="17"/>
      <c r="D266" s="17"/>
      <c r="E266" s="17"/>
      <c r="F266" s="17"/>
      <c r="G266" s="18"/>
      <c r="H266" s="18"/>
      <c r="I266" s="18"/>
      <c r="J266" s="18"/>
    </row>
    <row r="267" spans="1:10">
      <c r="A267" s="2"/>
      <c r="B267" s="2"/>
      <c r="C267" s="17"/>
      <c r="D267" s="17"/>
      <c r="E267" s="17"/>
      <c r="F267" s="17"/>
      <c r="G267" s="18"/>
      <c r="H267" s="18"/>
      <c r="I267" s="18"/>
      <c r="J267" s="18"/>
    </row>
    <row r="268" spans="1:10">
      <c r="A268" s="2"/>
      <c r="B268" s="2"/>
      <c r="C268" s="17"/>
      <c r="D268" s="17"/>
      <c r="E268" s="17"/>
      <c r="F268" s="17"/>
      <c r="G268" s="18"/>
      <c r="H268" s="18"/>
      <c r="I268" s="18"/>
      <c r="J268" s="18"/>
    </row>
    <row r="269" spans="1:10">
      <c r="A269" s="2"/>
      <c r="B269" s="2"/>
      <c r="C269" s="17"/>
      <c r="D269" s="17"/>
      <c r="E269" s="17"/>
      <c r="F269" s="17"/>
      <c r="G269" s="18"/>
      <c r="H269" s="18"/>
      <c r="I269" s="18"/>
      <c r="J269" s="18"/>
    </row>
    <row r="270" spans="1:10">
      <c r="A270" s="2"/>
      <c r="B270" s="2"/>
      <c r="C270" s="17"/>
      <c r="D270" s="17"/>
      <c r="E270" s="17"/>
      <c r="F270" s="17"/>
      <c r="G270" s="18"/>
      <c r="H270" s="18"/>
      <c r="I270" s="18"/>
      <c r="J270" s="18"/>
    </row>
    <row r="271" spans="1:10">
      <c r="A271" s="2"/>
      <c r="B271" s="2"/>
      <c r="C271" s="17"/>
      <c r="D271" s="17"/>
      <c r="E271" s="17"/>
      <c r="F271" s="17"/>
      <c r="G271" s="18"/>
      <c r="H271" s="18"/>
      <c r="I271" s="18"/>
      <c r="J271" s="18"/>
    </row>
    <row r="272" spans="1:10">
      <c r="A272" s="2"/>
      <c r="B272" s="2"/>
      <c r="C272" s="17"/>
      <c r="D272" s="17"/>
      <c r="E272" s="17"/>
      <c r="F272" s="17"/>
      <c r="G272" s="18"/>
      <c r="H272" s="18"/>
      <c r="I272" s="18"/>
      <c r="J272" s="18"/>
    </row>
    <row r="273" spans="1:10">
      <c r="A273" s="2"/>
      <c r="B273" s="2"/>
      <c r="C273" s="17"/>
      <c r="D273" s="17"/>
      <c r="E273" s="17"/>
      <c r="F273" s="17"/>
      <c r="G273" s="18"/>
      <c r="H273" s="18"/>
      <c r="I273" s="18"/>
      <c r="J273" s="18"/>
    </row>
    <row r="274" spans="1:10">
      <c r="A274" s="2"/>
      <c r="B274" s="2"/>
      <c r="C274" s="17"/>
      <c r="D274" s="17"/>
      <c r="E274" s="17"/>
      <c r="F274" s="17"/>
      <c r="G274" s="18"/>
      <c r="H274" s="18"/>
      <c r="I274" s="18"/>
      <c r="J274" s="18"/>
    </row>
    <row r="275" spans="1:10">
      <c r="A275" s="2"/>
      <c r="B275" s="2"/>
      <c r="C275" s="17"/>
      <c r="D275" s="17"/>
      <c r="E275" s="17"/>
      <c r="F275" s="17"/>
      <c r="G275" s="18"/>
      <c r="H275" s="18"/>
      <c r="I275" s="18"/>
      <c r="J275" s="18"/>
    </row>
    <row r="276" spans="1:10">
      <c r="A276" s="2"/>
      <c r="B276" s="2"/>
      <c r="C276" s="17"/>
      <c r="D276" s="17"/>
      <c r="E276" s="17"/>
      <c r="F276" s="17"/>
      <c r="G276" s="18"/>
      <c r="H276" s="18"/>
      <c r="I276" s="18"/>
      <c r="J276" s="18"/>
    </row>
    <row r="277" spans="1:10">
      <c r="A277" s="2"/>
      <c r="B277" s="2"/>
      <c r="C277" s="17"/>
      <c r="D277" s="17"/>
      <c r="E277" s="17"/>
      <c r="F277" s="17"/>
      <c r="G277" s="18"/>
      <c r="H277" s="18"/>
      <c r="I277" s="18"/>
      <c r="J277" s="18"/>
    </row>
    <row r="278" spans="1:10">
      <c r="A278" s="2"/>
      <c r="B278" s="2"/>
      <c r="C278" s="17"/>
      <c r="D278" s="17"/>
      <c r="E278" s="17"/>
      <c r="F278" s="17"/>
      <c r="G278" s="18"/>
      <c r="H278" s="18"/>
      <c r="I278" s="18"/>
      <c r="J278" s="18"/>
    </row>
    <row r="279" spans="1:10">
      <c r="A279" s="2"/>
      <c r="B279" s="2"/>
      <c r="C279" s="17"/>
      <c r="D279" s="17"/>
      <c r="E279" s="17"/>
      <c r="F279" s="17"/>
      <c r="G279" s="18"/>
      <c r="H279" s="18"/>
      <c r="I279" s="18"/>
      <c r="J279" s="18"/>
    </row>
    <row r="280" spans="1:10">
      <c r="A280" s="2"/>
      <c r="B280" s="2"/>
      <c r="C280" s="17"/>
      <c r="D280" s="17"/>
      <c r="E280" s="17"/>
      <c r="F280" s="17"/>
      <c r="G280" s="18"/>
      <c r="H280" s="18"/>
      <c r="I280" s="18"/>
      <c r="J280" s="18"/>
    </row>
    <row r="281" spans="1:10">
      <c r="A281" s="2"/>
      <c r="B281" s="2"/>
      <c r="C281" s="17"/>
      <c r="D281" s="17"/>
      <c r="E281" s="17"/>
      <c r="F281" s="17"/>
      <c r="G281" s="18"/>
      <c r="H281" s="18"/>
      <c r="I281" s="18"/>
      <c r="J281" s="18"/>
    </row>
    <row r="282" spans="1:10">
      <c r="A282" s="2"/>
      <c r="B282" s="2"/>
      <c r="C282" s="17"/>
      <c r="D282" s="17"/>
      <c r="E282" s="17"/>
      <c r="F282" s="17"/>
      <c r="G282" s="18"/>
      <c r="H282" s="18"/>
      <c r="I282" s="18"/>
      <c r="J282" s="18"/>
    </row>
    <row r="283" spans="1:10">
      <c r="A283" s="2"/>
      <c r="B283" s="2"/>
      <c r="C283" s="17"/>
      <c r="D283" s="17"/>
      <c r="E283" s="17"/>
      <c r="F283" s="17"/>
      <c r="G283" s="18"/>
      <c r="H283" s="18"/>
      <c r="I283" s="18"/>
      <c r="J283" s="18"/>
    </row>
    <row r="284" spans="1:10">
      <c r="A284" s="2"/>
      <c r="B284" s="2"/>
      <c r="C284" s="17"/>
      <c r="D284" s="17"/>
      <c r="E284" s="17"/>
      <c r="F284" s="17"/>
      <c r="G284" s="18"/>
      <c r="H284" s="18"/>
      <c r="I284" s="18"/>
      <c r="J284" s="18"/>
    </row>
    <row r="285" spans="1:10">
      <c r="A285" s="2"/>
      <c r="B285" s="2"/>
      <c r="C285" s="17"/>
      <c r="D285" s="17"/>
      <c r="E285" s="17"/>
      <c r="F285" s="17"/>
      <c r="G285" s="18"/>
      <c r="H285" s="18"/>
      <c r="I285" s="18"/>
      <c r="J285" s="18"/>
    </row>
    <row r="286" spans="1:10">
      <c r="A286" s="2"/>
      <c r="B286" s="2"/>
      <c r="C286" s="17"/>
      <c r="D286" s="17"/>
      <c r="E286" s="17"/>
      <c r="F286" s="17"/>
      <c r="G286" s="18"/>
      <c r="H286" s="18"/>
      <c r="I286" s="18"/>
      <c r="J286" s="18"/>
    </row>
    <row r="287" spans="1:10">
      <c r="A287" s="2"/>
      <c r="B287" s="2"/>
      <c r="C287" s="17"/>
      <c r="D287" s="17"/>
      <c r="E287" s="17"/>
      <c r="F287" s="17"/>
      <c r="G287" s="18"/>
      <c r="H287" s="18"/>
      <c r="I287" s="18"/>
      <c r="J287" s="18"/>
    </row>
    <row r="288" spans="1:10">
      <c r="A288" s="2"/>
      <c r="B288" s="2"/>
      <c r="C288" s="17"/>
      <c r="D288" s="17"/>
      <c r="E288" s="17"/>
      <c r="F288" s="17"/>
      <c r="G288" s="18"/>
      <c r="H288" s="18"/>
      <c r="I288" s="18"/>
      <c r="J288" s="18"/>
    </row>
    <row r="289" spans="1:10">
      <c r="A289" s="2"/>
      <c r="B289" s="2"/>
      <c r="C289" s="17"/>
      <c r="D289" s="17"/>
      <c r="E289" s="17"/>
      <c r="F289" s="17"/>
      <c r="G289" s="18"/>
      <c r="H289" s="18"/>
      <c r="I289" s="18"/>
      <c r="J289" s="18"/>
    </row>
    <row r="290" spans="1:10">
      <c r="A290" s="2"/>
      <c r="B290" s="2"/>
      <c r="C290" s="17"/>
      <c r="D290" s="17"/>
      <c r="E290" s="17"/>
      <c r="F290" s="17"/>
      <c r="G290" s="18"/>
      <c r="H290" s="18"/>
      <c r="I290" s="18"/>
      <c r="J290" s="18"/>
    </row>
    <row r="291" spans="1:10">
      <c r="A291" s="2"/>
      <c r="B291" s="2"/>
      <c r="C291" s="17"/>
      <c r="D291" s="17"/>
      <c r="E291" s="17"/>
      <c r="F291" s="17"/>
      <c r="G291" s="18"/>
      <c r="H291" s="18"/>
      <c r="I291" s="18"/>
      <c r="J291" s="18"/>
    </row>
    <row r="292" spans="1:10">
      <c r="A292" s="2"/>
      <c r="B292" s="2"/>
      <c r="C292" s="17"/>
      <c r="D292" s="17"/>
      <c r="E292" s="17"/>
      <c r="F292" s="17"/>
      <c r="G292" s="18"/>
      <c r="H292" s="18"/>
      <c r="I292" s="18"/>
      <c r="J292" s="18"/>
    </row>
    <row r="293" spans="1:10">
      <c r="A293" s="2"/>
      <c r="B293" s="2"/>
      <c r="C293" s="17"/>
      <c r="D293" s="17"/>
      <c r="E293" s="17"/>
      <c r="F293" s="17"/>
      <c r="G293" s="18"/>
      <c r="H293" s="18"/>
      <c r="I293" s="18"/>
      <c r="J293" s="18"/>
    </row>
    <row r="294" spans="1:10">
      <c r="A294" s="2"/>
      <c r="B294" s="2"/>
      <c r="C294" s="17"/>
      <c r="D294" s="17"/>
      <c r="E294" s="17"/>
      <c r="F294" s="17"/>
      <c r="G294" s="18"/>
      <c r="H294" s="18"/>
      <c r="I294" s="18"/>
      <c r="J294" s="18"/>
    </row>
    <row r="295" spans="1:10">
      <c r="A295" s="2"/>
      <c r="B295" s="2"/>
      <c r="C295" s="17"/>
      <c r="D295" s="17"/>
      <c r="E295" s="17"/>
      <c r="F295" s="17"/>
      <c r="G295" s="18"/>
      <c r="H295" s="18"/>
      <c r="I295" s="18"/>
      <c r="J295" s="18"/>
    </row>
    <row r="296" spans="1:10">
      <c r="A296" s="2"/>
      <c r="B296" s="2"/>
      <c r="C296" s="17"/>
      <c r="D296" s="17"/>
      <c r="E296" s="17"/>
      <c r="F296" s="17"/>
      <c r="G296" s="18"/>
      <c r="H296" s="18"/>
      <c r="I296" s="18"/>
      <c r="J296" s="18"/>
    </row>
    <row r="297" spans="1:10">
      <c r="A297" s="2"/>
      <c r="B297" s="2"/>
      <c r="C297" s="17"/>
      <c r="D297" s="17"/>
      <c r="E297" s="17"/>
      <c r="F297" s="17"/>
      <c r="G297" s="18"/>
      <c r="H297" s="18"/>
      <c r="I297" s="18"/>
      <c r="J297" s="18"/>
    </row>
    <row r="298" spans="1:10">
      <c r="A298" s="2"/>
      <c r="B298" s="2"/>
      <c r="C298" s="17"/>
      <c r="D298" s="17"/>
      <c r="E298" s="17"/>
      <c r="F298" s="17"/>
      <c r="G298" s="18"/>
      <c r="H298" s="18"/>
      <c r="I298" s="18"/>
      <c r="J298" s="18"/>
    </row>
    <row r="299" spans="1:10">
      <c r="A299" s="2"/>
      <c r="B299" s="2"/>
      <c r="C299" s="17"/>
      <c r="D299" s="17"/>
      <c r="E299" s="17"/>
      <c r="F299" s="17"/>
      <c r="G299" s="18"/>
      <c r="H299" s="18"/>
      <c r="I299" s="18"/>
      <c r="J299" s="18"/>
    </row>
    <row r="300" spans="1:10">
      <c r="A300" s="2"/>
      <c r="B300" s="2"/>
      <c r="C300" s="17"/>
      <c r="D300" s="17"/>
      <c r="E300" s="17"/>
      <c r="F300" s="17"/>
      <c r="G300" s="18"/>
      <c r="H300" s="18"/>
      <c r="I300" s="18"/>
      <c r="J300" s="18"/>
    </row>
    <row r="301" spans="1:10">
      <c r="A301" s="2"/>
      <c r="B301" s="2"/>
      <c r="C301" s="17"/>
      <c r="D301" s="17"/>
      <c r="E301" s="17"/>
      <c r="F301" s="17"/>
      <c r="G301" s="18"/>
      <c r="H301" s="18"/>
      <c r="I301" s="18"/>
      <c r="J301" s="18"/>
    </row>
    <row r="302" spans="1:10">
      <c r="A302" s="2"/>
      <c r="B302" s="2"/>
      <c r="C302" s="17"/>
      <c r="D302" s="17"/>
      <c r="E302" s="17"/>
      <c r="F302" s="17"/>
      <c r="G302" s="18"/>
      <c r="H302" s="18"/>
      <c r="I302" s="18"/>
      <c r="J302" s="18"/>
    </row>
    <row r="303" spans="1:10">
      <c r="A303" s="2"/>
      <c r="B303" s="2"/>
      <c r="C303" s="17"/>
      <c r="D303" s="17"/>
      <c r="E303" s="17"/>
      <c r="F303" s="17"/>
      <c r="G303" s="18"/>
      <c r="H303" s="18"/>
      <c r="I303" s="18"/>
      <c r="J303" s="18"/>
    </row>
    <row r="304" spans="1:10">
      <c r="A304" s="2"/>
      <c r="B304" s="2"/>
      <c r="C304" s="17"/>
      <c r="D304" s="17"/>
      <c r="E304" s="17"/>
      <c r="F304" s="17"/>
      <c r="G304" s="18"/>
      <c r="H304" s="18"/>
      <c r="I304" s="18"/>
      <c r="J304" s="18"/>
    </row>
    <row r="305" spans="1:10">
      <c r="A305" s="2"/>
      <c r="B305" s="2"/>
      <c r="C305" s="17"/>
      <c r="D305" s="17"/>
      <c r="E305" s="17"/>
      <c r="F305" s="17"/>
      <c r="G305" s="18"/>
      <c r="H305" s="18"/>
      <c r="I305" s="18"/>
      <c r="J305" s="18"/>
    </row>
    <row r="306" spans="1:10">
      <c r="A306" s="2"/>
      <c r="B306" s="2"/>
      <c r="C306" s="17"/>
      <c r="D306" s="17"/>
      <c r="E306" s="17"/>
      <c r="F306" s="17"/>
      <c r="G306" s="18"/>
      <c r="H306" s="18"/>
      <c r="I306" s="18"/>
      <c r="J306" s="18"/>
    </row>
    <row r="307" spans="1:10">
      <c r="A307" s="2"/>
      <c r="B307" s="2"/>
      <c r="C307" s="17"/>
      <c r="D307" s="17"/>
      <c r="E307" s="17"/>
      <c r="F307" s="17"/>
      <c r="G307" s="18"/>
      <c r="H307" s="18"/>
      <c r="I307" s="18"/>
      <c r="J307" s="18"/>
    </row>
    <row r="308" spans="1:10">
      <c r="A308" s="2"/>
      <c r="B308" s="2"/>
      <c r="C308" s="17"/>
      <c r="D308" s="17"/>
      <c r="E308" s="17"/>
      <c r="F308" s="17"/>
      <c r="G308" s="18"/>
      <c r="H308" s="18"/>
      <c r="I308" s="18"/>
      <c r="J308" s="18"/>
    </row>
    <row r="309" spans="1:10">
      <c r="A309" s="2"/>
      <c r="B309" s="2"/>
      <c r="C309" s="17"/>
      <c r="D309" s="17"/>
      <c r="E309" s="17"/>
      <c r="F309" s="17"/>
      <c r="G309" s="18"/>
      <c r="H309" s="18"/>
      <c r="I309" s="18"/>
      <c r="J309" s="18"/>
    </row>
    <row r="310" spans="1:10">
      <c r="A310" s="2"/>
      <c r="B310" s="2"/>
      <c r="C310" s="17"/>
      <c r="D310" s="17"/>
      <c r="E310" s="17"/>
      <c r="F310" s="17"/>
      <c r="G310" s="18"/>
      <c r="H310" s="18"/>
      <c r="I310" s="18"/>
      <c r="J310" s="18"/>
    </row>
    <row r="311" spans="1:10">
      <c r="A311" s="2"/>
      <c r="B311" s="2"/>
      <c r="C311" s="17"/>
      <c r="D311" s="17"/>
      <c r="E311" s="17"/>
      <c r="F311" s="17"/>
      <c r="G311" s="18"/>
      <c r="H311" s="18"/>
      <c r="I311" s="18"/>
      <c r="J311" s="18"/>
    </row>
    <row r="312" spans="1:10">
      <c r="A312" s="2"/>
      <c r="B312" s="2"/>
      <c r="C312" s="17"/>
      <c r="D312" s="17"/>
      <c r="E312" s="17"/>
      <c r="F312" s="17"/>
      <c r="G312" s="18"/>
      <c r="H312" s="18"/>
      <c r="I312" s="18"/>
      <c r="J312" s="18"/>
    </row>
    <row r="313" spans="1:10">
      <c r="A313" s="2"/>
      <c r="B313" s="2"/>
      <c r="C313" s="17"/>
      <c r="D313" s="17"/>
      <c r="E313" s="17"/>
      <c r="F313" s="17"/>
      <c r="G313" s="18"/>
      <c r="H313" s="18"/>
      <c r="I313" s="18"/>
      <c r="J313" s="18"/>
    </row>
    <row r="314" spans="1:10">
      <c r="A314" s="2"/>
      <c r="B314" s="2"/>
      <c r="C314" s="17"/>
      <c r="D314" s="17"/>
      <c r="E314" s="17"/>
      <c r="F314" s="17"/>
      <c r="G314" s="18"/>
      <c r="H314" s="18"/>
      <c r="I314" s="18"/>
      <c r="J314" s="18"/>
    </row>
    <row r="315" spans="1:10">
      <c r="A315" s="2"/>
      <c r="B315" s="2"/>
      <c r="C315" s="17"/>
      <c r="D315" s="17"/>
      <c r="E315" s="17"/>
      <c r="F315" s="17"/>
      <c r="G315" s="18"/>
      <c r="H315" s="18"/>
      <c r="I315" s="18"/>
      <c r="J315" s="18"/>
    </row>
    <row r="316" spans="1:10">
      <c r="A316" s="2"/>
      <c r="B316" s="2"/>
      <c r="C316" s="17"/>
      <c r="D316" s="17"/>
      <c r="E316" s="17"/>
      <c r="F316" s="17"/>
      <c r="G316" s="18"/>
      <c r="H316" s="18"/>
      <c r="I316" s="18"/>
      <c r="J316" s="18"/>
    </row>
    <row r="317" spans="1:10">
      <c r="A317" s="2"/>
      <c r="B317" s="2"/>
      <c r="C317" s="17"/>
      <c r="D317" s="17"/>
      <c r="E317" s="17"/>
      <c r="F317" s="17"/>
      <c r="G317" s="18"/>
      <c r="H317" s="18"/>
      <c r="I317" s="18"/>
      <c r="J317" s="18"/>
    </row>
    <row r="318" spans="1:10">
      <c r="A318" s="2"/>
      <c r="B318" s="2"/>
      <c r="C318" s="17"/>
      <c r="D318" s="17"/>
      <c r="E318" s="17"/>
      <c r="F318" s="17"/>
      <c r="G318" s="18"/>
      <c r="H318" s="18"/>
      <c r="I318" s="18"/>
      <c r="J318" s="18"/>
    </row>
    <row r="319" spans="1:10">
      <c r="A319" s="2"/>
      <c r="B319" s="2"/>
      <c r="C319" s="17"/>
      <c r="D319" s="17"/>
      <c r="E319" s="17"/>
      <c r="F319" s="17"/>
      <c r="G319" s="18"/>
      <c r="H319" s="18"/>
      <c r="I319" s="18"/>
      <c r="J319" s="18"/>
    </row>
    <row r="320" spans="1:10">
      <c r="A320" s="2"/>
      <c r="B320" s="2"/>
      <c r="C320" s="17"/>
      <c r="D320" s="17"/>
      <c r="E320" s="17"/>
      <c r="F320" s="17"/>
      <c r="G320" s="18"/>
      <c r="H320" s="18"/>
      <c r="I320" s="18"/>
      <c r="J320" s="18"/>
    </row>
    <row r="321" spans="1:10">
      <c r="A321" s="2"/>
      <c r="B321" s="2"/>
      <c r="C321" s="17"/>
      <c r="D321" s="17"/>
      <c r="E321" s="17"/>
      <c r="F321" s="17"/>
      <c r="G321" s="18"/>
      <c r="H321" s="18"/>
      <c r="I321" s="18"/>
      <c r="J321" s="18"/>
    </row>
    <row r="322" spans="1:10">
      <c r="A322" s="2"/>
      <c r="B322" s="2"/>
      <c r="C322" s="17"/>
      <c r="D322" s="17"/>
      <c r="E322" s="17"/>
      <c r="F322" s="17"/>
      <c r="G322" s="18"/>
      <c r="H322" s="18"/>
      <c r="I322" s="18"/>
      <c r="J322" s="18"/>
    </row>
    <row r="323" spans="1:10">
      <c r="A323" s="2"/>
      <c r="B323" s="2"/>
      <c r="C323" s="17"/>
      <c r="D323" s="17"/>
      <c r="E323" s="17"/>
      <c r="F323" s="17"/>
      <c r="G323" s="18"/>
      <c r="H323" s="18"/>
      <c r="I323" s="18"/>
      <c r="J323" s="18"/>
    </row>
    <row r="324" spans="1:10">
      <c r="A324" s="2"/>
      <c r="B324" s="2"/>
      <c r="C324" s="17"/>
      <c r="D324" s="17"/>
      <c r="E324" s="17"/>
      <c r="F324" s="17"/>
      <c r="G324" s="18"/>
      <c r="H324" s="18"/>
      <c r="I324" s="18"/>
      <c r="J324" s="18"/>
    </row>
    <row r="325" spans="1:10">
      <c r="A325" s="2"/>
      <c r="B325" s="2"/>
      <c r="C325" s="17"/>
      <c r="D325" s="17"/>
      <c r="E325" s="17"/>
      <c r="F325" s="17"/>
      <c r="G325" s="18"/>
      <c r="H325" s="18"/>
      <c r="I325" s="18"/>
      <c r="J325" s="18"/>
    </row>
    <row r="326" spans="1:10">
      <c r="A326" s="2"/>
      <c r="B326" s="2"/>
      <c r="C326" s="17"/>
      <c r="D326" s="17"/>
      <c r="E326" s="17"/>
      <c r="F326" s="17"/>
      <c r="G326" s="18"/>
      <c r="H326" s="18"/>
      <c r="I326" s="18"/>
      <c r="J326" s="18"/>
    </row>
    <row r="327" spans="1:10">
      <c r="A327" s="2"/>
      <c r="B327" s="2"/>
      <c r="C327" s="17"/>
      <c r="D327" s="17"/>
      <c r="E327" s="17"/>
      <c r="F327" s="17"/>
      <c r="G327" s="18"/>
      <c r="H327" s="18"/>
      <c r="I327" s="18"/>
      <c r="J327" s="18"/>
    </row>
    <row r="328" spans="1:10">
      <c r="A328" s="2"/>
      <c r="B328" s="2"/>
      <c r="C328" s="17"/>
      <c r="D328" s="17"/>
      <c r="E328" s="17"/>
      <c r="F328" s="17"/>
      <c r="G328" s="18"/>
      <c r="H328" s="18"/>
      <c r="I328" s="18"/>
      <c r="J328" s="18"/>
    </row>
    <row r="329" spans="1:10">
      <c r="A329" s="2"/>
      <c r="B329" s="2"/>
      <c r="C329" s="17"/>
      <c r="D329" s="17"/>
      <c r="E329" s="17"/>
      <c r="F329" s="17"/>
      <c r="G329" s="18"/>
      <c r="H329" s="18"/>
      <c r="I329" s="18"/>
      <c r="J329" s="18"/>
    </row>
    <row r="330" spans="1:10">
      <c r="A330" s="2"/>
      <c r="B330" s="2"/>
      <c r="C330" s="17"/>
      <c r="D330" s="17"/>
      <c r="E330" s="17"/>
      <c r="F330" s="17"/>
      <c r="G330" s="18"/>
      <c r="H330" s="18"/>
      <c r="I330" s="18"/>
      <c r="J330" s="18"/>
    </row>
    <row r="331" spans="1:10">
      <c r="A331" s="2"/>
      <c r="B331" s="2"/>
      <c r="C331" s="17"/>
      <c r="D331" s="17"/>
      <c r="E331" s="17"/>
      <c r="F331" s="17"/>
      <c r="G331" s="18"/>
      <c r="H331" s="18"/>
      <c r="I331" s="18"/>
      <c r="J331" s="18"/>
    </row>
    <row r="332" spans="1:10">
      <c r="A332" s="2"/>
      <c r="B332" s="2"/>
      <c r="C332" s="17"/>
      <c r="D332" s="17"/>
      <c r="E332" s="17"/>
      <c r="F332" s="17"/>
      <c r="G332" s="18"/>
      <c r="H332" s="18"/>
      <c r="I332" s="18"/>
      <c r="J332" s="18"/>
    </row>
    <row r="333" spans="1:10">
      <c r="A333" s="2"/>
      <c r="B333" s="2"/>
      <c r="C333" s="17"/>
      <c r="D333" s="17"/>
      <c r="E333" s="17"/>
      <c r="F333" s="17"/>
      <c r="G333" s="18"/>
      <c r="H333" s="18"/>
      <c r="I333" s="18"/>
      <c r="J333" s="18"/>
    </row>
    <row r="334" spans="1:10">
      <c r="A334" s="2"/>
      <c r="B334" s="2"/>
      <c r="C334" s="17"/>
      <c r="D334" s="17"/>
      <c r="E334" s="17"/>
      <c r="F334" s="17"/>
      <c r="G334" s="18"/>
      <c r="H334" s="18"/>
      <c r="I334" s="18"/>
      <c r="J334" s="18"/>
    </row>
    <row r="335" spans="1:10">
      <c r="A335" s="2"/>
      <c r="B335" s="2"/>
      <c r="C335" s="17"/>
      <c r="D335" s="17"/>
      <c r="E335" s="17"/>
      <c r="F335" s="17"/>
      <c r="G335" s="18"/>
      <c r="H335" s="18"/>
      <c r="I335" s="18"/>
      <c r="J335" s="18"/>
    </row>
    <row r="336" spans="1:10">
      <c r="A336" s="2"/>
      <c r="B336" s="2"/>
      <c r="C336" s="17"/>
      <c r="D336" s="17"/>
      <c r="E336" s="17"/>
      <c r="F336" s="17"/>
      <c r="G336" s="18"/>
      <c r="H336" s="18"/>
      <c r="I336" s="18"/>
      <c r="J336" s="18"/>
    </row>
    <row r="337" spans="1:10">
      <c r="A337" s="2"/>
      <c r="B337" s="2"/>
      <c r="C337" s="17"/>
      <c r="D337" s="17"/>
      <c r="E337" s="17"/>
      <c r="F337" s="17"/>
      <c r="G337" s="18"/>
      <c r="H337" s="18"/>
      <c r="I337" s="18"/>
      <c r="J337" s="18"/>
    </row>
    <row r="338" spans="1:10">
      <c r="A338" s="2"/>
      <c r="B338" s="2"/>
      <c r="C338" s="17"/>
      <c r="D338" s="17"/>
      <c r="E338" s="17"/>
      <c r="F338" s="17"/>
      <c r="G338" s="18"/>
      <c r="H338" s="18"/>
      <c r="I338" s="18"/>
      <c r="J338" s="18"/>
    </row>
    <row r="339" spans="1:10">
      <c r="A339" s="2"/>
      <c r="B339" s="2"/>
      <c r="C339" s="17"/>
      <c r="D339" s="17"/>
      <c r="E339" s="17"/>
      <c r="F339" s="17"/>
      <c r="G339" s="18"/>
      <c r="H339" s="18"/>
      <c r="I339" s="18"/>
      <c r="J339" s="18"/>
    </row>
    <row r="340" spans="1:10">
      <c r="A340" s="3"/>
      <c r="B340" s="2"/>
      <c r="C340" s="17"/>
      <c r="D340" s="17"/>
      <c r="E340" s="17"/>
      <c r="F340" s="17"/>
      <c r="G340" s="18"/>
      <c r="H340" s="18"/>
      <c r="I340" s="18"/>
      <c r="J340" s="18"/>
    </row>
    <row r="341" spans="1:10">
      <c r="A341" s="3"/>
      <c r="B341" s="2"/>
      <c r="C341" s="17"/>
      <c r="D341" s="17"/>
      <c r="E341" s="17"/>
      <c r="F341" s="17"/>
      <c r="G341" s="18"/>
      <c r="H341" s="18"/>
      <c r="I341" s="18"/>
      <c r="J341" s="18"/>
    </row>
    <row r="342" spans="1:10">
      <c r="A342" s="3"/>
      <c r="B342" s="2"/>
      <c r="C342" s="17"/>
      <c r="D342" s="17"/>
      <c r="E342" s="17"/>
      <c r="F342" s="17"/>
      <c r="G342" s="18"/>
      <c r="H342" s="18"/>
      <c r="I342" s="18"/>
      <c r="J342" s="18"/>
    </row>
    <row r="343" spans="1:10">
      <c r="A343" s="3"/>
      <c r="B343" s="2"/>
      <c r="C343" s="17"/>
      <c r="D343" s="17"/>
      <c r="E343" s="17"/>
      <c r="F343" s="17"/>
      <c r="G343" s="18"/>
      <c r="H343" s="18"/>
      <c r="I343" s="18"/>
      <c r="J343" s="18"/>
    </row>
    <row r="344" spans="1:10">
      <c r="A344" s="3"/>
      <c r="B344" s="2"/>
      <c r="C344" s="17"/>
      <c r="D344" s="17"/>
      <c r="E344" s="17"/>
      <c r="F344" s="17"/>
      <c r="G344" s="18"/>
      <c r="H344" s="18"/>
      <c r="I344" s="18"/>
      <c r="J344" s="18"/>
    </row>
    <row r="345" spans="1:10">
      <c r="A345" s="3"/>
      <c r="B345" s="2"/>
      <c r="C345" s="17"/>
      <c r="D345" s="17"/>
      <c r="E345" s="17"/>
      <c r="F345" s="17"/>
      <c r="G345" s="18"/>
      <c r="H345" s="18"/>
      <c r="I345" s="18"/>
      <c r="J345" s="18"/>
    </row>
    <row r="346" spans="1:10">
      <c r="A346" s="3"/>
      <c r="B346" s="2"/>
      <c r="C346" s="17"/>
      <c r="D346" s="17"/>
      <c r="E346" s="17"/>
      <c r="F346" s="17"/>
      <c r="G346" s="18"/>
      <c r="H346" s="18"/>
      <c r="I346" s="18"/>
      <c r="J346" s="18"/>
    </row>
    <row r="347" spans="1:10">
      <c r="A347" s="3"/>
      <c r="B347" s="2"/>
      <c r="C347" s="17"/>
      <c r="D347" s="17"/>
      <c r="E347" s="17"/>
      <c r="F347" s="17"/>
      <c r="G347" s="18"/>
      <c r="H347" s="18"/>
      <c r="I347" s="18"/>
      <c r="J347" s="18"/>
    </row>
    <row r="348" spans="1:10">
      <c r="A348" s="3"/>
      <c r="B348" s="2"/>
      <c r="C348" s="17"/>
      <c r="D348" s="17"/>
      <c r="E348" s="17"/>
      <c r="F348" s="17"/>
      <c r="G348" s="18"/>
      <c r="H348" s="18"/>
      <c r="I348" s="18"/>
      <c r="J348" s="18"/>
    </row>
    <row r="349" spans="1:10">
      <c r="A349" s="3"/>
      <c r="B349" s="2"/>
      <c r="C349" s="17"/>
      <c r="D349" s="17"/>
      <c r="E349" s="17"/>
      <c r="F349" s="17"/>
      <c r="G349" s="18"/>
      <c r="H349" s="18"/>
      <c r="I349" s="18"/>
      <c r="J349" s="18"/>
    </row>
    <row r="350" spans="1:10">
      <c r="A350" s="2"/>
      <c r="B350" s="2"/>
      <c r="C350" s="17"/>
      <c r="D350" s="17"/>
      <c r="E350" s="17"/>
      <c r="F350" s="17"/>
      <c r="G350" s="18"/>
      <c r="H350" s="18"/>
      <c r="I350" s="18"/>
      <c r="J350" s="18"/>
    </row>
    <row r="351" spans="1:10">
      <c r="A351" s="3"/>
      <c r="B351" s="2"/>
      <c r="C351" s="17"/>
      <c r="D351" s="17"/>
      <c r="E351" s="17"/>
      <c r="F351" s="17"/>
      <c r="G351" s="18"/>
      <c r="H351" s="18"/>
      <c r="I351" s="18"/>
      <c r="J351" s="18"/>
    </row>
    <row r="352" spans="1:10">
      <c r="A352" s="3"/>
      <c r="B352" s="2"/>
      <c r="C352" s="17"/>
      <c r="D352" s="17"/>
      <c r="E352" s="17"/>
      <c r="F352" s="17"/>
      <c r="G352" s="18"/>
      <c r="H352" s="18"/>
      <c r="I352" s="18"/>
      <c r="J352" s="18"/>
    </row>
    <row r="353" spans="1:10">
      <c r="A353" s="3"/>
      <c r="B353" s="2"/>
      <c r="C353" s="17"/>
      <c r="D353" s="17"/>
      <c r="E353" s="17"/>
      <c r="F353" s="17"/>
      <c r="G353" s="18"/>
      <c r="H353" s="18"/>
      <c r="I353" s="18"/>
      <c r="J353" s="18"/>
    </row>
    <row r="354" spans="1:10">
      <c r="A354" s="2"/>
      <c r="B354" s="2"/>
      <c r="C354" s="17"/>
      <c r="D354" s="17"/>
      <c r="E354" s="17"/>
      <c r="F354" s="17"/>
      <c r="G354" s="18"/>
      <c r="H354" s="18"/>
      <c r="I354" s="18"/>
      <c r="J354" s="18"/>
    </row>
    <row r="355" spans="1:10">
      <c r="A355" s="3"/>
      <c r="B355" s="2"/>
      <c r="C355" s="17"/>
      <c r="D355" s="17"/>
      <c r="E355" s="17"/>
      <c r="F355" s="17"/>
      <c r="G355" s="18"/>
      <c r="H355" s="18"/>
      <c r="I355" s="18"/>
      <c r="J355" s="18"/>
    </row>
    <row r="356" spans="1:10">
      <c r="A356" s="3"/>
      <c r="B356" s="2"/>
      <c r="C356" s="17"/>
      <c r="D356" s="17"/>
      <c r="E356" s="17"/>
      <c r="F356" s="17"/>
      <c r="G356" s="18"/>
      <c r="H356" s="18"/>
      <c r="I356" s="18"/>
      <c r="J356" s="18"/>
    </row>
    <row r="357" spans="1:10">
      <c r="A357" s="2"/>
      <c r="B357" s="2"/>
      <c r="C357" s="17"/>
      <c r="D357" s="17"/>
      <c r="E357" s="17"/>
      <c r="F357" s="17"/>
      <c r="G357" s="18"/>
      <c r="H357" s="18"/>
      <c r="I357" s="18"/>
      <c r="J357" s="18"/>
    </row>
    <row r="358" spans="1:10">
      <c r="A358" s="3"/>
      <c r="B358" s="2"/>
      <c r="C358" s="17"/>
      <c r="D358" s="17"/>
      <c r="E358" s="17"/>
      <c r="F358" s="17"/>
      <c r="G358" s="18"/>
      <c r="H358" s="18"/>
      <c r="I358" s="18"/>
      <c r="J358" s="18"/>
    </row>
    <row r="359" spans="1:10">
      <c r="A359" s="3"/>
      <c r="B359" s="2"/>
      <c r="C359" s="17"/>
      <c r="D359" s="17"/>
      <c r="E359" s="17"/>
      <c r="F359" s="17"/>
      <c r="G359" s="18"/>
      <c r="H359" s="18"/>
      <c r="I359" s="18"/>
      <c r="J359" s="18"/>
    </row>
    <row r="360" spans="1:10">
      <c r="A360" s="3"/>
      <c r="B360" s="2"/>
      <c r="C360" s="17"/>
      <c r="D360" s="17"/>
      <c r="E360" s="17"/>
      <c r="F360" s="17"/>
      <c r="G360" s="18"/>
      <c r="H360" s="18"/>
      <c r="I360" s="18"/>
      <c r="J360" s="18"/>
    </row>
    <row r="361" spans="1:10">
      <c r="A361" s="2"/>
      <c r="B361" s="2"/>
      <c r="C361" s="17"/>
      <c r="D361" s="17"/>
      <c r="E361" s="17"/>
      <c r="F361" s="17"/>
      <c r="G361" s="18"/>
      <c r="H361" s="18"/>
      <c r="I361" s="18"/>
      <c r="J361" s="18"/>
    </row>
    <row r="362" spans="1:10">
      <c r="A362" s="2"/>
      <c r="B362" s="2"/>
      <c r="C362" s="17"/>
      <c r="D362" s="17"/>
      <c r="E362" s="17"/>
      <c r="F362" s="17"/>
      <c r="G362" s="18"/>
      <c r="H362" s="18"/>
      <c r="I362" s="18"/>
      <c r="J362" s="18"/>
    </row>
    <row r="363" spans="1:10">
      <c r="A363" s="3"/>
      <c r="B363" s="2"/>
      <c r="C363" s="17"/>
      <c r="D363" s="17"/>
      <c r="E363" s="17"/>
      <c r="F363" s="17"/>
      <c r="G363" s="18"/>
      <c r="H363" s="18"/>
      <c r="I363" s="18"/>
      <c r="J363" s="18"/>
    </row>
    <row r="364" spans="1:10">
      <c r="A364" s="2"/>
      <c r="B364" s="2"/>
      <c r="C364" s="17"/>
      <c r="D364" s="17"/>
      <c r="E364" s="17"/>
      <c r="F364" s="17"/>
      <c r="G364" s="18"/>
      <c r="H364" s="18"/>
      <c r="I364" s="18"/>
      <c r="J364" s="18"/>
    </row>
    <row r="365" spans="1:10">
      <c r="A365" s="2"/>
      <c r="B365" s="2"/>
      <c r="C365" s="17"/>
      <c r="D365" s="17"/>
      <c r="E365" s="17"/>
      <c r="F365" s="17"/>
      <c r="G365" s="18"/>
      <c r="H365" s="18"/>
      <c r="I365" s="18"/>
      <c r="J365" s="18"/>
    </row>
    <row r="366" spans="1:10">
      <c r="A366" s="2"/>
      <c r="B366" s="2"/>
      <c r="C366" s="17"/>
      <c r="D366" s="17"/>
      <c r="E366" s="17"/>
      <c r="F366" s="17"/>
      <c r="G366" s="18"/>
      <c r="H366" s="18"/>
      <c r="I366" s="18"/>
      <c r="J366" s="18"/>
    </row>
    <row r="367" spans="1:10">
      <c r="A367" s="2"/>
      <c r="B367" s="2"/>
      <c r="C367" s="17"/>
      <c r="D367" s="17"/>
      <c r="E367" s="17"/>
      <c r="F367" s="17"/>
      <c r="G367" s="18"/>
      <c r="H367" s="18"/>
      <c r="I367" s="18"/>
      <c r="J367" s="18"/>
    </row>
    <row r="368" spans="1:10">
      <c r="A368" s="2"/>
      <c r="B368" s="2"/>
      <c r="C368" s="17"/>
      <c r="D368" s="17"/>
      <c r="E368" s="17"/>
      <c r="F368" s="17"/>
      <c r="G368" s="18"/>
      <c r="H368" s="18"/>
      <c r="I368" s="18"/>
      <c r="J368" s="18"/>
    </row>
    <row r="369" spans="1:10">
      <c r="A369" s="3"/>
      <c r="B369" s="2"/>
      <c r="C369" s="17"/>
      <c r="D369" s="17"/>
      <c r="E369" s="17"/>
      <c r="F369" s="17"/>
      <c r="G369" s="18"/>
      <c r="H369" s="18"/>
      <c r="I369" s="18"/>
      <c r="J369" s="18"/>
    </row>
    <row r="370" spans="1:10">
      <c r="A370" s="3"/>
      <c r="B370" s="2"/>
      <c r="C370" s="17"/>
      <c r="D370" s="17"/>
      <c r="E370" s="17"/>
      <c r="F370" s="17"/>
      <c r="G370" s="18"/>
      <c r="H370" s="18"/>
      <c r="I370" s="18"/>
      <c r="J370" s="18"/>
    </row>
    <row r="371" spans="1:10">
      <c r="A371" s="3"/>
      <c r="B371" s="2"/>
      <c r="C371" s="17"/>
      <c r="D371" s="17"/>
      <c r="E371" s="17"/>
      <c r="F371" s="17"/>
      <c r="G371" s="18"/>
      <c r="H371" s="18"/>
      <c r="I371" s="18"/>
      <c r="J371" s="18"/>
    </row>
    <row r="372" spans="1:10">
      <c r="A372" s="3"/>
      <c r="B372" s="2"/>
      <c r="C372" s="17"/>
      <c r="D372" s="17"/>
      <c r="E372" s="17"/>
      <c r="F372" s="17"/>
      <c r="G372" s="18"/>
      <c r="H372" s="18"/>
      <c r="I372" s="18"/>
      <c r="J372" s="18"/>
    </row>
    <row r="373" spans="1:10">
      <c r="A373" s="3"/>
      <c r="B373" s="2"/>
      <c r="C373" s="17"/>
      <c r="D373" s="17"/>
      <c r="E373" s="17"/>
      <c r="F373" s="17"/>
      <c r="G373" s="18"/>
      <c r="H373" s="18"/>
      <c r="I373" s="18"/>
      <c r="J373" s="18"/>
    </row>
    <row r="374" spans="1:10">
      <c r="A374" s="2"/>
      <c r="B374" s="2"/>
      <c r="C374" s="17"/>
      <c r="D374" s="17"/>
      <c r="E374" s="17"/>
      <c r="F374" s="17"/>
      <c r="G374" s="18"/>
      <c r="H374" s="18"/>
      <c r="I374" s="18"/>
      <c r="J374" s="18"/>
    </row>
    <row r="375" spans="1:10">
      <c r="A375" s="2"/>
      <c r="B375" s="2"/>
      <c r="C375" s="17"/>
      <c r="D375" s="17"/>
      <c r="E375" s="17"/>
      <c r="F375" s="17"/>
      <c r="G375" s="18"/>
      <c r="H375" s="18"/>
      <c r="I375" s="18"/>
      <c r="J375" s="18"/>
    </row>
    <row r="376" spans="1:10">
      <c r="A376" s="2"/>
      <c r="B376" s="2"/>
      <c r="C376" s="17"/>
      <c r="D376" s="17"/>
      <c r="E376" s="17"/>
      <c r="F376" s="17"/>
      <c r="G376" s="18"/>
      <c r="H376" s="18"/>
      <c r="I376" s="18"/>
      <c r="J376" s="18"/>
    </row>
    <row r="377" spans="1:10">
      <c r="A377" s="2"/>
      <c r="B377" s="2"/>
      <c r="C377" s="17"/>
      <c r="D377" s="17"/>
      <c r="E377" s="17"/>
      <c r="F377" s="17"/>
      <c r="G377" s="18"/>
      <c r="H377" s="18"/>
      <c r="I377" s="18"/>
      <c r="J377" s="18"/>
    </row>
    <row r="378" spans="1:10">
      <c r="A378" s="2"/>
      <c r="B378" s="2"/>
      <c r="C378" s="17"/>
      <c r="D378" s="17"/>
      <c r="E378" s="17"/>
      <c r="F378" s="17"/>
      <c r="G378" s="18"/>
      <c r="H378" s="18"/>
      <c r="I378" s="18"/>
      <c r="J378" s="18"/>
    </row>
    <row r="379" spans="1:10">
      <c r="A379" s="3"/>
      <c r="B379" s="2"/>
      <c r="C379" s="17"/>
      <c r="D379" s="17"/>
      <c r="E379" s="17"/>
      <c r="F379" s="17"/>
      <c r="G379" s="18"/>
      <c r="H379" s="18"/>
      <c r="I379" s="18"/>
      <c r="J379" s="18"/>
    </row>
    <row r="380" spans="1:10">
      <c r="A380" s="3"/>
      <c r="B380" s="2"/>
      <c r="C380" s="17"/>
      <c r="D380" s="17"/>
      <c r="E380" s="17"/>
      <c r="F380" s="17"/>
      <c r="G380" s="18"/>
      <c r="H380" s="18"/>
      <c r="I380" s="18"/>
      <c r="J380" s="18"/>
    </row>
    <row r="381" spans="1:10">
      <c r="A381" s="3"/>
      <c r="B381" s="2"/>
      <c r="C381" s="17"/>
      <c r="D381" s="17"/>
      <c r="E381" s="17"/>
      <c r="F381" s="17"/>
      <c r="G381" s="18"/>
      <c r="H381" s="18"/>
      <c r="I381" s="18"/>
      <c r="J381" s="18"/>
    </row>
    <row r="382" spans="1:10">
      <c r="A382" s="2"/>
      <c r="B382" s="2"/>
      <c r="C382" s="17"/>
      <c r="D382" s="17"/>
      <c r="E382" s="17"/>
      <c r="F382" s="17"/>
      <c r="G382" s="18"/>
      <c r="H382" s="18"/>
      <c r="I382" s="18"/>
      <c r="J382" s="18"/>
    </row>
    <row r="383" spans="1:10">
      <c r="A383" s="2"/>
      <c r="B383" s="2"/>
      <c r="C383" s="17"/>
      <c r="D383" s="17"/>
      <c r="E383" s="17"/>
      <c r="F383" s="17"/>
      <c r="G383" s="18"/>
      <c r="H383" s="18"/>
      <c r="I383" s="18"/>
      <c r="J383" s="18"/>
    </row>
    <row r="384" spans="1:10">
      <c r="A384" s="2"/>
      <c r="B384" s="2"/>
      <c r="C384" s="17"/>
      <c r="D384" s="17"/>
      <c r="E384" s="17"/>
      <c r="F384" s="17"/>
      <c r="G384" s="18"/>
      <c r="H384" s="18"/>
      <c r="I384" s="18"/>
      <c r="J384" s="18"/>
    </row>
    <row r="385" spans="1:10">
      <c r="A385" s="2"/>
      <c r="B385" s="2"/>
      <c r="C385" s="17"/>
      <c r="D385" s="17"/>
      <c r="E385" s="17"/>
      <c r="F385" s="17"/>
      <c r="G385" s="18"/>
      <c r="H385" s="18"/>
      <c r="I385" s="18"/>
      <c r="J385" s="18"/>
    </row>
    <row r="386" spans="1:10">
      <c r="A386" s="2"/>
      <c r="B386" s="2"/>
      <c r="C386" s="17"/>
      <c r="D386" s="17"/>
      <c r="E386" s="17"/>
      <c r="F386" s="17"/>
      <c r="G386" s="18"/>
      <c r="H386" s="18"/>
      <c r="I386" s="18"/>
      <c r="J386" s="18"/>
    </row>
    <row r="387" spans="1:10">
      <c r="A387" s="3"/>
      <c r="B387" s="2"/>
      <c r="C387" s="17"/>
      <c r="D387" s="17"/>
      <c r="E387" s="17"/>
      <c r="F387" s="17"/>
      <c r="G387" s="18"/>
      <c r="H387" s="18"/>
      <c r="I387" s="18"/>
      <c r="J387" s="18"/>
    </row>
    <row r="388" spans="1:10">
      <c r="A388" s="3"/>
      <c r="B388" s="2"/>
      <c r="C388" s="17"/>
      <c r="D388" s="17"/>
      <c r="E388" s="17"/>
      <c r="F388" s="17"/>
      <c r="G388" s="18"/>
      <c r="H388" s="18"/>
      <c r="I388" s="18"/>
      <c r="J388" s="18"/>
    </row>
    <row r="389" spans="1:10">
      <c r="A389" s="3"/>
      <c r="B389" s="2"/>
      <c r="C389" s="17"/>
      <c r="D389" s="17"/>
      <c r="E389" s="17"/>
      <c r="F389" s="17"/>
      <c r="G389" s="18"/>
      <c r="H389" s="18"/>
      <c r="I389" s="18"/>
      <c r="J389" s="18"/>
    </row>
    <row r="390" spans="1:10">
      <c r="A390" s="3"/>
      <c r="B390" s="2"/>
      <c r="C390" s="17"/>
      <c r="D390" s="17"/>
      <c r="E390" s="17"/>
      <c r="F390" s="17"/>
      <c r="G390" s="18"/>
      <c r="H390" s="18"/>
      <c r="I390" s="18"/>
      <c r="J390" s="18"/>
    </row>
    <row r="391" spans="1:10">
      <c r="A391" s="2"/>
      <c r="B391" s="2"/>
      <c r="C391" s="17"/>
      <c r="D391" s="17"/>
      <c r="E391" s="17"/>
      <c r="F391" s="17"/>
      <c r="G391" s="18"/>
      <c r="H391" s="18"/>
      <c r="I391" s="18"/>
      <c r="J391" s="18"/>
    </row>
    <row r="392" spans="1:10">
      <c r="A392" s="2"/>
      <c r="B392" s="2"/>
      <c r="C392" s="17"/>
      <c r="D392" s="17"/>
      <c r="E392" s="17"/>
      <c r="F392" s="17"/>
      <c r="G392" s="18"/>
      <c r="H392" s="18"/>
      <c r="I392" s="18"/>
      <c r="J392" s="18"/>
    </row>
    <row r="393" spans="1:10">
      <c r="A393" s="2"/>
      <c r="B393" s="2"/>
      <c r="C393" s="17"/>
      <c r="D393" s="17"/>
      <c r="E393" s="17"/>
      <c r="F393" s="17"/>
      <c r="G393" s="18"/>
      <c r="H393" s="18"/>
      <c r="I393" s="18"/>
      <c r="J393" s="18"/>
    </row>
    <row r="394" spans="1:10">
      <c r="A394" s="2"/>
      <c r="B394" s="2"/>
      <c r="C394" s="17"/>
      <c r="D394" s="17"/>
      <c r="E394" s="17"/>
      <c r="F394" s="17"/>
      <c r="G394" s="18"/>
      <c r="H394" s="18"/>
      <c r="I394" s="18"/>
      <c r="J394" s="18"/>
    </row>
    <row r="395" spans="1:10">
      <c r="A395" s="2"/>
      <c r="B395" s="2"/>
      <c r="C395" s="17"/>
      <c r="D395" s="17"/>
      <c r="E395" s="17"/>
      <c r="F395" s="17"/>
      <c r="G395" s="18"/>
      <c r="H395" s="18"/>
      <c r="I395" s="18"/>
      <c r="J395" s="18"/>
    </row>
    <row r="396" spans="1:10">
      <c r="A396" s="2"/>
      <c r="B396" s="2"/>
      <c r="C396" s="17"/>
      <c r="D396" s="17"/>
      <c r="E396" s="17"/>
      <c r="F396" s="17"/>
      <c r="G396" s="18"/>
      <c r="H396" s="18"/>
      <c r="I396" s="18"/>
      <c r="J396" s="18"/>
    </row>
    <row r="397" spans="1:10">
      <c r="A397" s="3"/>
      <c r="B397" s="2"/>
      <c r="C397" s="17"/>
      <c r="D397" s="17"/>
      <c r="E397" s="17"/>
      <c r="F397" s="17"/>
      <c r="G397" s="18"/>
      <c r="H397" s="18"/>
      <c r="I397" s="18"/>
      <c r="J397" s="18"/>
    </row>
    <row r="398" spans="1:10">
      <c r="A398" s="3"/>
      <c r="B398" s="2"/>
      <c r="C398" s="17"/>
      <c r="D398" s="17"/>
      <c r="E398" s="17"/>
      <c r="F398" s="17"/>
      <c r="G398" s="18"/>
      <c r="H398" s="18"/>
      <c r="I398" s="18"/>
      <c r="J398" s="18"/>
    </row>
    <row r="399" spans="1:10">
      <c r="A399" s="2"/>
      <c r="B399" s="2"/>
      <c r="C399" s="17"/>
      <c r="D399" s="17"/>
      <c r="E399" s="17"/>
      <c r="F399" s="17"/>
      <c r="G399" s="18"/>
      <c r="H399" s="18"/>
      <c r="I399" s="18"/>
      <c r="J399" s="18"/>
    </row>
    <row r="400" spans="1:10">
      <c r="A400" s="2"/>
      <c r="B400" s="2"/>
      <c r="C400" s="17"/>
      <c r="D400" s="17"/>
      <c r="E400" s="17"/>
      <c r="F400" s="17"/>
      <c r="G400" s="18"/>
      <c r="H400" s="18"/>
      <c r="I400" s="18"/>
      <c r="J400" s="18"/>
    </row>
    <row r="401" spans="1:10">
      <c r="A401" s="2"/>
      <c r="B401" s="2"/>
      <c r="C401" s="17"/>
      <c r="D401" s="17"/>
      <c r="E401" s="17"/>
      <c r="F401" s="17"/>
      <c r="G401" s="18"/>
      <c r="H401" s="18"/>
      <c r="I401" s="18"/>
      <c r="J401" s="18"/>
    </row>
    <row r="402" spans="1:10">
      <c r="A402" s="2"/>
      <c r="B402" s="2"/>
      <c r="C402" s="17"/>
      <c r="D402" s="17"/>
      <c r="E402" s="17"/>
      <c r="F402" s="17"/>
      <c r="G402" s="18"/>
      <c r="H402" s="18"/>
      <c r="I402" s="18"/>
      <c r="J402" s="18"/>
    </row>
    <row r="403" spans="1:10">
      <c r="A403" s="2"/>
      <c r="B403" s="2"/>
      <c r="C403" s="17"/>
      <c r="D403" s="17"/>
      <c r="E403" s="17"/>
      <c r="F403" s="17"/>
      <c r="G403" s="18"/>
      <c r="H403" s="18"/>
      <c r="I403" s="18"/>
      <c r="J403" s="18"/>
    </row>
    <row r="404" spans="1:10">
      <c r="A404" s="2"/>
      <c r="B404" s="2"/>
      <c r="C404" s="17"/>
      <c r="D404" s="17"/>
      <c r="E404" s="17"/>
      <c r="F404" s="17"/>
      <c r="G404" s="18"/>
      <c r="H404" s="18"/>
      <c r="I404" s="18"/>
      <c r="J404" s="18"/>
    </row>
    <row r="405" spans="1:10">
      <c r="A405" s="3"/>
      <c r="B405" s="2"/>
      <c r="C405" s="17"/>
      <c r="D405" s="17"/>
      <c r="E405" s="17"/>
      <c r="F405" s="17"/>
      <c r="G405" s="18"/>
      <c r="H405" s="18"/>
      <c r="I405" s="18"/>
      <c r="J405" s="18"/>
    </row>
    <row r="406" spans="1:10">
      <c r="A406" s="3"/>
      <c r="B406" s="2"/>
      <c r="C406" s="17"/>
      <c r="D406" s="17"/>
      <c r="E406" s="17"/>
      <c r="F406" s="17"/>
      <c r="G406" s="18"/>
      <c r="H406" s="18"/>
      <c r="I406" s="18"/>
      <c r="J406" s="18"/>
    </row>
    <row r="407" spans="1:10">
      <c r="A407" s="3"/>
      <c r="B407" s="2"/>
      <c r="C407" s="17"/>
      <c r="D407" s="17"/>
      <c r="E407" s="17"/>
      <c r="F407" s="17"/>
      <c r="G407" s="18"/>
      <c r="H407" s="18"/>
      <c r="I407" s="18"/>
      <c r="J407" s="18"/>
    </row>
    <row r="408" spans="1:10">
      <c r="A408" s="2"/>
      <c r="B408" s="2"/>
      <c r="C408" s="17"/>
      <c r="D408" s="17"/>
      <c r="E408" s="17"/>
      <c r="F408" s="17"/>
      <c r="G408" s="18"/>
      <c r="H408" s="18"/>
      <c r="I408" s="18"/>
      <c r="J408" s="18"/>
    </row>
    <row r="409" spans="1:10">
      <c r="A409" s="2"/>
      <c r="B409" s="2"/>
      <c r="C409" s="17"/>
      <c r="D409" s="17"/>
      <c r="E409" s="17"/>
      <c r="F409" s="17"/>
      <c r="G409" s="18"/>
      <c r="H409" s="18"/>
      <c r="I409" s="18"/>
      <c r="J409" s="18"/>
    </row>
    <row r="410" spans="1:10">
      <c r="A410" s="2"/>
      <c r="B410" s="2"/>
      <c r="C410" s="17"/>
      <c r="D410" s="17"/>
      <c r="E410" s="17"/>
      <c r="F410" s="17"/>
      <c r="G410" s="18"/>
      <c r="H410" s="18"/>
      <c r="I410" s="18"/>
      <c r="J410" s="18"/>
    </row>
    <row r="411" spans="1:10">
      <c r="A411" s="2"/>
      <c r="B411" s="2"/>
      <c r="C411" s="17"/>
      <c r="D411" s="17"/>
      <c r="E411" s="17"/>
      <c r="F411" s="17"/>
      <c r="G411" s="18"/>
      <c r="H411" s="18"/>
      <c r="I411" s="18"/>
      <c r="J411" s="18"/>
    </row>
    <row r="412" spans="1:10">
      <c r="A412" s="2"/>
      <c r="B412" s="2"/>
      <c r="C412" s="17"/>
      <c r="D412" s="17"/>
      <c r="E412" s="17"/>
      <c r="F412" s="17"/>
      <c r="G412" s="18"/>
      <c r="H412" s="18"/>
      <c r="I412" s="18"/>
      <c r="J412" s="18"/>
    </row>
    <row r="413" spans="1:10">
      <c r="A413" s="3"/>
      <c r="B413" s="2"/>
      <c r="C413" s="17"/>
      <c r="D413" s="17"/>
      <c r="E413" s="17"/>
      <c r="F413" s="17"/>
      <c r="G413" s="18"/>
      <c r="H413" s="18"/>
      <c r="I413" s="18"/>
      <c r="J413" s="18"/>
    </row>
    <row r="414" spans="1:10">
      <c r="A414" s="3"/>
      <c r="B414" s="2"/>
      <c r="C414" s="17"/>
      <c r="D414" s="17"/>
      <c r="E414" s="17"/>
      <c r="F414" s="17"/>
      <c r="G414" s="18"/>
      <c r="H414" s="18"/>
      <c r="I414" s="18"/>
      <c r="J414" s="18"/>
    </row>
    <row r="415" spans="1:10">
      <c r="A415" s="3"/>
      <c r="B415" s="2"/>
      <c r="C415" s="17"/>
      <c r="D415" s="17"/>
      <c r="E415" s="17"/>
      <c r="F415" s="17"/>
      <c r="G415" s="18"/>
      <c r="H415" s="18"/>
      <c r="I415" s="18"/>
      <c r="J415" s="18"/>
    </row>
    <row r="416" spans="1:10">
      <c r="A416" s="3"/>
      <c r="B416" s="2"/>
      <c r="C416" s="17"/>
      <c r="D416" s="17"/>
      <c r="E416" s="17"/>
      <c r="F416" s="17"/>
      <c r="G416" s="18"/>
      <c r="H416" s="18"/>
      <c r="I416" s="18"/>
      <c r="J416" s="18"/>
    </row>
    <row r="417" spans="1:10">
      <c r="A417" s="3"/>
      <c r="B417" s="2"/>
      <c r="C417" s="17"/>
      <c r="D417" s="17"/>
      <c r="E417" s="17"/>
      <c r="F417" s="17"/>
      <c r="G417" s="18"/>
      <c r="H417" s="18"/>
      <c r="I417" s="18"/>
      <c r="J417" s="18"/>
    </row>
    <row r="418" spans="1:10">
      <c r="A418" s="3"/>
      <c r="B418" s="2"/>
      <c r="C418" s="17"/>
      <c r="D418" s="17"/>
      <c r="E418" s="17"/>
      <c r="F418" s="17"/>
      <c r="G418" s="18"/>
      <c r="H418" s="18"/>
      <c r="I418" s="18"/>
      <c r="J418" s="18"/>
    </row>
    <row r="419" spans="1:10">
      <c r="A419" s="2"/>
      <c r="B419" s="2"/>
      <c r="C419" s="17"/>
      <c r="D419" s="17"/>
      <c r="E419" s="17"/>
      <c r="F419" s="17"/>
      <c r="G419" s="18"/>
      <c r="H419" s="18"/>
      <c r="I419" s="18"/>
      <c r="J419" s="18"/>
    </row>
    <row r="420" spans="1:10">
      <c r="A420" s="5"/>
      <c r="B420" s="2"/>
      <c r="C420" s="17"/>
      <c r="D420" s="17"/>
      <c r="E420" s="17"/>
      <c r="F420" s="17"/>
      <c r="G420" s="18"/>
      <c r="H420" s="18"/>
      <c r="I420" s="18"/>
      <c r="J420" s="18"/>
    </row>
    <row r="421" spans="1:10">
      <c r="A421" s="5"/>
      <c r="B421" s="2"/>
      <c r="C421" s="17"/>
      <c r="D421" s="17"/>
      <c r="E421" s="17"/>
      <c r="F421" s="17"/>
      <c r="G421" s="18"/>
      <c r="H421" s="18"/>
      <c r="I421" s="18"/>
      <c r="J421" s="18"/>
    </row>
    <row r="422" spans="1:10">
      <c r="A422" s="3"/>
      <c r="B422" s="2"/>
      <c r="C422" s="17"/>
      <c r="D422" s="17"/>
      <c r="E422" s="17"/>
      <c r="F422" s="17"/>
      <c r="G422" s="18"/>
      <c r="H422" s="18"/>
      <c r="I422" s="18"/>
      <c r="J422" s="18"/>
    </row>
    <row r="423" spans="1:10">
      <c r="A423" s="3"/>
      <c r="B423" s="2"/>
      <c r="C423" s="17"/>
      <c r="D423" s="17"/>
      <c r="E423" s="17"/>
      <c r="F423" s="17"/>
      <c r="G423" s="18"/>
      <c r="H423" s="18"/>
      <c r="I423" s="18"/>
      <c r="J423" s="18"/>
    </row>
    <row r="424" spans="1:10">
      <c r="A424" s="2"/>
      <c r="B424" s="2"/>
      <c r="C424" s="17"/>
      <c r="D424" s="17"/>
      <c r="E424" s="17"/>
      <c r="F424" s="17"/>
      <c r="G424" s="18"/>
      <c r="H424" s="18"/>
      <c r="I424" s="18"/>
      <c r="J424" s="18"/>
    </row>
    <row r="425" spans="1:10">
      <c r="A425" s="2"/>
      <c r="B425" s="2"/>
      <c r="C425" s="17"/>
      <c r="D425" s="17"/>
      <c r="E425" s="17"/>
      <c r="F425" s="17"/>
      <c r="G425" s="18"/>
      <c r="H425" s="18"/>
      <c r="I425" s="18"/>
      <c r="J425" s="18"/>
    </row>
    <row r="426" spans="1:10">
      <c r="A426" s="2"/>
      <c r="B426" s="2"/>
      <c r="C426" s="17"/>
      <c r="D426" s="17"/>
      <c r="E426" s="17"/>
      <c r="F426" s="17"/>
      <c r="G426" s="18"/>
      <c r="H426" s="18"/>
      <c r="I426" s="18"/>
      <c r="J426" s="18"/>
    </row>
    <row r="427" spans="1:10">
      <c r="A427" s="2"/>
      <c r="B427" s="2"/>
      <c r="C427" s="17"/>
      <c r="D427" s="17"/>
      <c r="E427" s="17"/>
      <c r="F427" s="17"/>
      <c r="G427" s="18"/>
      <c r="H427" s="18"/>
      <c r="I427" s="18"/>
      <c r="J427" s="18"/>
    </row>
    <row r="428" spans="1:10">
      <c r="A428" s="2"/>
      <c r="B428" s="2"/>
      <c r="C428" s="17"/>
      <c r="D428" s="17"/>
      <c r="E428" s="17"/>
      <c r="F428" s="17"/>
      <c r="G428" s="18"/>
      <c r="H428" s="18"/>
      <c r="I428" s="18"/>
      <c r="J428" s="18"/>
    </row>
    <row r="429" spans="1:10">
      <c r="A429" s="3"/>
      <c r="B429" s="2"/>
      <c r="C429" s="17"/>
      <c r="D429" s="17"/>
      <c r="E429" s="17"/>
      <c r="F429" s="17"/>
      <c r="G429" s="18"/>
      <c r="H429" s="18"/>
      <c r="I429" s="18"/>
      <c r="J429" s="18"/>
    </row>
    <row r="430" spans="1:10">
      <c r="A430" s="2"/>
      <c r="B430" s="2"/>
      <c r="C430" s="17"/>
      <c r="D430" s="17"/>
      <c r="E430" s="17"/>
      <c r="F430" s="17"/>
      <c r="G430" s="18"/>
      <c r="H430" s="18"/>
      <c r="I430" s="18"/>
      <c r="J430" s="18"/>
    </row>
    <row r="431" spans="1:10">
      <c r="A431" s="2"/>
      <c r="B431" s="2"/>
      <c r="C431" s="17"/>
      <c r="D431" s="17"/>
      <c r="E431" s="17"/>
      <c r="F431" s="17"/>
      <c r="G431" s="18"/>
      <c r="H431" s="18"/>
      <c r="I431" s="18"/>
      <c r="J431" s="18"/>
    </row>
    <row r="432" spans="1:10">
      <c r="A432" s="3"/>
      <c r="B432" s="2"/>
      <c r="C432" s="17"/>
      <c r="D432" s="17"/>
      <c r="E432" s="17"/>
      <c r="F432" s="17"/>
      <c r="G432" s="18"/>
      <c r="H432" s="18"/>
      <c r="I432" s="18"/>
      <c r="J432" s="18"/>
    </row>
    <row r="433" spans="1:10">
      <c r="A433" s="2"/>
      <c r="B433" s="2"/>
      <c r="C433" s="17"/>
      <c r="D433" s="17"/>
      <c r="E433" s="17"/>
      <c r="F433" s="17"/>
      <c r="G433" s="18"/>
      <c r="H433" s="18"/>
      <c r="I433" s="18"/>
      <c r="J433" s="18"/>
    </row>
    <row r="434" spans="1:10">
      <c r="A434" s="5"/>
      <c r="B434" s="2"/>
      <c r="C434" s="17"/>
      <c r="D434" s="17"/>
      <c r="E434" s="17"/>
      <c r="F434" s="17"/>
      <c r="G434" s="18"/>
      <c r="H434" s="18"/>
      <c r="I434" s="18"/>
      <c r="J434" s="18"/>
    </row>
    <row r="435" spans="1:10">
      <c r="A435" s="3"/>
      <c r="B435" s="2"/>
      <c r="C435" s="17"/>
      <c r="D435" s="17"/>
      <c r="E435" s="17"/>
      <c r="F435" s="17"/>
      <c r="G435" s="18"/>
      <c r="H435" s="18"/>
      <c r="I435" s="18"/>
      <c r="J435" s="18"/>
    </row>
    <row r="436" spans="1:10">
      <c r="A436" s="3"/>
      <c r="B436" s="2"/>
      <c r="C436" s="17"/>
      <c r="D436" s="17"/>
      <c r="E436" s="17"/>
      <c r="F436" s="17"/>
      <c r="G436" s="18"/>
      <c r="H436" s="18"/>
      <c r="I436" s="18"/>
      <c r="J436" s="18"/>
    </row>
    <row r="437" spans="1:10">
      <c r="A437" s="2"/>
      <c r="B437" s="2"/>
      <c r="C437" s="17"/>
      <c r="D437" s="17"/>
      <c r="E437" s="17"/>
      <c r="F437" s="17"/>
      <c r="G437" s="18"/>
      <c r="H437" s="18"/>
      <c r="I437" s="18"/>
      <c r="J437" s="18"/>
    </row>
    <row r="438" spans="1:10">
      <c r="A438" s="2"/>
      <c r="B438" s="2"/>
      <c r="C438" s="17"/>
      <c r="D438" s="17"/>
      <c r="E438" s="17"/>
      <c r="F438" s="17"/>
      <c r="G438" s="18"/>
      <c r="H438" s="18"/>
      <c r="I438" s="18"/>
      <c r="J438" s="18"/>
    </row>
    <row r="439" spans="1:10">
      <c r="A439" s="2"/>
      <c r="B439" s="2"/>
      <c r="C439" s="17"/>
      <c r="D439" s="17"/>
      <c r="E439" s="17"/>
      <c r="F439" s="17"/>
      <c r="G439" s="18"/>
      <c r="H439" s="18"/>
      <c r="I439" s="18"/>
      <c r="J439" s="18"/>
    </row>
    <row r="440" spans="1:10">
      <c r="A440" s="2"/>
      <c r="B440" s="2"/>
      <c r="C440" s="17"/>
      <c r="D440" s="17"/>
      <c r="E440" s="17"/>
      <c r="F440" s="17"/>
      <c r="G440" s="18"/>
      <c r="H440" s="18"/>
      <c r="I440" s="18"/>
      <c r="J440" s="18"/>
    </row>
    <row r="441" spans="1:10">
      <c r="A441" s="3"/>
      <c r="B441" s="2"/>
      <c r="C441" s="17"/>
      <c r="D441" s="17"/>
      <c r="E441" s="17"/>
      <c r="F441" s="17"/>
      <c r="G441" s="18"/>
      <c r="H441" s="18"/>
      <c r="I441" s="18"/>
      <c r="J441" s="18"/>
    </row>
    <row r="442" spans="1:10">
      <c r="A442" s="2"/>
      <c r="B442" s="2"/>
      <c r="C442" s="17"/>
      <c r="D442" s="17"/>
      <c r="E442" s="17"/>
      <c r="F442" s="17"/>
      <c r="G442" s="18"/>
      <c r="H442" s="18"/>
      <c r="I442" s="18"/>
      <c r="J442" s="18"/>
    </row>
    <row r="443" spans="1:10">
      <c r="A443" s="2"/>
      <c r="B443" s="2"/>
      <c r="C443" s="17"/>
      <c r="D443" s="17"/>
      <c r="E443" s="17"/>
      <c r="F443" s="17"/>
      <c r="G443" s="18"/>
      <c r="H443" s="18"/>
      <c r="I443" s="18"/>
      <c r="J443" s="18"/>
    </row>
    <row r="444" spans="1:10">
      <c r="A444" s="2"/>
      <c r="B444" s="2"/>
      <c r="C444" s="17"/>
      <c r="D444" s="17"/>
      <c r="E444" s="17"/>
      <c r="F444" s="17"/>
      <c r="G444" s="18"/>
      <c r="H444" s="18"/>
      <c r="I444" s="18"/>
      <c r="J444" s="18"/>
    </row>
    <row r="445" spans="1:10">
      <c r="A445" s="2"/>
      <c r="B445" s="2"/>
      <c r="C445" s="17"/>
      <c r="D445" s="17"/>
      <c r="E445" s="17"/>
      <c r="F445" s="17"/>
      <c r="G445" s="18"/>
      <c r="H445" s="18"/>
      <c r="I445" s="18"/>
      <c r="J445" s="18"/>
    </row>
    <row r="446" spans="1:10">
      <c r="A446" s="5"/>
      <c r="B446" s="2"/>
      <c r="C446" s="17"/>
      <c r="D446" s="17"/>
      <c r="E446" s="17"/>
      <c r="F446" s="17"/>
      <c r="G446" s="18"/>
      <c r="H446" s="18"/>
      <c r="I446" s="18"/>
      <c r="J446" s="18"/>
    </row>
    <row r="447" spans="1:10">
      <c r="A447" s="2"/>
      <c r="B447" s="2"/>
      <c r="C447" s="17"/>
      <c r="D447" s="17"/>
      <c r="E447" s="17"/>
      <c r="F447" s="17"/>
      <c r="G447" s="18"/>
      <c r="H447" s="18"/>
      <c r="I447" s="18"/>
      <c r="J447" s="18"/>
    </row>
    <row r="448" spans="1:10">
      <c r="A448" s="2"/>
      <c r="B448" s="2"/>
      <c r="C448" s="17"/>
      <c r="D448" s="17"/>
      <c r="E448" s="17"/>
      <c r="F448" s="17"/>
      <c r="G448" s="18"/>
      <c r="H448" s="18"/>
      <c r="I448" s="18"/>
      <c r="J448" s="18"/>
    </row>
    <row r="449" spans="1:10">
      <c r="A449" s="2"/>
      <c r="B449" s="2"/>
      <c r="C449" s="17"/>
      <c r="D449" s="17"/>
      <c r="E449" s="17"/>
      <c r="F449" s="17"/>
      <c r="G449" s="18"/>
      <c r="H449" s="18"/>
      <c r="I449" s="18"/>
      <c r="J449" s="18"/>
    </row>
    <row r="450" spans="1:10">
      <c r="A450" s="2"/>
      <c r="B450" s="2"/>
      <c r="C450" s="17"/>
      <c r="D450" s="17"/>
      <c r="E450" s="17"/>
      <c r="F450" s="17"/>
      <c r="G450" s="18"/>
      <c r="H450" s="18"/>
      <c r="I450" s="18"/>
      <c r="J450" s="18"/>
    </row>
    <row r="451" spans="1:10">
      <c r="A451" s="2"/>
      <c r="B451" s="2"/>
      <c r="C451" s="17"/>
      <c r="D451" s="17"/>
      <c r="E451" s="17"/>
      <c r="F451" s="17"/>
      <c r="G451" s="18"/>
      <c r="H451" s="18"/>
      <c r="I451" s="18"/>
      <c r="J451" s="18"/>
    </row>
    <row r="452" spans="1:10">
      <c r="A452" s="3"/>
      <c r="B452" s="2"/>
      <c r="C452" s="17"/>
      <c r="D452" s="17"/>
      <c r="E452" s="17"/>
      <c r="F452" s="17"/>
      <c r="G452" s="18"/>
      <c r="H452" s="18"/>
      <c r="I452" s="18"/>
      <c r="J452" s="18"/>
    </row>
    <row r="453" spans="1:10">
      <c r="A453" s="2"/>
      <c r="B453" s="2"/>
      <c r="C453" s="17"/>
      <c r="D453" s="17"/>
      <c r="E453" s="17"/>
      <c r="F453" s="17"/>
      <c r="G453" s="18"/>
      <c r="H453" s="18"/>
      <c r="I453" s="18"/>
      <c r="J453" s="18"/>
    </row>
    <row r="454" spans="1:10">
      <c r="A454" s="3"/>
      <c r="B454" s="2"/>
      <c r="C454" s="17"/>
      <c r="D454" s="17"/>
      <c r="E454" s="17"/>
      <c r="F454" s="17"/>
      <c r="G454" s="18"/>
      <c r="H454" s="18"/>
      <c r="I454" s="18"/>
      <c r="J454" s="18"/>
    </row>
    <row r="455" spans="1:10">
      <c r="A455" s="3"/>
      <c r="B455" s="2"/>
      <c r="C455" s="17"/>
      <c r="D455" s="17"/>
      <c r="E455" s="17"/>
      <c r="F455" s="17"/>
      <c r="G455" s="18"/>
      <c r="H455" s="18"/>
      <c r="I455" s="18"/>
      <c r="J455" s="18"/>
    </row>
    <row r="456" spans="1:10">
      <c r="A456" s="2"/>
      <c r="B456" s="2"/>
      <c r="C456" s="17"/>
      <c r="D456" s="17"/>
      <c r="E456" s="17"/>
      <c r="F456" s="17"/>
      <c r="G456" s="18"/>
      <c r="H456" s="18"/>
      <c r="I456" s="18"/>
      <c r="J456" s="18"/>
    </row>
    <row r="457" spans="1:10">
      <c r="A457" s="2"/>
      <c r="B457" s="2"/>
      <c r="C457" s="17"/>
      <c r="D457" s="17"/>
      <c r="E457" s="17"/>
      <c r="F457" s="17"/>
      <c r="G457" s="18"/>
      <c r="H457" s="18"/>
      <c r="I457" s="18"/>
      <c r="J457" s="18"/>
    </row>
    <row r="458" spans="1:10">
      <c r="A458" s="4"/>
      <c r="B458" s="2"/>
      <c r="C458" s="17"/>
      <c r="D458" s="17"/>
      <c r="E458" s="17"/>
      <c r="F458" s="17"/>
      <c r="G458" s="18"/>
      <c r="H458" s="18"/>
      <c r="I458" s="18"/>
      <c r="J458" s="18"/>
    </row>
    <row r="459" spans="1:10">
      <c r="A459" s="2"/>
      <c r="B459" s="2"/>
      <c r="C459" s="17"/>
      <c r="D459" s="17"/>
      <c r="E459" s="17"/>
      <c r="F459" s="17"/>
      <c r="G459" s="18"/>
      <c r="H459" s="18"/>
      <c r="I459" s="18"/>
      <c r="J459" s="18"/>
    </row>
    <row r="460" spans="1:10">
      <c r="A460" s="2"/>
      <c r="B460" s="2"/>
      <c r="C460" s="17"/>
      <c r="D460" s="17"/>
      <c r="E460" s="17"/>
      <c r="F460" s="17"/>
      <c r="G460" s="18"/>
      <c r="H460" s="18"/>
      <c r="I460" s="18"/>
      <c r="J460" s="18"/>
    </row>
    <row r="461" spans="1:10">
      <c r="A461" s="2"/>
      <c r="B461" s="2"/>
      <c r="C461" s="17"/>
      <c r="D461" s="17"/>
      <c r="E461" s="17"/>
      <c r="F461" s="17"/>
      <c r="G461" s="18"/>
      <c r="H461" s="18"/>
      <c r="I461" s="18"/>
      <c r="J461" s="18"/>
    </row>
    <row r="462" spans="1:10">
      <c r="A462" s="3"/>
      <c r="B462" s="2"/>
      <c r="C462" s="17"/>
      <c r="D462" s="17"/>
      <c r="E462" s="17"/>
      <c r="F462" s="17"/>
      <c r="G462" s="18"/>
      <c r="H462" s="18"/>
      <c r="I462" s="18"/>
      <c r="J462" s="18"/>
    </row>
    <row r="463" spans="1:10">
      <c r="A463" s="3"/>
      <c r="B463" s="2"/>
      <c r="C463" s="17"/>
      <c r="D463" s="17"/>
      <c r="E463" s="17"/>
      <c r="F463" s="17"/>
      <c r="G463" s="18"/>
      <c r="H463" s="18"/>
      <c r="I463" s="18"/>
      <c r="J463" s="18"/>
    </row>
    <row r="464" spans="1:10">
      <c r="A464" s="2"/>
      <c r="B464" s="2"/>
      <c r="C464" s="17"/>
      <c r="D464" s="17"/>
      <c r="E464" s="17"/>
      <c r="F464" s="17"/>
      <c r="G464" s="18"/>
      <c r="H464" s="18"/>
      <c r="I464" s="18"/>
      <c r="J464" s="18"/>
    </row>
    <row r="465" spans="1:10">
      <c r="A465" s="2"/>
      <c r="B465" s="2"/>
      <c r="C465" s="17"/>
      <c r="D465" s="17"/>
      <c r="E465" s="17"/>
      <c r="F465" s="17"/>
      <c r="G465" s="18"/>
      <c r="H465" s="18"/>
      <c r="I465" s="18"/>
      <c r="J465" s="18"/>
    </row>
    <row r="466" spans="1:10">
      <c r="A466" s="2"/>
      <c r="B466" s="2"/>
      <c r="C466" s="17"/>
      <c r="D466" s="17"/>
      <c r="E466" s="17"/>
      <c r="F466" s="17"/>
      <c r="G466" s="18"/>
      <c r="H466" s="18"/>
      <c r="I466" s="18"/>
      <c r="J466" s="18"/>
    </row>
    <row r="467" spans="1:10">
      <c r="A467" s="4"/>
      <c r="B467" s="2"/>
      <c r="C467" s="17"/>
      <c r="D467" s="17"/>
      <c r="E467" s="17"/>
      <c r="F467" s="17"/>
      <c r="G467" s="18"/>
      <c r="H467" s="18"/>
      <c r="I467" s="18"/>
      <c r="J467" s="18"/>
    </row>
    <row r="468" spans="1:10">
      <c r="A468" s="2"/>
      <c r="B468" s="2"/>
      <c r="C468" s="17"/>
      <c r="D468" s="17"/>
      <c r="E468" s="17"/>
      <c r="F468" s="17"/>
      <c r="G468" s="18"/>
      <c r="H468" s="18"/>
      <c r="I468" s="18"/>
      <c r="J468" s="18"/>
    </row>
    <row r="469" spans="1:10">
      <c r="A469" s="2"/>
      <c r="B469" s="2"/>
      <c r="C469" s="17"/>
      <c r="D469" s="17"/>
      <c r="E469" s="17"/>
      <c r="F469" s="17"/>
      <c r="G469" s="18"/>
      <c r="H469" s="18"/>
      <c r="I469" s="18"/>
      <c r="J469" s="18"/>
    </row>
    <row r="470" spans="1:10">
      <c r="A470" s="3"/>
      <c r="B470" s="2"/>
      <c r="C470" s="17"/>
      <c r="D470" s="17"/>
      <c r="E470" s="17"/>
      <c r="F470" s="17"/>
      <c r="G470" s="18"/>
      <c r="H470" s="18"/>
      <c r="I470" s="18"/>
      <c r="J470" s="18"/>
    </row>
    <row r="471" spans="1:10">
      <c r="A471" s="3"/>
      <c r="B471" s="2"/>
      <c r="C471" s="17"/>
      <c r="D471" s="17"/>
      <c r="E471" s="17"/>
      <c r="F471" s="17"/>
      <c r="G471" s="18"/>
      <c r="H471" s="18"/>
      <c r="I471" s="18"/>
      <c r="J471" s="18"/>
    </row>
    <row r="472" spans="1:10">
      <c r="A472" s="3"/>
      <c r="B472" s="2"/>
      <c r="C472" s="17"/>
      <c r="D472" s="17"/>
      <c r="E472" s="17"/>
      <c r="F472" s="17"/>
      <c r="G472" s="18"/>
      <c r="H472" s="18"/>
      <c r="I472" s="18"/>
      <c r="J472" s="18"/>
    </row>
    <row r="473" spans="1:10">
      <c r="A473" s="2"/>
      <c r="B473" s="2"/>
      <c r="C473" s="17"/>
      <c r="D473" s="17"/>
      <c r="E473" s="17"/>
      <c r="F473" s="17"/>
      <c r="G473" s="18"/>
      <c r="H473" s="18"/>
      <c r="I473" s="18"/>
      <c r="J473" s="18"/>
    </row>
    <row r="474" spans="1:10">
      <c r="A474" s="2"/>
      <c r="B474" s="2"/>
      <c r="C474" s="17"/>
      <c r="D474" s="17"/>
      <c r="E474" s="17"/>
      <c r="F474" s="17"/>
      <c r="G474" s="18"/>
      <c r="H474" s="18"/>
      <c r="I474" s="18"/>
      <c r="J474" s="18"/>
    </row>
    <row r="475" spans="1:10">
      <c r="A475" s="2"/>
      <c r="B475" s="2"/>
      <c r="C475" s="17"/>
      <c r="D475" s="17"/>
      <c r="E475" s="17"/>
      <c r="F475" s="17"/>
      <c r="G475" s="18"/>
      <c r="H475" s="18"/>
      <c r="I475" s="18"/>
      <c r="J475" s="18"/>
    </row>
    <row r="476" spans="1:10">
      <c r="A476" s="3"/>
      <c r="B476" s="2"/>
      <c r="C476" s="17"/>
      <c r="D476" s="17"/>
      <c r="E476" s="17"/>
      <c r="F476" s="17"/>
      <c r="G476" s="18"/>
      <c r="H476" s="18"/>
      <c r="I476" s="18"/>
      <c r="J476" s="18"/>
    </row>
    <row r="477" spans="1:10">
      <c r="A477" s="4"/>
      <c r="B477" s="2"/>
      <c r="C477" s="17"/>
      <c r="D477" s="17"/>
      <c r="E477" s="17"/>
      <c r="F477" s="17"/>
      <c r="G477" s="18"/>
      <c r="H477" s="18"/>
      <c r="I477" s="18"/>
      <c r="J477" s="18"/>
    </row>
    <row r="478" spans="1:10">
      <c r="A478" s="4"/>
      <c r="B478" s="2"/>
      <c r="C478" s="17"/>
      <c r="D478" s="17"/>
      <c r="E478" s="17"/>
      <c r="F478" s="17"/>
      <c r="G478" s="18"/>
      <c r="H478" s="18"/>
      <c r="I478" s="18"/>
      <c r="J478" s="18"/>
    </row>
    <row r="479" spans="1:10">
      <c r="A479" s="3"/>
      <c r="B479" s="2"/>
      <c r="C479" s="17"/>
      <c r="D479" s="17"/>
      <c r="E479" s="17"/>
      <c r="F479" s="17"/>
      <c r="G479" s="18"/>
      <c r="H479" s="18"/>
      <c r="I479" s="18"/>
      <c r="J479" s="18"/>
    </row>
    <row r="480" spans="1:10">
      <c r="A480" s="3"/>
      <c r="B480" s="2"/>
      <c r="C480" s="17"/>
      <c r="D480" s="17"/>
      <c r="E480" s="17"/>
      <c r="F480" s="17"/>
      <c r="G480" s="18"/>
      <c r="H480" s="18"/>
      <c r="I480" s="18"/>
      <c r="J480" s="18"/>
    </row>
    <row r="481" spans="1:10">
      <c r="A481" s="3"/>
      <c r="B481" s="2"/>
      <c r="C481" s="17"/>
      <c r="D481" s="17"/>
      <c r="E481" s="17"/>
      <c r="F481" s="17"/>
      <c r="G481" s="18"/>
      <c r="H481" s="18"/>
      <c r="I481" s="18"/>
      <c r="J481" s="18"/>
    </row>
    <row r="482" spans="1:10">
      <c r="A482" s="3"/>
      <c r="B482" s="2"/>
      <c r="C482" s="17"/>
      <c r="D482" s="17"/>
      <c r="E482" s="17"/>
      <c r="F482" s="17"/>
      <c r="G482" s="18"/>
      <c r="H482" s="18"/>
      <c r="I482" s="18"/>
      <c r="J482" s="18"/>
    </row>
    <row r="483" spans="1:10">
      <c r="A483" s="3"/>
      <c r="B483" s="2"/>
      <c r="C483" s="17"/>
      <c r="D483" s="17"/>
      <c r="E483" s="17"/>
      <c r="F483" s="17"/>
      <c r="G483" s="18"/>
      <c r="H483" s="18"/>
      <c r="I483" s="18"/>
      <c r="J483" s="18"/>
    </row>
    <row r="484" spans="1:10">
      <c r="A484" s="3"/>
      <c r="B484" s="2"/>
      <c r="C484" s="17"/>
      <c r="D484" s="17"/>
      <c r="E484" s="17"/>
      <c r="F484" s="17"/>
      <c r="G484" s="18"/>
      <c r="H484" s="18"/>
      <c r="I484" s="18"/>
      <c r="J484" s="18"/>
    </row>
    <row r="485" spans="1:10">
      <c r="A485" s="3"/>
      <c r="B485" s="2"/>
      <c r="C485" s="17"/>
      <c r="D485" s="17"/>
      <c r="E485" s="17"/>
      <c r="F485" s="17"/>
      <c r="G485" s="18"/>
      <c r="H485" s="18"/>
      <c r="I485" s="18"/>
      <c r="J485" s="18"/>
    </row>
    <row r="486" spans="1:10">
      <c r="A486" s="3"/>
      <c r="B486" s="2"/>
      <c r="C486" s="17"/>
      <c r="D486" s="17"/>
      <c r="E486" s="17"/>
      <c r="F486" s="17"/>
      <c r="G486" s="18"/>
      <c r="H486" s="18"/>
      <c r="I486" s="18"/>
      <c r="J486" s="18"/>
    </row>
    <row r="487" spans="1:10">
      <c r="A487" s="3"/>
      <c r="B487" s="2"/>
      <c r="C487" s="17"/>
      <c r="D487" s="17"/>
      <c r="E487" s="17"/>
      <c r="F487" s="17"/>
      <c r="G487" s="18"/>
      <c r="H487" s="18"/>
      <c r="I487" s="18"/>
      <c r="J487" s="18"/>
    </row>
    <row r="488" spans="1:10">
      <c r="A488" s="2"/>
      <c r="B488" s="2"/>
      <c r="C488" s="17"/>
      <c r="D488" s="17"/>
      <c r="E488" s="17"/>
      <c r="F488" s="17"/>
      <c r="G488" s="18"/>
      <c r="H488" s="18"/>
      <c r="I488" s="18"/>
      <c r="J488" s="18"/>
    </row>
    <row r="489" spans="1:10">
      <c r="A489" s="2"/>
      <c r="B489" s="2"/>
      <c r="C489" s="17"/>
      <c r="D489" s="17"/>
      <c r="E489" s="17"/>
      <c r="F489" s="17"/>
      <c r="G489" s="18"/>
      <c r="H489" s="18"/>
      <c r="I489" s="18"/>
      <c r="J489" s="18"/>
    </row>
    <row r="490" spans="1:10">
      <c r="A490" s="2"/>
      <c r="B490" s="2"/>
      <c r="C490" s="17"/>
      <c r="D490" s="17"/>
      <c r="E490" s="17"/>
      <c r="F490" s="17"/>
      <c r="G490" s="18"/>
      <c r="H490" s="18"/>
      <c r="I490" s="18"/>
      <c r="J490" s="18"/>
    </row>
    <row r="491" spans="1:10">
      <c r="A491" s="2"/>
      <c r="B491" s="2"/>
      <c r="C491" s="17"/>
      <c r="D491" s="17"/>
      <c r="E491" s="17"/>
      <c r="F491" s="17"/>
      <c r="G491" s="18"/>
      <c r="H491" s="18"/>
      <c r="I491" s="18"/>
      <c r="J491" s="18"/>
    </row>
    <row r="492" spans="1:10">
      <c r="A492" s="2"/>
      <c r="B492" s="2"/>
      <c r="C492" s="17"/>
      <c r="D492" s="17"/>
      <c r="E492" s="17"/>
      <c r="F492" s="17"/>
      <c r="G492" s="18"/>
      <c r="H492" s="18"/>
      <c r="I492" s="18"/>
      <c r="J492" s="18"/>
    </row>
    <row r="493" spans="1:10">
      <c r="A493" s="2"/>
      <c r="B493" s="2"/>
      <c r="C493" s="17"/>
      <c r="D493" s="17"/>
      <c r="E493" s="17"/>
      <c r="F493" s="17"/>
      <c r="G493" s="18"/>
      <c r="H493" s="18"/>
      <c r="I493" s="18"/>
      <c r="J493" s="18"/>
    </row>
    <row r="494" spans="1:10">
      <c r="A494" s="3"/>
      <c r="B494" s="2"/>
      <c r="C494" s="17"/>
      <c r="D494" s="17"/>
      <c r="E494" s="17"/>
      <c r="F494" s="17"/>
      <c r="G494" s="18"/>
      <c r="H494" s="18"/>
      <c r="I494" s="18"/>
      <c r="J494" s="18"/>
    </row>
    <row r="495" spans="1:10">
      <c r="A495" s="2"/>
      <c r="B495" s="2"/>
      <c r="C495" s="17"/>
      <c r="D495" s="17"/>
      <c r="E495" s="17"/>
      <c r="F495" s="17"/>
      <c r="G495" s="18"/>
      <c r="H495" s="18"/>
      <c r="I495" s="18"/>
      <c r="J495" s="18"/>
    </row>
    <row r="496" spans="1:10">
      <c r="A496" s="2"/>
      <c r="B496" s="2"/>
      <c r="C496" s="17"/>
      <c r="D496" s="17"/>
      <c r="E496" s="17"/>
      <c r="F496" s="17"/>
      <c r="G496" s="18"/>
      <c r="H496" s="18"/>
      <c r="I496" s="18"/>
      <c r="J496" s="18"/>
    </row>
    <row r="497" spans="1:10">
      <c r="A497" s="2"/>
      <c r="B497" s="2"/>
      <c r="C497" s="17"/>
      <c r="D497" s="17"/>
      <c r="E497" s="17"/>
      <c r="F497" s="17"/>
      <c r="G497" s="18"/>
      <c r="H497" s="18"/>
      <c r="I497" s="18"/>
      <c r="J497" s="18"/>
    </row>
    <row r="498" spans="1:10">
      <c r="A498" s="2"/>
      <c r="B498" s="2"/>
      <c r="C498" s="17"/>
      <c r="D498" s="17"/>
      <c r="E498" s="17"/>
      <c r="F498" s="17"/>
      <c r="G498" s="18"/>
      <c r="H498" s="18"/>
      <c r="I498" s="18"/>
      <c r="J498" s="18"/>
    </row>
    <row r="499" spans="1:10">
      <c r="A499" s="2"/>
      <c r="B499" s="2"/>
      <c r="C499" s="17"/>
      <c r="D499" s="17"/>
      <c r="E499" s="17"/>
      <c r="F499" s="17"/>
      <c r="G499" s="18"/>
      <c r="H499" s="18"/>
      <c r="I499" s="18"/>
      <c r="J499" s="18"/>
    </row>
    <row r="500" spans="1:10">
      <c r="A500" s="2"/>
      <c r="B500" s="2"/>
      <c r="C500" s="17"/>
      <c r="D500" s="17"/>
      <c r="E500" s="17"/>
      <c r="F500" s="17"/>
      <c r="G500" s="18"/>
      <c r="H500" s="18"/>
      <c r="I500" s="18"/>
      <c r="J500" s="18"/>
    </row>
    <row r="501" spans="1:10">
      <c r="A501" s="2"/>
      <c r="B501" s="2"/>
      <c r="C501" s="17"/>
      <c r="D501" s="17"/>
      <c r="E501" s="17"/>
      <c r="F501" s="17"/>
      <c r="G501" s="18"/>
      <c r="H501" s="18"/>
      <c r="I501" s="18"/>
      <c r="J501" s="18"/>
    </row>
    <row r="502" spans="1:10">
      <c r="A502" s="2"/>
      <c r="B502" s="2"/>
      <c r="C502" s="17"/>
      <c r="D502" s="17"/>
      <c r="E502" s="17"/>
      <c r="F502" s="17"/>
      <c r="G502" s="18"/>
      <c r="H502" s="18"/>
      <c r="I502" s="18"/>
      <c r="J502" s="18"/>
    </row>
    <row r="503" spans="1:10">
      <c r="A503" s="2"/>
      <c r="B503" s="2"/>
      <c r="C503" s="17"/>
      <c r="D503" s="17"/>
      <c r="E503" s="17"/>
      <c r="F503" s="17"/>
      <c r="G503" s="18"/>
      <c r="H503" s="18"/>
      <c r="I503" s="18"/>
      <c r="J503" s="18"/>
    </row>
    <row r="504" spans="1:10">
      <c r="A504" s="2"/>
      <c r="B504" s="2"/>
      <c r="C504" s="17"/>
      <c r="D504" s="17"/>
      <c r="E504" s="17"/>
      <c r="F504" s="17"/>
      <c r="G504" s="18"/>
      <c r="H504" s="18"/>
      <c r="I504" s="18"/>
      <c r="J504" s="18"/>
    </row>
    <row r="505" spans="1:10">
      <c r="A505" s="2"/>
      <c r="B505" s="2"/>
      <c r="C505" s="17"/>
      <c r="D505" s="17"/>
      <c r="E505" s="17"/>
      <c r="F505" s="17"/>
      <c r="G505" s="18"/>
      <c r="H505" s="18"/>
      <c r="I505" s="18"/>
      <c r="J505" s="18"/>
    </row>
    <row r="506" spans="1:10">
      <c r="A506" s="2"/>
      <c r="B506" s="2"/>
      <c r="C506" s="17"/>
      <c r="D506" s="17"/>
      <c r="E506" s="17"/>
      <c r="F506" s="17"/>
      <c r="G506" s="18"/>
      <c r="H506" s="18"/>
      <c r="I506" s="18"/>
      <c r="J506" s="18"/>
    </row>
    <row r="507" spans="1:10">
      <c r="A507" s="3"/>
      <c r="B507" s="2"/>
      <c r="C507" s="17"/>
      <c r="D507" s="17"/>
      <c r="E507" s="17"/>
      <c r="F507" s="17"/>
      <c r="G507" s="18"/>
      <c r="H507" s="18"/>
      <c r="I507" s="18"/>
      <c r="J507" s="18"/>
    </row>
    <row r="508" spans="1:10">
      <c r="A508" s="2"/>
      <c r="B508" s="2"/>
      <c r="C508" s="17"/>
      <c r="D508" s="17"/>
      <c r="E508" s="17"/>
      <c r="F508" s="17"/>
      <c r="G508" s="18"/>
      <c r="H508" s="18"/>
      <c r="I508" s="18"/>
      <c r="J508" s="18"/>
    </row>
    <row r="509" spans="1:10">
      <c r="A509" s="2"/>
      <c r="B509" s="2"/>
      <c r="C509" s="17"/>
      <c r="D509" s="17"/>
      <c r="E509" s="17"/>
      <c r="F509" s="17"/>
      <c r="G509" s="18"/>
      <c r="H509" s="18"/>
      <c r="I509" s="18"/>
      <c r="J509" s="18"/>
    </row>
    <row r="510" spans="1:10">
      <c r="A510" s="3"/>
      <c r="B510" s="2"/>
      <c r="C510" s="17"/>
      <c r="D510" s="17"/>
      <c r="E510" s="17"/>
      <c r="F510" s="17"/>
      <c r="G510" s="18"/>
      <c r="H510" s="18"/>
      <c r="I510" s="18"/>
      <c r="J510" s="18"/>
    </row>
    <row r="511" spans="1:10">
      <c r="A511" s="3"/>
      <c r="B511" s="2"/>
      <c r="C511" s="17"/>
      <c r="D511" s="17"/>
      <c r="E511" s="17"/>
      <c r="F511" s="17"/>
      <c r="G511" s="18"/>
      <c r="H511" s="18"/>
      <c r="I511" s="18"/>
      <c r="J511" s="18"/>
    </row>
    <row r="512" spans="1:10">
      <c r="A512" s="2"/>
      <c r="B512" s="2"/>
      <c r="C512" s="17"/>
      <c r="D512" s="17"/>
      <c r="E512" s="17"/>
      <c r="F512" s="17"/>
      <c r="G512" s="18"/>
      <c r="H512" s="18"/>
      <c r="I512" s="18"/>
      <c r="J512" s="18"/>
    </row>
    <row r="513" spans="1:10">
      <c r="A513" s="2"/>
      <c r="B513" s="2"/>
      <c r="C513" s="17"/>
      <c r="D513" s="17"/>
      <c r="E513" s="17"/>
      <c r="F513" s="17"/>
      <c r="G513" s="18"/>
      <c r="H513" s="18"/>
      <c r="I513" s="18"/>
      <c r="J513" s="18"/>
    </row>
    <row r="514" spans="1:10">
      <c r="A514" s="2"/>
      <c r="B514" s="2"/>
      <c r="C514" s="17"/>
      <c r="D514" s="17"/>
      <c r="E514" s="17"/>
      <c r="F514" s="17"/>
      <c r="G514" s="18"/>
      <c r="H514" s="18"/>
      <c r="I514" s="18"/>
      <c r="J514" s="18"/>
    </row>
    <row r="515" spans="1:10">
      <c r="A515" s="2"/>
      <c r="B515" s="2"/>
      <c r="C515" s="17"/>
      <c r="D515" s="17"/>
      <c r="E515" s="17"/>
      <c r="F515" s="17"/>
      <c r="G515" s="18"/>
      <c r="H515" s="18"/>
      <c r="I515" s="18"/>
      <c r="J515" s="18"/>
    </row>
    <row r="516" spans="1:10">
      <c r="A516" s="2"/>
      <c r="B516" s="2"/>
      <c r="C516" s="17"/>
      <c r="D516" s="17"/>
      <c r="E516" s="17"/>
      <c r="F516" s="17"/>
      <c r="G516" s="18"/>
      <c r="H516" s="18"/>
      <c r="I516" s="18"/>
      <c r="J516" s="18"/>
    </row>
    <row r="517" spans="1:10">
      <c r="A517" s="2"/>
      <c r="B517" s="2"/>
      <c r="C517" s="17"/>
      <c r="D517" s="17"/>
      <c r="E517" s="17"/>
      <c r="F517" s="17"/>
      <c r="G517" s="18"/>
      <c r="H517" s="18"/>
      <c r="I517" s="18"/>
      <c r="J517" s="18"/>
    </row>
    <row r="518" spans="1:10">
      <c r="A518" s="2"/>
      <c r="B518" s="2"/>
      <c r="C518" s="17"/>
      <c r="D518" s="17"/>
      <c r="E518" s="17"/>
      <c r="F518" s="17"/>
      <c r="G518" s="18"/>
      <c r="H518" s="18"/>
      <c r="I518" s="18"/>
      <c r="J518" s="18"/>
    </row>
    <row r="519" spans="1:10">
      <c r="A519" s="3"/>
      <c r="B519" s="2"/>
      <c r="C519" s="17"/>
      <c r="D519" s="17"/>
      <c r="E519" s="17"/>
      <c r="F519" s="17"/>
      <c r="G519" s="18"/>
      <c r="H519" s="18"/>
      <c r="I519" s="18"/>
      <c r="J519" s="18"/>
    </row>
    <row r="520" spans="1:10">
      <c r="A520" s="2"/>
      <c r="B520" s="2"/>
      <c r="C520" s="17"/>
      <c r="D520" s="17"/>
      <c r="E520" s="17"/>
      <c r="F520" s="17"/>
      <c r="G520" s="18"/>
      <c r="H520" s="18"/>
      <c r="I520" s="18"/>
      <c r="J520" s="18"/>
    </row>
    <row r="521" spans="1:10">
      <c r="A521" s="2"/>
      <c r="B521" s="2"/>
      <c r="C521" s="17"/>
      <c r="D521" s="17"/>
      <c r="E521" s="17"/>
      <c r="F521" s="17"/>
      <c r="G521" s="18"/>
      <c r="H521" s="18"/>
      <c r="I521" s="18"/>
      <c r="J521" s="18"/>
    </row>
    <row r="522" spans="1:10">
      <c r="A522" s="2"/>
      <c r="B522" s="2"/>
      <c r="C522" s="17"/>
      <c r="D522" s="17"/>
      <c r="E522" s="17"/>
      <c r="F522" s="17"/>
      <c r="G522" s="18"/>
      <c r="H522" s="18"/>
      <c r="I522" s="18"/>
      <c r="J522" s="18"/>
    </row>
    <row r="523" spans="1:10">
      <c r="A523" s="2"/>
      <c r="B523" s="2"/>
      <c r="C523" s="17"/>
      <c r="D523" s="17"/>
      <c r="E523" s="17"/>
      <c r="F523" s="17"/>
      <c r="G523" s="18"/>
      <c r="H523" s="18"/>
      <c r="I523" s="18"/>
      <c r="J523" s="18"/>
    </row>
    <row r="524" spans="1:10">
      <c r="A524" s="2"/>
      <c r="B524" s="2"/>
      <c r="C524" s="17"/>
      <c r="D524" s="17"/>
      <c r="E524" s="17"/>
      <c r="F524" s="17"/>
      <c r="G524" s="18"/>
      <c r="H524" s="18"/>
      <c r="I524" s="18"/>
      <c r="J524" s="18"/>
    </row>
    <row r="525" spans="1:10">
      <c r="A525" s="2"/>
      <c r="B525" s="2"/>
      <c r="C525" s="17"/>
      <c r="D525" s="17"/>
      <c r="E525" s="17"/>
      <c r="F525" s="17"/>
      <c r="G525" s="18"/>
      <c r="H525" s="18"/>
      <c r="I525" s="18"/>
      <c r="J525" s="18"/>
    </row>
    <row r="526" spans="1:10">
      <c r="A526" s="2"/>
      <c r="B526" s="2"/>
      <c r="C526" s="17"/>
      <c r="D526" s="17"/>
      <c r="E526" s="17"/>
      <c r="F526" s="17"/>
      <c r="G526" s="18"/>
      <c r="H526" s="18"/>
      <c r="I526" s="18"/>
      <c r="J526" s="18"/>
    </row>
    <row r="527" spans="1:10">
      <c r="A527" s="2"/>
      <c r="B527" s="2"/>
      <c r="C527" s="17"/>
      <c r="D527" s="17"/>
      <c r="E527" s="17"/>
      <c r="F527" s="17"/>
      <c r="G527" s="18"/>
      <c r="H527" s="18"/>
      <c r="I527" s="18"/>
      <c r="J527" s="18"/>
    </row>
    <row r="528" spans="1:10">
      <c r="A528" s="2"/>
      <c r="B528" s="2"/>
      <c r="C528" s="17"/>
      <c r="D528" s="17"/>
      <c r="E528" s="17"/>
      <c r="F528" s="17"/>
      <c r="G528" s="18"/>
      <c r="H528" s="18"/>
      <c r="I528" s="18"/>
      <c r="J528" s="18"/>
    </row>
    <row r="529" spans="1:10">
      <c r="A529" s="2"/>
      <c r="B529" s="2"/>
      <c r="C529" s="17"/>
      <c r="D529" s="17"/>
      <c r="E529" s="17"/>
      <c r="F529" s="17"/>
      <c r="G529" s="18"/>
      <c r="H529" s="18"/>
      <c r="I529" s="18"/>
      <c r="J529" s="18"/>
    </row>
    <row r="530" spans="1:10">
      <c r="A530" s="2"/>
      <c r="B530" s="2"/>
      <c r="C530" s="17"/>
      <c r="D530" s="17"/>
      <c r="E530" s="17"/>
      <c r="F530" s="17"/>
      <c r="G530" s="18"/>
      <c r="H530" s="18"/>
      <c r="I530" s="18"/>
      <c r="J530" s="18"/>
    </row>
    <row r="531" spans="1:10">
      <c r="A531" s="2"/>
      <c r="B531" s="2"/>
      <c r="C531" s="17"/>
      <c r="D531" s="17"/>
      <c r="E531" s="17"/>
      <c r="F531" s="17"/>
      <c r="G531" s="18"/>
      <c r="H531" s="18"/>
      <c r="I531" s="18"/>
      <c r="J531" s="18"/>
    </row>
    <row r="532" spans="1:10">
      <c r="A532" s="2"/>
      <c r="B532" s="2"/>
      <c r="C532" s="17"/>
      <c r="D532" s="17"/>
      <c r="E532" s="17"/>
      <c r="F532" s="17"/>
      <c r="G532" s="18"/>
      <c r="H532" s="18"/>
      <c r="I532" s="18"/>
      <c r="J532" s="18"/>
    </row>
    <row r="533" spans="1:10">
      <c r="A533" s="2"/>
      <c r="B533" s="2"/>
      <c r="C533" s="17"/>
      <c r="D533" s="17"/>
      <c r="E533" s="17"/>
      <c r="F533" s="17"/>
      <c r="G533" s="18"/>
      <c r="H533" s="18"/>
      <c r="I533" s="18"/>
      <c r="J533" s="18"/>
    </row>
    <row r="534" spans="1:10">
      <c r="A534" s="2"/>
      <c r="B534" s="2"/>
      <c r="C534" s="17"/>
      <c r="D534" s="17"/>
      <c r="E534" s="17"/>
      <c r="F534" s="17"/>
      <c r="G534" s="18"/>
      <c r="H534" s="18"/>
      <c r="I534" s="18"/>
      <c r="J534" s="18"/>
    </row>
    <row r="535" spans="1:10">
      <c r="A535" s="2"/>
      <c r="B535" s="2"/>
      <c r="C535" s="17"/>
      <c r="D535" s="17"/>
      <c r="E535" s="17"/>
      <c r="F535" s="17"/>
      <c r="G535" s="18"/>
      <c r="H535" s="18"/>
      <c r="I535" s="18"/>
      <c r="J535" s="18"/>
    </row>
    <row r="536" spans="1:10">
      <c r="A536" s="2"/>
      <c r="B536" s="2"/>
      <c r="C536" s="17"/>
      <c r="D536" s="17"/>
      <c r="E536" s="17"/>
      <c r="F536" s="17"/>
      <c r="G536" s="18"/>
      <c r="H536" s="18"/>
      <c r="I536" s="18"/>
      <c r="J536" s="18"/>
    </row>
    <row r="537" spans="1:10">
      <c r="A537" s="2"/>
      <c r="B537" s="2"/>
      <c r="C537" s="17"/>
      <c r="D537" s="17"/>
      <c r="E537" s="17"/>
      <c r="F537" s="17"/>
      <c r="G537" s="18"/>
      <c r="H537" s="18"/>
      <c r="I537" s="18"/>
      <c r="J537" s="18"/>
    </row>
    <row r="538" spans="1:10">
      <c r="A538" s="2"/>
      <c r="B538" s="2"/>
      <c r="C538" s="17"/>
      <c r="D538" s="17"/>
      <c r="E538" s="17"/>
      <c r="F538" s="17"/>
      <c r="G538" s="18"/>
      <c r="H538" s="18"/>
      <c r="I538" s="18"/>
      <c r="J538" s="18"/>
    </row>
    <row r="539" spans="1:10">
      <c r="A539" s="2"/>
      <c r="B539" s="2"/>
      <c r="C539" s="17"/>
      <c r="D539" s="17"/>
      <c r="E539" s="17"/>
      <c r="F539" s="17"/>
      <c r="G539" s="18"/>
      <c r="H539" s="18"/>
      <c r="I539" s="18"/>
      <c r="J539" s="18"/>
    </row>
    <row r="540" spans="1:10">
      <c r="A540" s="2"/>
      <c r="B540" s="2"/>
      <c r="C540" s="17"/>
      <c r="D540" s="17"/>
      <c r="E540" s="17"/>
      <c r="F540" s="17"/>
      <c r="G540" s="18"/>
      <c r="H540" s="18"/>
      <c r="I540" s="18"/>
      <c r="J540" s="18"/>
    </row>
    <row r="541" spans="1:10">
      <c r="A541" s="2"/>
      <c r="B541" s="2"/>
      <c r="C541" s="17"/>
      <c r="D541" s="17"/>
      <c r="E541" s="17"/>
      <c r="F541" s="17"/>
      <c r="G541" s="18"/>
      <c r="H541" s="18"/>
      <c r="I541" s="18"/>
      <c r="J541" s="18"/>
    </row>
    <row r="542" spans="1:10">
      <c r="A542" s="2"/>
      <c r="B542" s="2"/>
      <c r="C542" s="17"/>
      <c r="D542" s="17"/>
      <c r="E542" s="17"/>
      <c r="F542" s="17"/>
      <c r="G542" s="18"/>
      <c r="H542" s="18"/>
      <c r="I542" s="18"/>
      <c r="J542" s="18"/>
    </row>
    <row r="543" spans="1:10">
      <c r="A543" s="2"/>
      <c r="B543" s="2"/>
      <c r="C543" s="17"/>
      <c r="D543" s="17"/>
      <c r="E543" s="17"/>
      <c r="F543" s="17"/>
      <c r="G543" s="18"/>
      <c r="H543" s="18"/>
      <c r="I543" s="18"/>
      <c r="J543" s="18"/>
    </row>
  </sheetData>
  <autoFilter ref="A1:J543" xr:uid="{C4424774-DA22-44DB-965F-2FBD1917931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B0C7F-A4BD-45A7-8183-7C16D80D63D3}">
  <dimension ref="A1:C8"/>
  <sheetViews>
    <sheetView topLeftCell="C1" workbookViewId="0">
      <selection activeCell="N16" sqref="N16"/>
    </sheetView>
  </sheetViews>
  <sheetFormatPr defaultRowHeight="14.5"/>
  <cols>
    <col min="1" max="1" width="12.36328125" bestFit="1" customWidth="1"/>
    <col min="2" max="2" width="22.90625" bestFit="1" customWidth="1"/>
    <col min="3" max="3" width="25.453125" bestFit="1" customWidth="1"/>
  </cols>
  <sheetData>
    <row r="1" spans="1:3">
      <c r="A1" s="24" t="s">
        <v>37</v>
      </c>
      <c r="B1" t="s">
        <v>82</v>
      </c>
      <c r="C1" t="s">
        <v>83</v>
      </c>
    </row>
    <row r="2" spans="1:3">
      <c r="A2" s="30">
        <v>45962</v>
      </c>
      <c r="B2" s="27">
        <v>0</v>
      </c>
      <c r="C2" s="27">
        <v>0</v>
      </c>
    </row>
    <row r="3" spans="1:3">
      <c r="A3" s="30">
        <v>45992</v>
      </c>
      <c r="B3" s="27">
        <v>6.25E-2</v>
      </c>
      <c r="C3" s="27">
        <v>6.25E-2</v>
      </c>
    </row>
    <row r="4" spans="1:3">
      <c r="A4" s="30">
        <v>46023</v>
      </c>
      <c r="B4" s="27">
        <v>0.6875</v>
      </c>
      <c r="C4" s="27">
        <v>0.3125</v>
      </c>
    </row>
    <row r="5" spans="1:3">
      <c r="A5" s="30">
        <v>46054</v>
      </c>
      <c r="B5" s="27">
        <v>1</v>
      </c>
      <c r="C5" s="27">
        <v>0.3125</v>
      </c>
    </row>
    <row r="6" spans="1:3">
      <c r="A6" s="30">
        <v>46082</v>
      </c>
      <c r="B6" s="27">
        <v>1</v>
      </c>
      <c r="C6" s="27">
        <v>0.3125</v>
      </c>
    </row>
    <row r="7" spans="1:3">
      <c r="A7" s="30">
        <v>46113</v>
      </c>
      <c r="B7" s="27">
        <v>1</v>
      </c>
      <c r="C7" s="27">
        <v>1</v>
      </c>
    </row>
    <row r="8" spans="1:3">
      <c r="A8" s="30" t="s">
        <v>38</v>
      </c>
      <c r="B8" s="27"/>
      <c r="C8" s="2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30FD-6DA7-4965-8896-78396F49C456}">
  <dimension ref="A1:AS90"/>
  <sheetViews>
    <sheetView topLeftCell="V2" workbookViewId="0">
      <selection activeCell="AA2" sqref="AA2:AE22"/>
    </sheetView>
  </sheetViews>
  <sheetFormatPr defaultRowHeight="14.5"/>
  <cols>
    <col min="1" max="1" width="11.36328125" bestFit="1" customWidth="1"/>
    <col min="2" max="2" width="15.26953125" bestFit="1" customWidth="1"/>
    <col min="3" max="4" width="9.08984375" bestFit="1" customWidth="1"/>
    <col min="5" max="6" width="10.7265625" bestFit="1" customWidth="1"/>
    <col min="7" max="7" width="16.36328125" bestFit="1" customWidth="1"/>
    <col min="8" max="8" width="18.90625" bestFit="1" customWidth="1"/>
    <col min="9" max="9" width="16.36328125" bestFit="1" customWidth="1"/>
    <col min="10" max="10" width="18.90625" bestFit="1" customWidth="1"/>
    <col min="13" max="13" width="11.1796875" bestFit="1" customWidth="1"/>
    <col min="14" max="14" width="16.36328125" bestFit="1" customWidth="1"/>
    <col min="15" max="15" width="18.90625" bestFit="1" customWidth="1"/>
    <col min="16" max="16" width="12.36328125" bestFit="1" customWidth="1"/>
    <col min="17" max="17" width="14.90625" bestFit="1" customWidth="1"/>
    <col min="20" max="20" width="11.1796875" bestFit="1" customWidth="1"/>
    <col min="21" max="21" width="16.36328125" bestFit="1" customWidth="1"/>
    <col min="22" max="22" width="18.90625" bestFit="1" customWidth="1"/>
    <col min="23" max="23" width="12.36328125" bestFit="1" customWidth="1"/>
    <col min="24" max="24" width="14.90625" bestFit="1" customWidth="1"/>
    <col min="27" max="27" width="10.26953125" bestFit="1" customWidth="1"/>
    <col min="28" max="28" width="16.36328125" bestFit="1" customWidth="1"/>
    <col min="29" max="29" width="18.90625" bestFit="1" customWidth="1"/>
    <col min="30" max="30" width="12.36328125" bestFit="1" customWidth="1"/>
    <col min="31" max="31" width="14.90625" bestFit="1" customWidth="1"/>
    <col min="34" max="34" width="11.1796875" bestFit="1" customWidth="1"/>
    <col min="35" max="35" width="16.36328125" bestFit="1" customWidth="1"/>
    <col min="36" max="36" width="18.90625" bestFit="1" customWidth="1"/>
    <col min="37" max="37" width="12.36328125" bestFit="1" customWidth="1"/>
    <col min="38" max="38" width="14.90625" bestFit="1" customWidth="1"/>
    <col min="41" max="41" width="10.26953125" bestFit="1" customWidth="1"/>
    <col min="42" max="42" width="16.36328125" bestFit="1" customWidth="1"/>
    <col min="43" max="43" width="18.90625" bestFit="1" customWidth="1"/>
    <col min="44" max="44" width="12.36328125" bestFit="1" customWidth="1"/>
    <col min="45" max="45" width="14.90625" bestFit="1" customWidth="1"/>
  </cols>
  <sheetData>
    <row r="1" spans="1:45" ht="18.5">
      <c r="A1" s="13"/>
      <c r="B1" s="19" t="s">
        <v>26</v>
      </c>
      <c r="C1" s="13"/>
      <c r="F1" s="22" t="s">
        <v>29</v>
      </c>
      <c r="G1" s="21">
        <f>HLOOKUP(F1,$B$2:$D$3,2,FALSE)</f>
        <v>16</v>
      </c>
      <c r="M1" s="28" t="s">
        <v>16</v>
      </c>
      <c r="N1" s="29">
        <f>HLOOKUP(M1,$B$2:$D$3,2,FALSE)</f>
        <v>4</v>
      </c>
      <c r="O1" s="13"/>
      <c r="P1" s="13"/>
      <c r="Q1" s="13"/>
      <c r="T1" s="28" t="s">
        <v>15</v>
      </c>
      <c r="U1" s="29" t="e">
        <f>HLOOKUP(T1,$B$2:$D$3,2,FALSE)</f>
        <v>#N/A</v>
      </c>
      <c r="V1" s="13"/>
      <c r="W1" s="13"/>
      <c r="X1" s="13"/>
      <c r="AA1" s="28" t="s">
        <v>29</v>
      </c>
      <c r="AB1" s="29">
        <f>HLOOKUP(AA1,$B$2:$D$3,2,FALSE)</f>
        <v>16</v>
      </c>
      <c r="AC1" s="13"/>
      <c r="AD1" s="13"/>
      <c r="AE1" s="13"/>
      <c r="AH1" s="28" t="s">
        <v>16</v>
      </c>
      <c r="AI1" s="29">
        <f>HLOOKUP(AH1,$B$2:$D$3,2,FALSE)</f>
        <v>4</v>
      </c>
      <c r="AJ1" s="13"/>
      <c r="AK1" s="13"/>
      <c r="AL1" s="13"/>
      <c r="AO1" s="28" t="s">
        <v>15</v>
      </c>
      <c r="AP1" s="29" t="e">
        <f>HLOOKUP(AO1,$B$2:$D$3,2,FALSE)</f>
        <v>#N/A</v>
      </c>
      <c r="AQ1" s="13"/>
      <c r="AR1" s="13"/>
      <c r="AS1" s="13"/>
    </row>
    <row r="2" spans="1:45">
      <c r="A2" s="13"/>
      <c r="B2" s="20" t="s">
        <v>16</v>
      </c>
      <c r="C2" s="20" t="s">
        <v>29</v>
      </c>
      <c r="F2" s="20" t="s">
        <v>30</v>
      </c>
      <c r="G2" s="20" t="s">
        <v>33</v>
      </c>
      <c r="H2" s="20" t="s">
        <v>34</v>
      </c>
      <c r="I2" s="20" t="s">
        <v>35</v>
      </c>
      <c r="J2" s="20" t="s">
        <v>36</v>
      </c>
      <c r="M2" s="20" t="s">
        <v>30</v>
      </c>
      <c r="N2" s="20" t="s">
        <v>33</v>
      </c>
      <c r="O2" s="20" t="s">
        <v>34</v>
      </c>
      <c r="P2" s="20" t="s">
        <v>35</v>
      </c>
      <c r="Q2" s="20" t="s">
        <v>36</v>
      </c>
      <c r="T2" s="20" t="s">
        <v>30</v>
      </c>
      <c r="U2" s="20" t="s">
        <v>33</v>
      </c>
      <c r="V2" s="20" t="s">
        <v>34</v>
      </c>
      <c r="W2" s="20" t="s">
        <v>35</v>
      </c>
      <c r="X2" s="20" t="s">
        <v>36</v>
      </c>
      <c r="AA2" s="20" t="s">
        <v>31</v>
      </c>
      <c r="AB2" s="20" t="s">
        <v>33</v>
      </c>
      <c r="AC2" s="20" t="s">
        <v>34</v>
      </c>
      <c r="AD2" s="20" t="s">
        <v>35</v>
      </c>
      <c r="AE2" s="20" t="s">
        <v>36</v>
      </c>
      <c r="AH2" s="20" t="s">
        <v>31</v>
      </c>
      <c r="AI2" s="20" t="s">
        <v>33</v>
      </c>
      <c r="AJ2" s="20" t="s">
        <v>34</v>
      </c>
      <c r="AK2" s="20" t="s">
        <v>35</v>
      </c>
      <c r="AL2" s="20" t="s">
        <v>36</v>
      </c>
      <c r="AO2" s="20" t="s">
        <v>31</v>
      </c>
      <c r="AP2" s="20" t="s">
        <v>33</v>
      </c>
      <c r="AQ2" s="20" t="s">
        <v>34</v>
      </c>
      <c r="AR2" s="20" t="s">
        <v>35</v>
      </c>
      <c r="AS2" s="20" t="s">
        <v>36</v>
      </c>
    </row>
    <row r="3" spans="1:45">
      <c r="A3" s="13" t="s">
        <v>32</v>
      </c>
      <c r="B3" s="38">
        <v>4</v>
      </c>
      <c r="C3" s="38">
        <v>16</v>
      </c>
      <c r="F3" s="17">
        <f>Mappings!B2</f>
        <v>45663</v>
      </c>
      <c r="G3" s="23" cm="1">
        <f t="array" ref="G3">IFERROR(ROWS(_xlfn._xlws.FILTER(
   DRG_Status!$A$2:$A$100000,
   (DRG_Status!$C$2:$C$100000=S_Curve_Data!F3) *
   (DRG_Status!$B$2:$B$100000=S_Curve_Data!$F$1)
)),0)/$G$1</f>
        <v>0</v>
      </c>
      <c r="H3" s="23" cm="1">
        <f t="array" ref="H3">IFERROR(ROWS(_xlfn._xlws.FILTER(
   DRG_Status!$A$2:$A$100000,
   (DRG_Status!$D$2:$D$100000=S_Curve_Data!F3) *
   (DRG_Status!$B$2:$B$100000=S_Curve_Data!$F$1)
)),0)/$G$1</f>
        <v>0</v>
      </c>
      <c r="I3" s="23" cm="1">
        <f t="array" ref="I3">IFERROR(ROWS(_xlfn._xlws.FILTER(
   DRG_Status!$A$2:$A$100000,
   (DRG_Status!$E$2:$E$100000=S_Curve_Data!F3) *
   (DRG_Status!$B$2:$B$100000=S_Curve_Data!$F$1)
)),0)/$G$1</f>
        <v>0</v>
      </c>
      <c r="J3" s="23" cm="1">
        <f t="array" ref="J3">IFERROR(ROWS(_xlfn._xlws.FILTER(
   DRG_Status!$A$2:$A$100000,
   (DRG_Status!$F$2:$F$100000=S_Curve_Data!F3) *
   (DRG_Status!$B$2:$B$100000=S_Curve_Data!$F$1)
)),0)/$G$1</f>
        <v>0</v>
      </c>
      <c r="M3" s="17">
        <f>Mappings!B2</f>
        <v>45663</v>
      </c>
      <c r="N3" s="23" cm="1">
        <f t="array" ref="N3">IFERROR(ROWS(_xlfn._xlws.FILTER(
   DRG_Status!$A$2:$A$100000,
   (DRG_Status!$C$2:$C$100000=S_Curve_Data!M3) *
   (DRG_Status!$B$2:$B$100000=S_Curve_Data!$M$1)
)),0)/$N$1</f>
        <v>0</v>
      </c>
      <c r="O3" s="23" cm="1">
        <f t="array" ref="O3">IFERROR(ROWS(_xlfn._xlws.FILTER(
   DRG_Status!$A$2:$A$100000,
   (DRG_Status!$D$2:$D$100000=S_Curve_Data!M3) *
   (DRG_Status!$B$2:$B$100000=S_Curve_Data!$M$1)
)),0)/$N$1</f>
        <v>0</v>
      </c>
      <c r="P3" s="23" cm="1">
        <f t="array" ref="P3">IFERROR(ROWS(_xlfn._xlws.FILTER(
   DRG_Status!$A$2:$A$100000,
   (DRG_Status!$E$2:$E$100000=S_Curve_Data!M3) *
   (DRG_Status!$B$2:$B$100000=S_Curve_Data!$M$1)
)),0)/$N$1</f>
        <v>0</v>
      </c>
      <c r="Q3" s="23" cm="1">
        <f t="array" ref="Q3">IFERROR(ROWS(_xlfn._xlws.FILTER(
   DRG_Status!$A$2:$A$100000,
   (DRG_Status!$F$2:$F$100000=S_Curve_Data!M3) *
   (DRG_Status!$B$2:$B$100000=S_Curve_Data!$M$1)
)),0)/$N$1</f>
        <v>0</v>
      </c>
      <c r="T3" s="17">
        <f>Mappings!B2</f>
        <v>45663</v>
      </c>
      <c r="U3" s="23" t="e" cm="1">
        <f t="array" ref="U3">IFERROR(ROWS(_xlfn._xlws.FILTER(
   DRG_Status!$A$2:$A$100000,
   (DRG_Status!$C$2:$C$100000=S_Curve_Data!T3) *
   (DRG_Status!$B$2:$B$100000=S_Curve_Data!$T$1)
)),0)/$U$1</f>
        <v>#N/A</v>
      </c>
      <c r="V3" s="23" t="e" cm="1">
        <f t="array" ref="V3">IFERROR(ROWS(_xlfn._xlws.FILTER(
   DRG_Status!$A$2:$A$100000,
   (DRG_Status!$D$2:$D$100000=S_Curve_Data!T3) *
   (DRG_Status!$B$2:$B$100000=S_Curve_Data!$T$1)
)),0)/$U$1</f>
        <v>#N/A</v>
      </c>
      <c r="W3" s="23" t="e" cm="1">
        <f t="array" ref="W3">IFERROR(ROWS(_xlfn._xlws.FILTER(
   DRG_Status!$A$2:$A$100000,
   (DRG_Status!$E$2:$E$100000=S_Curve_Data!T3) *
   (DRG_Status!$B$2:$B$100000=S_Curve_Data!$T$1)
)),0)/$U$1</f>
        <v>#N/A</v>
      </c>
      <c r="X3" s="23" t="e" cm="1">
        <f t="array" ref="X3">IFERROR(ROWS(_xlfn._xlws.FILTER(
   DRG_Status!$A$2:$A$100000,
   (DRG_Status!$F$2:$F$100000=S_Curve_Data!T3) *
   (DRG_Status!$B$2:$B$100000=S_Curve_Data!$T$1)
)),0)/$U$1</f>
        <v>#N/A</v>
      </c>
      <c r="AA3" s="18">
        <v>45658</v>
      </c>
      <c r="AB3" s="23" cm="1">
        <f t="array" ref="AB3">IFERROR(ROWS(_xlfn._xlws.FILTER(
   DRG_Status!$A$2:$A$100000,
   (DRG_Status!$G$2:$G$100000=S_Curve_Data!AA3) *
   (DRG_Status!$B$2:$B$100000=S_Curve_Data!$AA$1)
)),0)/$AB$1</f>
        <v>0</v>
      </c>
      <c r="AC3" s="23" cm="1">
        <f t="array" ref="AC3">IFERROR(ROWS(_xlfn._xlws.FILTER(
   DRG_Status!$A$2:$A$100000,
   (DRG_Status!$H$2:$H$100000=S_Curve_Data!AA3) *
   (DRG_Status!$B$2:$B$100000=S_Curve_Data!$AA$1)
)),0)/$AB$1</f>
        <v>0</v>
      </c>
      <c r="AD3" s="23" cm="1">
        <f t="array" ref="AD3">IFERROR(ROWS(_xlfn._xlws.FILTER(
   DRG_Status!$A$2:$A$100000,
   (DRG_Status!$I$2:$I$100000=S_Curve_Data!AA3) *
   (DRG_Status!$B$2:$B$100000=S_Curve_Data!$AA$1)
)),0)/$AB$1</f>
        <v>0</v>
      </c>
      <c r="AE3" s="23" cm="1">
        <f t="array" ref="AE3">IFERROR(ROWS(_xlfn._xlws.FILTER(
   DRG_Status!$A$2:$A$100000,
   (DRG_Status!$J$2:$J$100000=S_Curve_Data!AA3) *
   (DRG_Status!$B$2:$B$100000=S_Curve_Data!$AA$1)
)),0)/$AB$1</f>
        <v>0</v>
      </c>
      <c r="AH3" s="18">
        <v>45658</v>
      </c>
      <c r="AI3" s="23" cm="1">
        <f t="array" ref="AI3">IFERROR(ROWS(_xlfn._xlws.FILTER(
   DRG_Status!$A$2:$A$100000,
   (DRG_Status!$G$2:$G$100000=S_Curve_Data!AH3) *
   (DRG_Status!$B$2:$B$100000=S_Curve_Data!$AH$1)
)),0)/$AI$1</f>
        <v>0</v>
      </c>
      <c r="AJ3" s="23" cm="1">
        <f t="array" ref="AJ3">IFERROR(ROWS(_xlfn._xlws.FILTER(
   DRG_Status!$A$2:$A$100000,
   (DRG_Status!$H$2:$H$100000=S_Curve_Data!AH3) *
   (DRG_Status!$B$2:$B$100000=S_Curve_Data!$AH$1)
)),0)/$AI$1</f>
        <v>0</v>
      </c>
      <c r="AK3" s="23" cm="1">
        <f t="array" ref="AK3">IFERROR(ROWS(_xlfn._xlws.FILTER(
   DRG_Status!$A$2:$A$100000,
   (DRG_Status!$I$2:$I$100000=S_Curve_Data!AH3) *
   (DRG_Status!$B$2:$B$100000=S_Curve_Data!$AH$1)
)),0)/$AI$1</f>
        <v>0</v>
      </c>
      <c r="AL3" s="23" cm="1">
        <f t="array" ref="AL3">IFERROR(ROWS(_xlfn._xlws.FILTER(
   DRG_Status!$A$2:$A$100000,
   (DRG_Status!$J$2:$J$100000=S_Curve_Data!AH3) *
   (DRG_Status!$B$2:$B$100000=S_Curve_Data!$AH$1)
)),0)/$AI$1</f>
        <v>0</v>
      </c>
      <c r="AO3" s="18">
        <v>45658</v>
      </c>
      <c r="AP3" s="23" t="e" cm="1">
        <f t="array" ref="AP3">IFERROR(ROWS(_xlfn._xlws.FILTER(
   DRG_Status!$A$2:$A$100000,
   (DRG_Status!$G$2:$G$100000=S_Curve_Data!AO3) *
   (DRG_Status!$B$2:$B$100000=S_Curve_Data!$AO$1)
)),0)/$AP$1</f>
        <v>#N/A</v>
      </c>
      <c r="AQ3" s="23" t="e" cm="1">
        <f t="array" ref="AQ3">IFERROR(ROWS(_xlfn._xlws.FILTER(
   DRG_Status!$A$2:$A$100000,
   (DRG_Status!$H$2:$H$100000=S_Curve_Data!AO3) *
   (DRG_Status!$B$2:$B$100000=S_Curve_Data!$AO$1)
)),0)/$AP$1</f>
        <v>#N/A</v>
      </c>
      <c r="AR3" s="23" t="e" cm="1">
        <f t="array" ref="AR3">IFERROR(ROWS(_xlfn._xlws.FILTER(
   DRG_Status!$A$2:$A$100000,
   (DRG_Status!$I$2:$I$100000=S_Curve_Data!AO3) *
   (DRG_Status!$B$2:$B$100000=S_Curve_Data!$AO$1)
)),0)/$AP$1</f>
        <v>#N/A</v>
      </c>
      <c r="AS3" s="23" t="e" cm="1">
        <f t="array" ref="AS3">IFERROR(ROWS(_xlfn._xlws.FILTER(
   DRG_Status!$A$2:$A$100000,
   (DRG_Status!$J$2:$J$100000=S_Curve_Data!AO3) *
   (DRG_Status!$B$2:$B$100000=S_Curve_Data!$AO$1)
)),0)/$AP$1</f>
        <v>#N/A</v>
      </c>
    </row>
    <row r="4" spans="1:45">
      <c r="F4" s="17">
        <f>Mappings!B3</f>
        <v>45670</v>
      </c>
      <c r="G4" s="23" cm="1">
        <f t="array" ref="G4">IFERROR(ROWS(_xlfn._xlws.FILTER(
   DRG_Status!$A$2:$A$100000,
   (DRG_Status!$C$2:$C$100000=S_Curve_Data!F4) *
   (DRG_Status!$B$2:$B$100000=S_Curve_Data!$F$1)
)),0)/$G$1</f>
        <v>0</v>
      </c>
      <c r="H4" s="23" cm="1">
        <f t="array" ref="H4">IFERROR(ROWS(_xlfn._xlws.FILTER(
   DRG_Status!$A$2:$A$100000,
   (DRG_Status!$D$2:$D$100000=S_Curve_Data!F4) *
   (DRG_Status!$B$2:$B$100000=S_Curve_Data!$F$1)
)),0)/$G$1</f>
        <v>0</v>
      </c>
      <c r="I4" s="23" cm="1">
        <f t="array" ref="I4">IFERROR(ROWS(_xlfn._xlws.FILTER(
   DRG_Status!$A$2:$A$100000,
   (DRG_Status!$E$2:$E$100000=S_Curve_Data!F4) *
   (DRG_Status!$B$2:$B$100000=S_Curve_Data!$F$1)
)),0)/$G$1</f>
        <v>0</v>
      </c>
      <c r="J4" s="23" cm="1">
        <f t="array" ref="J4">IFERROR(ROWS(_xlfn._xlws.FILTER(
   DRG_Status!$A$2:$A$100000,
   (DRG_Status!$F$2:$F$100000=S_Curve_Data!F4) *
   (DRG_Status!$B$2:$B$100000=S_Curve_Data!$F$1)
)),0)/$G$1</f>
        <v>0</v>
      </c>
      <c r="M4" s="17">
        <f>Mappings!B3</f>
        <v>45670</v>
      </c>
      <c r="N4" s="23" cm="1">
        <f t="array" ref="N4">IFERROR(ROWS(_xlfn._xlws.FILTER(
   DRG_Status!$A$2:$A$100000,
   (DRG_Status!$C$2:$C$100000=S_Curve_Data!M4) *
   (DRG_Status!$B$2:$B$100000=S_Curve_Data!$M$1)
)),0)/$N$1</f>
        <v>0</v>
      </c>
      <c r="O4" s="23" cm="1">
        <f t="array" ref="O4">IFERROR(ROWS(_xlfn._xlws.FILTER(
   DRG_Status!$A$2:$A$100000,
   (DRG_Status!$D$2:$D$100000=S_Curve_Data!M4) *
   (DRG_Status!$B$2:$B$100000=S_Curve_Data!$M$1)
)),0)/$N$1</f>
        <v>0</v>
      </c>
      <c r="P4" s="23" cm="1">
        <f t="array" ref="P4">IFERROR(ROWS(_xlfn._xlws.FILTER(
   DRG_Status!$A$2:$A$100000,
   (DRG_Status!$E$2:$E$100000=S_Curve_Data!M4) *
   (DRG_Status!$B$2:$B$100000=S_Curve_Data!$M$1)
)),0)/$N$1</f>
        <v>0</v>
      </c>
      <c r="Q4" s="23" cm="1">
        <f t="array" ref="Q4">IFERROR(ROWS(_xlfn._xlws.FILTER(
   DRG_Status!$A$2:$A$100000,
   (DRG_Status!$F$2:$F$100000=S_Curve_Data!M4) *
   (DRG_Status!$B$2:$B$100000=S_Curve_Data!$M$1)
)),0)/$N$1</f>
        <v>0</v>
      </c>
      <c r="T4" s="17">
        <f>Mappings!B3</f>
        <v>45670</v>
      </c>
      <c r="U4" s="23" t="e" cm="1">
        <f t="array" ref="U4">IFERROR(ROWS(_xlfn._xlws.FILTER(
   DRG_Status!$A$2:$A$100000,
   (DRG_Status!$C$2:$C$100000=S_Curve_Data!T4) *
   (DRG_Status!$B$2:$B$100000=S_Curve_Data!$T$1)
)),0)/$U$1</f>
        <v>#N/A</v>
      </c>
      <c r="V4" s="23" t="e" cm="1">
        <f t="array" ref="V4">IFERROR(ROWS(_xlfn._xlws.FILTER(
   DRG_Status!$A$2:$A$100000,
   (DRG_Status!$D$2:$D$100000=S_Curve_Data!T4) *
   (DRG_Status!$B$2:$B$100000=S_Curve_Data!$T$1)
)),0)/$U$1</f>
        <v>#N/A</v>
      </c>
      <c r="W4" s="23" t="e" cm="1">
        <f t="array" ref="W4">IFERROR(ROWS(_xlfn._xlws.FILTER(
   DRG_Status!$A$2:$A$100000,
   (DRG_Status!$E$2:$E$100000=S_Curve_Data!T4) *
   (DRG_Status!$B$2:$B$100000=S_Curve_Data!$T$1)
)),0)/$U$1</f>
        <v>#N/A</v>
      </c>
      <c r="X4" s="23" t="e" cm="1">
        <f t="array" ref="X4">IFERROR(ROWS(_xlfn._xlws.FILTER(
   DRG_Status!$A$2:$A$100000,
   (DRG_Status!$F$2:$F$100000=S_Curve_Data!T4) *
   (DRG_Status!$B$2:$B$100000=S_Curve_Data!$T$1)
)),0)/$U$1</f>
        <v>#N/A</v>
      </c>
      <c r="AA4" s="18">
        <v>45689</v>
      </c>
      <c r="AB4" s="23" cm="1">
        <f t="array" ref="AB4">IFERROR(ROWS(_xlfn._xlws.FILTER(
   DRG_Status!$A$2:$A$100000,
   (DRG_Status!$G$2:$G$100000=S_Curve_Data!AA4) *
   (DRG_Status!$B$2:$B$100000=S_Curve_Data!$AA$1)
)),0)/$AB$1</f>
        <v>0</v>
      </c>
      <c r="AC4" s="23" cm="1">
        <f t="array" ref="AC4">IFERROR(ROWS(_xlfn._xlws.FILTER(
   DRG_Status!$A$2:$A$100000,
   (DRG_Status!$H$2:$H$100000=S_Curve_Data!AA4) *
   (DRG_Status!$B$2:$B$100000=S_Curve_Data!$AA$1)
)),0)/$AB$1</f>
        <v>0</v>
      </c>
      <c r="AD4" s="23" cm="1">
        <f t="array" ref="AD4">IFERROR(ROWS(_xlfn._xlws.FILTER(
   DRG_Status!$A$2:$A$100000,
   (DRG_Status!$I$2:$I$100000=S_Curve_Data!AA4) *
   (DRG_Status!$B$2:$B$100000=S_Curve_Data!$AA$1)
)),0)/$AB$1</f>
        <v>0</v>
      </c>
      <c r="AE4" s="23" cm="1">
        <f t="array" ref="AE4">IFERROR(ROWS(_xlfn._xlws.FILTER(
   DRG_Status!$A$2:$A$100000,
   (DRG_Status!$J$2:$J$100000=S_Curve_Data!AA4) *
   (DRG_Status!$B$2:$B$100000=S_Curve_Data!$AA$1)
)),0)/$AB$1</f>
        <v>0</v>
      </c>
      <c r="AH4" s="18">
        <v>45689</v>
      </c>
      <c r="AI4" s="23" cm="1">
        <f t="array" ref="AI4">IFERROR(ROWS(_xlfn._xlws.FILTER(
   DRG_Status!$A$2:$A$100000,
   (DRG_Status!$G$2:$G$100000=S_Curve_Data!AH4) *
   (DRG_Status!$B$2:$B$100000=S_Curve_Data!$AH$1)
)),0)/$AI$1</f>
        <v>0</v>
      </c>
      <c r="AJ4" s="23" cm="1">
        <f t="array" ref="AJ4">IFERROR(ROWS(_xlfn._xlws.FILTER(
   DRG_Status!$A$2:$A$100000,
   (DRG_Status!$H$2:$H$100000=S_Curve_Data!AH4) *
   (DRG_Status!$B$2:$B$100000=S_Curve_Data!$AH$1)
)),0)/$AI$1</f>
        <v>0</v>
      </c>
      <c r="AK4" s="23" cm="1">
        <f t="array" ref="AK4">IFERROR(ROWS(_xlfn._xlws.FILTER(
   DRG_Status!$A$2:$A$100000,
   (DRG_Status!$I$2:$I$100000=S_Curve_Data!AH4) *
   (DRG_Status!$B$2:$B$100000=S_Curve_Data!$AH$1)
)),0)/$AI$1</f>
        <v>0</v>
      </c>
      <c r="AL4" s="23" cm="1">
        <f t="array" ref="AL4">IFERROR(ROWS(_xlfn._xlws.FILTER(
   DRG_Status!$A$2:$A$100000,
   (DRG_Status!$J$2:$J$100000=S_Curve_Data!AH4) *
   (DRG_Status!$B$2:$B$100000=S_Curve_Data!$AH$1)
)),0)/$AI$1</f>
        <v>0</v>
      </c>
      <c r="AO4" s="18">
        <v>45689</v>
      </c>
      <c r="AP4" s="23" t="e" cm="1">
        <f t="array" ref="AP4">IFERROR(ROWS(_xlfn._xlws.FILTER(
   DRG_Status!$A$2:$A$100000,
   (DRG_Status!$G$2:$G$100000=S_Curve_Data!AO4) *
   (DRG_Status!$B$2:$B$100000=S_Curve_Data!$AO$1)
)),0)/$AP$1</f>
        <v>#N/A</v>
      </c>
      <c r="AQ4" s="23" t="e" cm="1">
        <f t="array" ref="AQ4">IFERROR(ROWS(_xlfn._xlws.FILTER(
   DRG_Status!$A$2:$A$100000,
   (DRG_Status!$H$2:$H$100000=S_Curve_Data!AO4) *
   (DRG_Status!$B$2:$B$100000=S_Curve_Data!$AO$1)
)),0)/$AP$1</f>
        <v>#N/A</v>
      </c>
      <c r="AR4" s="23" t="e" cm="1">
        <f t="array" ref="AR4">IFERROR(ROWS(_xlfn._xlws.FILTER(
   DRG_Status!$A$2:$A$100000,
   (DRG_Status!$I$2:$I$100000=S_Curve_Data!AO4) *
   (DRG_Status!$B$2:$B$100000=S_Curve_Data!$AO$1)
)),0)/$AP$1</f>
        <v>#N/A</v>
      </c>
      <c r="AS4" s="23" t="e" cm="1">
        <f t="array" ref="AS4">IFERROR(ROWS(_xlfn._xlws.FILTER(
   DRG_Status!$A$2:$A$100000,
   (DRG_Status!$J$2:$J$100000=S_Curve_Data!AO4) *
   (DRG_Status!$B$2:$B$100000=S_Curve_Data!$AO$1)
)),0)/$AP$1</f>
        <v>#N/A</v>
      </c>
    </row>
    <row r="5" spans="1:45">
      <c r="F5" s="17">
        <f>Mappings!B4</f>
        <v>45677</v>
      </c>
      <c r="G5" s="23" cm="1">
        <f t="array" ref="G5">IFERROR(ROWS(_xlfn._xlws.FILTER(
   DRG_Status!$A$2:$A$100000,
   (DRG_Status!$C$2:$C$100000=S_Curve_Data!F5) *
   (DRG_Status!$B$2:$B$100000=S_Curve_Data!$F$1)
)),0)/$G$1</f>
        <v>0</v>
      </c>
      <c r="H5" s="23" cm="1">
        <f t="array" ref="H5">IFERROR(ROWS(_xlfn._xlws.FILTER(
   DRG_Status!$A$2:$A$100000,
   (DRG_Status!$D$2:$D$100000=S_Curve_Data!F5) *
   (DRG_Status!$B$2:$B$100000=S_Curve_Data!$F$1)
)),0)/$G$1</f>
        <v>0</v>
      </c>
      <c r="I5" s="23" cm="1">
        <f t="array" ref="I5">IFERROR(ROWS(_xlfn._xlws.FILTER(
   DRG_Status!$A$2:$A$100000,
   (DRG_Status!$E$2:$E$100000=S_Curve_Data!F5) *
   (DRG_Status!$B$2:$B$100000=S_Curve_Data!$F$1)
)),0)/$G$1</f>
        <v>0</v>
      </c>
      <c r="J5" s="23" cm="1">
        <f t="array" ref="J5">IFERROR(ROWS(_xlfn._xlws.FILTER(
   DRG_Status!$A$2:$A$100000,
   (DRG_Status!$F$2:$F$100000=S_Curve_Data!F5) *
   (DRG_Status!$B$2:$B$100000=S_Curve_Data!$F$1)
)),0)/$G$1</f>
        <v>0</v>
      </c>
      <c r="M5" s="17">
        <f>Mappings!B4</f>
        <v>45677</v>
      </c>
      <c r="N5" s="23" cm="1">
        <f t="array" ref="N5">IFERROR(ROWS(_xlfn._xlws.FILTER(
   DRG_Status!$A$2:$A$100000,
   (DRG_Status!$C$2:$C$100000=S_Curve_Data!M5) *
   (DRG_Status!$B$2:$B$100000=S_Curve_Data!$M$1)
)),0)/$N$1</f>
        <v>0</v>
      </c>
      <c r="O5" s="23" cm="1">
        <f t="array" ref="O5">IFERROR(ROWS(_xlfn._xlws.FILTER(
   DRG_Status!$A$2:$A$100000,
   (DRG_Status!$D$2:$D$100000=S_Curve_Data!M5) *
   (DRG_Status!$B$2:$B$100000=S_Curve_Data!$M$1)
)),0)/$N$1</f>
        <v>0</v>
      </c>
      <c r="P5" s="23" cm="1">
        <f t="array" ref="P5">IFERROR(ROWS(_xlfn._xlws.FILTER(
   DRG_Status!$A$2:$A$100000,
   (DRG_Status!$E$2:$E$100000=S_Curve_Data!M5) *
   (DRG_Status!$B$2:$B$100000=S_Curve_Data!$M$1)
)),0)/$N$1</f>
        <v>0</v>
      </c>
      <c r="Q5" s="23" cm="1">
        <f t="array" ref="Q5">IFERROR(ROWS(_xlfn._xlws.FILTER(
   DRG_Status!$A$2:$A$100000,
   (DRG_Status!$F$2:$F$100000=S_Curve_Data!M5) *
   (DRG_Status!$B$2:$B$100000=S_Curve_Data!$M$1)
)),0)/$N$1</f>
        <v>0</v>
      </c>
      <c r="T5" s="17">
        <f>Mappings!B4</f>
        <v>45677</v>
      </c>
      <c r="U5" s="23" t="e" cm="1">
        <f t="array" ref="U5">IFERROR(ROWS(_xlfn._xlws.FILTER(
   DRG_Status!$A$2:$A$100000,
   (DRG_Status!$C$2:$C$100000=S_Curve_Data!T5) *
   (DRG_Status!$B$2:$B$100000=S_Curve_Data!$T$1)
)),0)/$U$1</f>
        <v>#N/A</v>
      </c>
      <c r="V5" s="23" t="e" cm="1">
        <f t="array" ref="V5">IFERROR(ROWS(_xlfn._xlws.FILTER(
   DRG_Status!$A$2:$A$100000,
   (DRG_Status!$D$2:$D$100000=S_Curve_Data!T5) *
   (DRG_Status!$B$2:$B$100000=S_Curve_Data!$T$1)
)),0)/$U$1</f>
        <v>#N/A</v>
      </c>
      <c r="W5" s="23" t="e" cm="1">
        <f t="array" ref="W5">IFERROR(ROWS(_xlfn._xlws.FILTER(
   DRG_Status!$A$2:$A$100000,
   (DRG_Status!$E$2:$E$100000=S_Curve_Data!T5) *
   (DRG_Status!$B$2:$B$100000=S_Curve_Data!$T$1)
)),0)/$U$1</f>
        <v>#N/A</v>
      </c>
      <c r="X5" s="23" t="e" cm="1">
        <f t="array" ref="X5">IFERROR(ROWS(_xlfn._xlws.FILTER(
   DRG_Status!$A$2:$A$100000,
   (DRG_Status!$F$2:$F$100000=S_Curve_Data!T5) *
   (DRG_Status!$B$2:$B$100000=S_Curve_Data!$T$1)
)),0)/$U$1</f>
        <v>#N/A</v>
      </c>
      <c r="AA5" s="18">
        <v>45717</v>
      </c>
      <c r="AB5" s="23" cm="1">
        <f t="array" ref="AB5">IFERROR(ROWS(_xlfn._xlws.FILTER(
   DRG_Status!$A$2:$A$100000,
   (DRG_Status!$G$2:$G$100000=S_Curve_Data!AA5) *
   (DRG_Status!$B$2:$B$100000=S_Curve_Data!$AA$1)
)),0)/$AB$1</f>
        <v>0</v>
      </c>
      <c r="AC5" s="23" cm="1">
        <f t="array" ref="AC5">IFERROR(ROWS(_xlfn._xlws.FILTER(
   DRG_Status!$A$2:$A$100000,
   (DRG_Status!$H$2:$H$100000=S_Curve_Data!AA5) *
   (DRG_Status!$B$2:$B$100000=S_Curve_Data!$AA$1)
)),0)/$AB$1</f>
        <v>0</v>
      </c>
      <c r="AD5" s="23" cm="1">
        <f t="array" ref="AD5">IFERROR(ROWS(_xlfn._xlws.FILTER(
   DRG_Status!$A$2:$A$100000,
   (DRG_Status!$I$2:$I$100000=S_Curve_Data!AA5) *
   (DRG_Status!$B$2:$B$100000=S_Curve_Data!$AA$1)
)),0)/$AB$1</f>
        <v>0</v>
      </c>
      <c r="AE5" s="23" cm="1">
        <f t="array" ref="AE5">IFERROR(ROWS(_xlfn._xlws.FILTER(
   DRG_Status!$A$2:$A$100000,
   (DRG_Status!$J$2:$J$100000=S_Curve_Data!AA5) *
   (DRG_Status!$B$2:$B$100000=S_Curve_Data!$AA$1)
)),0)/$AB$1</f>
        <v>0</v>
      </c>
      <c r="AH5" s="18">
        <v>45717</v>
      </c>
      <c r="AI5" s="23" cm="1">
        <f t="array" ref="AI5">IFERROR(ROWS(_xlfn._xlws.FILTER(
   DRG_Status!$A$2:$A$100000,
   (DRG_Status!$G$2:$G$100000=S_Curve_Data!AH5) *
   (DRG_Status!$B$2:$B$100000=S_Curve_Data!$AH$1)
)),0)/$AI$1</f>
        <v>0</v>
      </c>
      <c r="AJ5" s="23" cm="1">
        <f t="array" ref="AJ5">IFERROR(ROWS(_xlfn._xlws.FILTER(
   DRG_Status!$A$2:$A$100000,
   (DRG_Status!$H$2:$H$100000=S_Curve_Data!AH5) *
   (DRG_Status!$B$2:$B$100000=S_Curve_Data!$AH$1)
)),0)/$AI$1</f>
        <v>0</v>
      </c>
      <c r="AK5" s="23" cm="1">
        <f t="array" ref="AK5">IFERROR(ROWS(_xlfn._xlws.FILTER(
   DRG_Status!$A$2:$A$100000,
   (DRG_Status!$I$2:$I$100000=S_Curve_Data!AH5) *
   (DRG_Status!$B$2:$B$100000=S_Curve_Data!$AH$1)
)),0)/$AI$1</f>
        <v>0</v>
      </c>
      <c r="AL5" s="23" cm="1">
        <f t="array" ref="AL5">IFERROR(ROWS(_xlfn._xlws.FILTER(
   DRG_Status!$A$2:$A$100000,
   (DRG_Status!$J$2:$J$100000=S_Curve_Data!AH5) *
   (DRG_Status!$B$2:$B$100000=S_Curve_Data!$AH$1)
)),0)/$AI$1</f>
        <v>0</v>
      </c>
      <c r="AO5" s="18">
        <v>45717</v>
      </c>
      <c r="AP5" s="23" t="e" cm="1">
        <f t="array" ref="AP5">IFERROR(ROWS(_xlfn._xlws.FILTER(
   DRG_Status!$A$2:$A$100000,
   (DRG_Status!$G$2:$G$100000=S_Curve_Data!AO5) *
   (DRG_Status!$B$2:$B$100000=S_Curve_Data!$AO$1)
)),0)/$AP$1</f>
        <v>#N/A</v>
      </c>
      <c r="AQ5" s="23" t="e" cm="1">
        <f t="array" ref="AQ5">IFERROR(ROWS(_xlfn._xlws.FILTER(
   DRG_Status!$A$2:$A$100000,
   (DRG_Status!$H$2:$H$100000=S_Curve_Data!AO5) *
   (DRG_Status!$B$2:$B$100000=S_Curve_Data!$AO$1)
)),0)/$AP$1</f>
        <v>#N/A</v>
      </c>
      <c r="AR5" s="23" t="e" cm="1">
        <f t="array" ref="AR5">IFERROR(ROWS(_xlfn._xlws.FILTER(
   DRG_Status!$A$2:$A$100000,
   (DRG_Status!$I$2:$I$100000=S_Curve_Data!AO5) *
   (DRG_Status!$B$2:$B$100000=S_Curve_Data!$AO$1)
)),0)/$AP$1</f>
        <v>#N/A</v>
      </c>
      <c r="AS5" s="23" t="e" cm="1">
        <f t="array" ref="AS5">IFERROR(ROWS(_xlfn._xlws.FILTER(
   DRG_Status!$A$2:$A$100000,
   (DRG_Status!$J$2:$J$100000=S_Curve_Data!AO5) *
   (DRG_Status!$B$2:$B$100000=S_Curve_Data!$AO$1)
)),0)/$AP$1</f>
        <v>#N/A</v>
      </c>
    </row>
    <row r="6" spans="1:45">
      <c r="D6" s="16"/>
      <c r="F6" s="17">
        <f>Mappings!B5</f>
        <v>45684</v>
      </c>
      <c r="G6" s="23" cm="1">
        <f t="array" ref="G6">IFERROR(ROWS(_xlfn._xlws.FILTER(
   DRG_Status!$A$2:$A$100000,
   (DRG_Status!$C$2:$C$100000=S_Curve_Data!F6) *
   (DRG_Status!$B$2:$B$100000=S_Curve_Data!$F$1)
)),0)/$G$1</f>
        <v>0</v>
      </c>
      <c r="H6" s="23" cm="1">
        <f t="array" ref="H6">IFERROR(ROWS(_xlfn._xlws.FILTER(
   DRG_Status!$A$2:$A$100000,
   (DRG_Status!$D$2:$D$100000=S_Curve_Data!F6) *
   (DRG_Status!$B$2:$B$100000=S_Curve_Data!$F$1)
)),0)/$G$1</f>
        <v>0</v>
      </c>
      <c r="I6" s="23" cm="1">
        <f t="array" ref="I6">IFERROR(ROWS(_xlfn._xlws.FILTER(
   DRG_Status!$A$2:$A$100000,
   (DRG_Status!$E$2:$E$100000=S_Curve_Data!F6) *
   (DRG_Status!$B$2:$B$100000=S_Curve_Data!$F$1)
)),0)/$G$1</f>
        <v>0</v>
      </c>
      <c r="J6" s="23" cm="1">
        <f t="array" ref="J6">IFERROR(ROWS(_xlfn._xlws.FILTER(
   DRG_Status!$A$2:$A$100000,
   (DRG_Status!$F$2:$F$100000=S_Curve_Data!F6) *
   (DRG_Status!$B$2:$B$100000=S_Curve_Data!$F$1)
)),0)/$G$1</f>
        <v>0</v>
      </c>
      <c r="M6" s="17">
        <f>Mappings!B5</f>
        <v>45684</v>
      </c>
      <c r="N6" s="23" cm="1">
        <f t="array" ref="N6">IFERROR(ROWS(_xlfn._xlws.FILTER(
   DRG_Status!$A$2:$A$100000,
   (DRG_Status!$C$2:$C$100000=S_Curve_Data!M6) *
   (DRG_Status!$B$2:$B$100000=S_Curve_Data!$M$1)
)),0)/$N$1</f>
        <v>0</v>
      </c>
      <c r="O6" s="23" cm="1">
        <f t="array" ref="O6">IFERROR(ROWS(_xlfn._xlws.FILTER(
   DRG_Status!$A$2:$A$100000,
   (DRG_Status!$D$2:$D$100000=S_Curve_Data!M6) *
   (DRG_Status!$B$2:$B$100000=S_Curve_Data!$M$1)
)),0)/$N$1</f>
        <v>0</v>
      </c>
      <c r="P6" s="23" cm="1">
        <f t="array" ref="P6">IFERROR(ROWS(_xlfn._xlws.FILTER(
   DRG_Status!$A$2:$A$100000,
   (DRG_Status!$E$2:$E$100000=S_Curve_Data!M6) *
   (DRG_Status!$B$2:$B$100000=S_Curve_Data!$M$1)
)),0)/$N$1</f>
        <v>0</v>
      </c>
      <c r="Q6" s="23" cm="1">
        <f t="array" ref="Q6">IFERROR(ROWS(_xlfn._xlws.FILTER(
   DRG_Status!$A$2:$A$100000,
   (DRG_Status!$F$2:$F$100000=S_Curve_Data!M6) *
   (DRG_Status!$B$2:$B$100000=S_Curve_Data!$M$1)
)),0)/$N$1</f>
        <v>0</v>
      </c>
      <c r="T6" s="17">
        <f>Mappings!B5</f>
        <v>45684</v>
      </c>
      <c r="U6" s="23" t="e" cm="1">
        <f t="array" ref="U6">IFERROR(ROWS(_xlfn._xlws.FILTER(
   DRG_Status!$A$2:$A$100000,
   (DRG_Status!$C$2:$C$100000=S_Curve_Data!T6) *
   (DRG_Status!$B$2:$B$100000=S_Curve_Data!$T$1)
)),0)/$U$1</f>
        <v>#N/A</v>
      </c>
      <c r="V6" s="23" t="e" cm="1">
        <f t="array" ref="V6">IFERROR(ROWS(_xlfn._xlws.FILTER(
   DRG_Status!$A$2:$A$100000,
   (DRG_Status!$D$2:$D$100000=S_Curve_Data!T6) *
   (DRG_Status!$B$2:$B$100000=S_Curve_Data!$T$1)
)),0)/$U$1</f>
        <v>#N/A</v>
      </c>
      <c r="W6" s="23" t="e" cm="1">
        <f t="array" ref="W6">IFERROR(ROWS(_xlfn._xlws.FILTER(
   DRG_Status!$A$2:$A$100000,
   (DRG_Status!$E$2:$E$100000=S_Curve_Data!T6) *
   (DRG_Status!$B$2:$B$100000=S_Curve_Data!$T$1)
)),0)/$U$1</f>
        <v>#N/A</v>
      </c>
      <c r="X6" s="23" t="e" cm="1">
        <f t="array" ref="X6">IFERROR(ROWS(_xlfn._xlws.FILTER(
   DRG_Status!$A$2:$A$100000,
   (DRG_Status!$F$2:$F$100000=S_Curve_Data!T6) *
   (DRG_Status!$B$2:$B$100000=S_Curve_Data!$T$1)
)),0)/$U$1</f>
        <v>#N/A</v>
      </c>
      <c r="AA6" s="18">
        <v>45748</v>
      </c>
      <c r="AB6" s="23" cm="1">
        <f t="array" ref="AB6">IFERROR(ROWS(_xlfn._xlws.FILTER(
   DRG_Status!$A$2:$A$100000,
   (DRG_Status!$G$2:$G$100000=S_Curve_Data!AA6) *
   (DRG_Status!$B$2:$B$100000=S_Curve_Data!$AA$1)
)),0)/$AB$1</f>
        <v>0</v>
      </c>
      <c r="AC6" s="23" cm="1">
        <f t="array" ref="AC6">IFERROR(ROWS(_xlfn._xlws.FILTER(
   DRG_Status!$A$2:$A$100000,
   (DRG_Status!$H$2:$H$100000=S_Curve_Data!AA6) *
   (DRG_Status!$B$2:$B$100000=S_Curve_Data!$AA$1)
)),0)/$AB$1</f>
        <v>0</v>
      </c>
      <c r="AD6" s="23" cm="1">
        <f t="array" ref="AD6">IFERROR(ROWS(_xlfn._xlws.FILTER(
   DRG_Status!$A$2:$A$100000,
   (DRG_Status!$I$2:$I$100000=S_Curve_Data!AA6) *
   (DRG_Status!$B$2:$B$100000=S_Curve_Data!$AA$1)
)),0)/$AB$1</f>
        <v>0</v>
      </c>
      <c r="AE6" s="23" cm="1">
        <f t="array" ref="AE6">IFERROR(ROWS(_xlfn._xlws.FILTER(
   DRG_Status!$A$2:$A$100000,
   (DRG_Status!$J$2:$J$100000=S_Curve_Data!AA6) *
   (DRG_Status!$B$2:$B$100000=S_Curve_Data!$AA$1)
)),0)/$AB$1</f>
        <v>0</v>
      </c>
      <c r="AH6" s="18">
        <v>45748</v>
      </c>
      <c r="AI6" s="23" cm="1">
        <f t="array" ref="AI6">IFERROR(ROWS(_xlfn._xlws.FILTER(
   DRG_Status!$A$2:$A$100000,
   (DRG_Status!$G$2:$G$100000=S_Curve_Data!AH6) *
   (DRG_Status!$B$2:$B$100000=S_Curve_Data!$AH$1)
)),0)/$AI$1</f>
        <v>0</v>
      </c>
      <c r="AJ6" s="23" cm="1">
        <f t="array" ref="AJ6">IFERROR(ROWS(_xlfn._xlws.FILTER(
   DRG_Status!$A$2:$A$100000,
   (DRG_Status!$H$2:$H$100000=S_Curve_Data!AH6) *
   (DRG_Status!$B$2:$B$100000=S_Curve_Data!$AH$1)
)),0)/$AI$1</f>
        <v>0</v>
      </c>
      <c r="AK6" s="23" cm="1">
        <f t="array" ref="AK6">IFERROR(ROWS(_xlfn._xlws.FILTER(
   DRG_Status!$A$2:$A$100000,
   (DRG_Status!$I$2:$I$100000=S_Curve_Data!AH6) *
   (DRG_Status!$B$2:$B$100000=S_Curve_Data!$AH$1)
)),0)/$AI$1</f>
        <v>0</v>
      </c>
      <c r="AL6" s="23" cm="1">
        <f t="array" ref="AL6">IFERROR(ROWS(_xlfn._xlws.FILTER(
   DRG_Status!$A$2:$A$100000,
   (DRG_Status!$J$2:$J$100000=S_Curve_Data!AH6) *
   (DRG_Status!$B$2:$B$100000=S_Curve_Data!$AH$1)
)),0)/$AI$1</f>
        <v>0</v>
      </c>
      <c r="AO6" s="18">
        <v>45748</v>
      </c>
      <c r="AP6" s="23" t="e" cm="1">
        <f t="array" ref="AP6">IFERROR(ROWS(_xlfn._xlws.FILTER(
   DRG_Status!$A$2:$A$100000,
   (DRG_Status!$G$2:$G$100000=S_Curve_Data!AO6) *
   (DRG_Status!$B$2:$B$100000=S_Curve_Data!$AO$1)
)),0)/$AP$1</f>
        <v>#N/A</v>
      </c>
      <c r="AQ6" s="23" t="e" cm="1">
        <f t="array" ref="AQ6">IFERROR(ROWS(_xlfn._xlws.FILTER(
   DRG_Status!$A$2:$A$100000,
   (DRG_Status!$H$2:$H$100000=S_Curve_Data!AO6) *
   (DRG_Status!$B$2:$B$100000=S_Curve_Data!$AO$1)
)),0)/$AP$1</f>
        <v>#N/A</v>
      </c>
      <c r="AR6" s="23" t="e" cm="1">
        <f t="array" ref="AR6">IFERROR(ROWS(_xlfn._xlws.FILTER(
   DRG_Status!$A$2:$A$100000,
   (DRG_Status!$I$2:$I$100000=S_Curve_Data!AO6) *
   (DRG_Status!$B$2:$B$100000=S_Curve_Data!$AO$1)
)),0)/$AP$1</f>
        <v>#N/A</v>
      </c>
      <c r="AS6" s="23" t="e" cm="1">
        <f t="array" ref="AS6">IFERROR(ROWS(_xlfn._xlws.FILTER(
   DRG_Status!$A$2:$A$100000,
   (DRG_Status!$J$2:$J$100000=S_Curve_Data!AO6) *
   (DRG_Status!$B$2:$B$100000=S_Curve_Data!$AO$1)
)),0)/$AP$1</f>
        <v>#N/A</v>
      </c>
    </row>
    <row r="7" spans="1:45">
      <c r="F7" s="17">
        <f>Mappings!B6</f>
        <v>45691</v>
      </c>
      <c r="G7" s="23" cm="1">
        <f t="array" ref="G7">IFERROR(ROWS(_xlfn._xlws.FILTER(
   DRG_Status!$A$2:$A$100000,
   (DRG_Status!$C$2:$C$100000=S_Curve_Data!F7) *
   (DRG_Status!$B$2:$B$100000=S_Curve_Data!$F$1)
)),0)/$G$1</f>
        <v>0</v>
      </c>
      <c r="H7" s="23" cm="1">
        <f t="array" ref="H7">IFERROR(ROWS(_xlfn._xlws.FILTER(
   DRG_Status!$A$2:$A$100000,
   (DRG_Status!$D$2:$D$100000=S_Curve_Data!F7) *
   (DRG_Status!$B$2:$B$100000=S_Curve_Data!$F$1)
)),0)/$G$1</f>
        <v>0</v>
      </c>
      <c r="I7" s="23" cm="1">
        <f t="array" ref="I7">IFERROR(ROWS(_xlfn._xlws.FILTER(
   DRG_Status!$A$2:$A$100000,
   (DRG_Status!$E$2:$E$100000=S_Curve_Data!F7) *
   (DRG_Status!$B$2:$B$100000=S_Curve_Data!$F$1)
)),0)/$G$1</f>
        <v>0</v>
      </c>
      <c r="J7" s="23" cm="1">
        <f t="array" ref="J7">IFERROR(ROWS(_xlfn._xlws.FILTER(
   DRG_Status!$A$2:$A$100000,
   (DRG_Status!$F$2:$F$100000=S_Curve_Data!F7) *
   (DRG_Status!$B$2:$B$100000=S_Curve_Data!$F$1)
)),0)/$G$1</f>
        <v>0</v>
      </c>
      <c r="M7" s="17">
        <f>Mappings!B6</f>
        <v>45691</v>
      </c>
      <c r="N7" s="23" cm="1">
        <f t="array" ref="N7">IFERROR(ROWS(_xlfn._xlws.FILTER(
   DRG_Status!$A$2:$A$100000,
   (DRG_Status!$C$2:$C$100000=S_Curve_Data!M7) *
   (DRG_Status!$B$2:$B$100000=S_Curve_Data!$M$1)
)),0)/$N$1</f>
        <v>0</v>
      </c>
      <c r="O7" s="23" cm="1">
        <f t="array" ref="O7">IFERROR(ROWS(_xlfn._xlws.FILTER(
   DRG_Status!$A$2:$A$100000,
   (DRG_Status!$D$2:$D$100000=S_Curve_Data!M7) *
   (DRG_Status!$B$2:$B$100000=S_Curve_Data!$M$1)
)),0)/$N$1</f>
        <v>0</v>
      </c>
      <c r="P7" s="23" cm="1">
        <f t="array" ref="P7">IFERROR(ROWS(_xlfn._xlws.FILTER(
   DRG_Status!$A$2:$A$100000,
   (DRG_Status!$E$2:$E$100000=S_Curve_Data!M7) *
   (DRG_Status!$B$2:$B$100000=S_Curve_Data!$M$1)
)),0)/$N$1</f>
        <v>0</v>
      </c>
      <c r="Q7" s="23" cm="1">
        <f t="array" ref="Q7">IFERROR(ROWS(_xlfn._xlws.FILTER(
   DRG_Status!$A$2:$A$100000,
   (DRG_Status!$F$2:$F$100000=S_Curve_Data!M7) *
   (DRG_Status!$B$2:$B$100000=S_Curve_Data!$M$1)
)),0)/$N$1</f>
        <v>0</v>
      </c>
      <c r="T7" s="17">
        <f>Mappings!B6</f>
        <v>45691</v>
      </c>
      <c r="U7" s="23" t="e" cm="1">
        <f t="array" ref="U7">IFERROR(ROWS(_xlfn._xlws.FILTER(
   DRG_Status!$A$2:$A$100000,
   (DRG_Status!$C$2:$C$100000=S_Curve_Data!T7) *
   (DRG_Status!$B$2:$B$100000=S_Curve_Data!$T$1)
)),0)/$U$1</f>
        <v>#N/A</v>
      </c>
      <c r="V7" s="23" t="e" cm="1">
        <f t="array" ref="V7">IFERROR(ROWS(_xlfn._xlws.FILTER(
   DRG_Status!$A$2:$A$100000,
   (DRG_Status!$D$2:$D$100000=S_Curve_Data!T7) *
   (DRG_Status!$B$2:$B$100000=S_Curve_Data!$T$1)
)),0)/$U$1</f>
        <v>#N/A</v>
      </c>
      <c r="W7" s="23" t="e" cm="1">
        <f t="array" ref="W7">IFERROR(ROWS(_xlfn._xlws.FILTER(
   DRG_Status!$A$2:$A$100000,
   (DRG_Status!$E$2:$E$100000=S_Curve_Data!T7) *
   (DRG_Status!$B$2:$B$100000=S_Curve_Data!$T$1)
)),0)/$U$1</f>
        <v>#N/A</v>
      </c>
      <c r="X7" s="23" t="e" cm="1">
        <f t="array" ref="X7">IFERROR(ROWS(_xlfn._xlws.FILTER(
   DRG_Status!$A$2:$A$100000,
   (DRG_Status!$F$2:$F$100000=S_Curve_Data!T7) *
   (DRG_Status!$B$2:$B$100000=S_Curve_Data!$T$1)
)),0)/$U$1</f>
        <v>#N/A</v>
      </c>
      <c r="AA7" s="18">
        <v>45778</v>
      </c>
      <c r="AB7" s="23" cm="1">
        <f t="array" ref="AB7">IFERROR(ROWS(_xlfn._xlws.FILTER(
   DRG_Status!$A$2:$A$100000,
   (DRG_Status!$G$2:$G$100000=S_Curve_Data!AA7) *
   (DRG_Status!$B$2:$B$100000=S_Curve_Data!$AA$1)
)),0)/$AB$1</f>
        <v>0</v>
      </c>
      <c r="AC7" s="23" cm="1">
        <f t="array" ref="AC7">IFERROR(ROWS(_xlfn._xlws.FILTER(
   DRG_Status!$A$2:$A$100000,
   (DRG_Status!$H$2:$H$100000=S_Curve_Data!AA7) *
   (DRG_Status!$B$2:$B$100000=S_Curve_Data!$AA$1)
)),0)/$AB$1</f>
        <v>0</v>
      </c>
      <c r="AD7" s="23" cm="1">
        <f t="array" ref="AD7">IFERROR(ROWS(_xlfn._xlws.FILTER(
   DRG_Status!$A$2:$A$100000,
   (DRG_Status!$I$2:$I$100000=S_Curve_Data!AA7) *
   (DRG_Status!$B$2:$B$100000=S_Curve_Data!$AA$1)
)),0)/$AB$1</f>
        <v>0</v>
      </c>
      <c r="AE7" s="23" cm="1">
        <f t="array" ref="AE7">IFERROR(ROWS(_xlfn._xlws.FILTER(
   DRG_Status!$A$2:$A$100000,
   (DRG_Status!$J$2:$J$100000=S_Curve_Data!AA7) *
   (DRG_Status!$B$2:$B$100000=S_Curve_Data!$AA$1)
)),0)/$AB$1</f>
        <v>0</v>
      </c>
      <c r="AH7" s="18">
        <v>45778</v>
      </c>
      <c r="AI7" s="23" cm="1">
        <f t="array" ref="AI7">IFERROR(ROWS(_xlfn._xlws.FILTER(
   DRG_Status!$A$2:$A$100000,
   (DRG_Status!$G$2:$G$100000=S_Curve_Data!AH7) *
   (DRG_Status!$B$2:$B$100000=S_Curve_Data!$AH$1)
)),0)/$AI$1</f>
        <v>0</v>
      </c>
      <c r="AJ7" s="23" cm="1">
        <f t="array" ref="AJ7">IFERROR(ROWS(_xlfn._xlws.FILTER(
   DRG_Status!$A$2:$A$100000,
   (DRG_Status!$H$2:$H$100000=S_Curve_Data!AH7) *
   (DRG_Status!$B$2:$B$100000=S_Curve_Data!$AH$1)
)),0)/$AI$1</f>
        <v>0</v>
      </c>
      <c r="AK7" s="23" cm="1">
        <f t="array" ref="AK7">IFERROR(ROWS(_xlfn._xlws.FILTER(
   DRG_Status!$A$2:$A$100000,
   (DRG_Status!$I$2:$I$100000=S_Curve_Data!AH7) *
   (DRG_Status!$B$2:$B$100000=S_Curve_Data!$AH$1)
)),0)/$AI$1</f>
        <v>0</v>
      </c>
      <c r="AL7" s="23" cm="1">
        <f t="array" ref="AL7">IFERROR(ROWS(_xlfn._xlws.FILTER(
   DRG_Status!$A$2:$A$100000,
   (DRG_Status!$J$2:$J$100000=S_Curve_Data!AH7) *
   (DRG_Status!$B$2:$B$100000=S_Curve_Data!$AH$1)
)),0)/$AI$1</f>
        <v>0</v>
      </c>
      <c r="AO7" s="18">
        <v>45778</v>
      </c>
      <c r="AP7" s="23" t="e" cm="1">
        <f t="array" ref="AP7">IFERROR(ROWS(_xlfn._xlws.FILTER(
   DRG_Status!$A$2:$A$100000,
   (DRG_Status!$G$2:$G$100000=S_Curve_Data!AO7) *
   (DRG_Status!$B$2:$B$100000=S_Curve_Data!$AO$1)
)),0)/$AP$1</f>
        <v>#N/A</v>
      </c>
      <c r="AQ7" s="23" t="e" cm="1">
        <f t="array" ref="AQ7">IFERROR(ROWS(_xlfn._xlws.FILTER(
   DRG_Status!$A$2:$A$100000,
   (DRG_Status!$H$2:$H$100000=S_Curve_Data!AO7) *
   (DRG_Status!$B$2:$B$100000=S_Curve_Data!$AO$1)
)),0)/$AP$1</f>
        <v>#N/A</v>
      </c>
      <c r="AR7" s="23" t="e" cm="1">
        <f t="array" ref="AR7">IFERROR(ROWS(_xlfn._xlws.FILTER(
   DRG_Status!$A$2:$A$100000,
   (DRG_Status!$I$2:$I$100000=S_Curve_Data!AO7) *
   (DRG_Status!$B$2:$B$100000=S_Curve_Data!$AO$1)
)),0)/$AP$1</f>
        <v>#N/A</v>
      </c>
      <c r="AS7" s="23" t="e" cm="1">
        <f t="array" ref="AS7">IFERROR(ROWS(_xlfn._xlws.FILTER(
   DRG_Status!$A$2:$A$100000,
   (DRG_Status!$J$2:$J$100000=S_Curve_Data!AO7) *
   (DRG_Status!$B$2:$B$100000=S_Curve_Data!$AO$1)
)),0)/$AP$1</f>
        <v>#N/A</v>
      </c>
    </row>
    <row r="8" spans="1:45">
      <c r="F8" s="17">
        <f>Mappings!B7</f>
        <v>45698</v>
      </c>
      <c r="G8" s="23" cm="1">
        <f t="array" ref="G8">IFERROR(ROWS(_xlfn._xlws.FILTER(
   DRG_Status!$A$2:$A$100000,
   (DRG_Status!$C$2:$C$100000=S_Curve_Data!F8) *
   (DRG_Status!$B$2:$B$100000=S_Curve_Data!$F$1)
)),0)/$G$1</f>
        <v>0</v>
      </c>
      <c r="H8" s="23" cm="1">
        <f t="array" ref="H8">IFERROR(ROWS(_xlfn._xlws.FILTER(
   DRG_Status!$A$2:$A$100000,
   (DRG_Status!$D$2:$D$100000=S_Curve_Data!F8) *
   (DRG_Status!$B$2:$B$100000=S_Curve_Data!$F$1)
)),0)/$G$1</f>
        <v>0</v>
      </c>
      <c r="I8" s="23" cm="1">
        <f t="array" ref="I8">IFERROR(ROWS(_xlfn._xlws.FILTER(
   DRG_Status!$A$2:$A$100000,
   (DRG_Status!$E$2:$E$100000=S_Curve_Data!F8) *
   (DRG_Status!$B$2:$B$100000=S_Curve_Data!$F$1)
)),0)/$G$1</f>
        <v>0</v>
      </c>
      <c r="J8" s="23" cm="1">
        <f t="array" ref="J8">IFERROR(ROWS(_xlfn._xlws.FILTER(
   DRG_Status!$A$2:$A$100000,
   (DRG_Status!$F$2:$F$100000=S_Curve_Data!F8) *
   (DRG_Status!$B$2:$B$100000=S_Curve_Data!$F$1)
)),0)/$G$1</f>
        <v>0</v>
      </c>
      <c r="M8" s="17">
        <f>Mappings!B7</f>
        <v>45698</v>
      </c>
      <c r="N8" s="23" cm="1">
        <f t="array" ref="N8">IFERROR(ROWS(_xlfn._xlws.FILTER(
   DRG_Status!$A$2:$A$100000,
   (DRG_Status!$C$2:$C$100000=S_Curve_Data!M8) *
   (DRG_Status!$B$2:$B$100000=S_Curve_Data!$M$1)
)),0)/$N$1</f>
        <v>0</v>
      </c>
      <c r="O8" s="23" cm="1">
        <f t="array" ref="O8">IFERROR(ROWS(_xlfn._xlws.FILTER(
   DRG_Status!$A$2:$A$100000,
   (DRG_Status!$D$2:$D$100000=S_Curve_Data!M8) *
   (DRG_Status!$B$2:$B$100000=S_Curve_Data!$M$1)
)),0)/$N$1</f>
        <v>0</v>
      </c>
      <c r="P8" s="23" cm="1">
        <f t="array" ref="P8">IFERROR(ROWS(_xlfn._xlws.FILTER(
   DRG_Status!$A$2:$A$100000,
   (DRG_Status!$E$2:$E$100000=S_Curve_Data!M8) *
   (DRG_Status!$B$2:$B$100000=S_Curve_Data!$M$1)
)),0)/$N$1</f>
        <v>0</v>
      </c>
      <c r="Q8" s="23" cm="1">
        <f t="array" ref="Q8">IFERROR(ROWS(_xlfn._xlws.FILTER(
   DRG_Status!$A$2:$A$100000,
   (DRG_Status!$F$2:$F$100000=S_Curve_Data!M8) *
   (DRG_Status!$B$2:$B$100000=S_Curve_Data!$M$1)
)),0)/$N$1</f>
        <v>0</v>
      </c>
      <c r="T8" s="17">
        <f>Mappings!B7</f>
        <v>45698</v>
      </c>
      <c r="U8" s="23" t="e" cm="1">
        <f t="array" ref="U8">IFERROR(ROWS(_xlfn._xlws.FILTER(
   DRG_Status!$A$2:$A$100000,
   (DRG_Status!$C$2:$C$100000=S_Curve_Data!T8) *
   (DRG_Status!$B$2:$B$100000=S_Curve_Data!$T$1)
)),0)/$U$1</f>
        <v>#N/A</v>
      </c>
      <c r="V8" s="23" t="e" cm="1">
        <f t="array" ref="V8">IFERROR(ROWS(_xlfn._xlws.FILTER(
   DRG_Status!$A$2:$A$100000,
   (DRG_Status!$D$2:$D$100000=S_Curve_Data!T8) *
   (DRG_Status!$B$2:$B$100000=S_Curve_Data!$T$1)
)),0)/$U$1</f>
        <v>#N/A</v>
      </c>
      <c r="W8" s="23" t="e" cm="1">
        <f t="array" ref="W8">IFERROR(ROWS(_xlfn._xlws.FILTER(
   DRG_Status!$A$2:$A$100000,
   (DRG_Status!$E$2:$E$100000=S_Curve_Data!T8) *
   (DRG_Status!$B$2:$B$100000=S_Curve_Data!$T$1)
)),0)/$U$1</f>
        <v>#N/A</v>
      </c>
      <c r="X8" s="23" t="e" cm="1">
        <f t="array" ref="X8">IFERROR(ROWS(_xlfn._xlws.FILTER(
   DRG_Status!$A$2:$A$100000,
   (DRG_Status!$F$2:$F$100000=S_Curve_Data!T8) *
   (DRG_Status!$B$2:$B$100000=S_Curve_Data!$T$1)
)),0)/$U$1</f>
        <v>#N/A</v>
      </c>
      <c r="AA8" s="18">
        <v>45809</v>
      </c>
      <c r="AB8" s="23" cm="1">
        <f t="array" ref="AB8">IFERROR(ROWS(_xlfn._xlws.FILTER(
   DRG_Status!$A$2:$A$100000,
   (DRG_Status!$G$2:$G$100000=S_Curve_Data!AA8) *
   (DRG_Status!$B$2:$B$100000=S_Curve_Data!$AA$1)
)),0)/$AB$1</f>
        <v>0</v>
      </c>
      <c r="AC8" s="23" cm="1">
        <f t="array" ref="AC8">IFERROR(ROWS(_xlfn._xlws.FILTER(
   DRG_Status!$A$2:$A$100000,
   (DRG_Status!$H$2:$H$100000=S_Curve_Data!AA8) *
   (DRG_Status!$B$2:$B$100000=S_Curve_Data!$AA$1)
)),0)/$AB$1</f>
        <v>0</v>
      </c>
      <c r="AD8" s="23" cm="1">
        <f t="array" ref="AD8">IFERROR(ROWS(_xlfn._xlws.FILTER(
   DRG_Status!$A$2:$A$100000,
   (DRG_Status!$I$2:$I$100000=S_Curve_Data!AA8) *
   (DRG_Status!$B$2:$B$100000=S_Curve_Data!$AA$1)
)),0)/$AB$1</f>
        <v>0</v>
      </c>
      <c r="AE8" s="23" cm="1">
        <f t="array" ref="AE8">IFERROR(ROWS(_xlfn._xlws.FILTER(
   DRG_Status!$A$2:$A$100000,
   (DRG_Status!$J$2:$J$100000=S_Curve_Data!AA8) *
   (DRG_Status!$B$2:$B$100000=S_Curve_Data!$AA$1)
)),0)/$AB$1</f>
        <v>0</v>
      </c>
      <c r="AH8" s="18">
        <v>45809</v>
      </c>
      <c r="AI8" s="23" cm="1">
        <f t="array" ref="AI8">IFERROR(ROWS(_xlfn._xlws.FILTER(
   DRG_Status!$A$2:$A$100000,
   (DRG_Status!$G$2:$G$100000=S_Curve_Data!AH8) *
   (DRG_Status!$B$2:$B$100000=S_Curve_Data!$AH$1)
)),0)/$AI$1</f>
        <v>0</v>
      </c>
      <c r="AJ8" s="23" cm="1">
        <f t="array" ref="AJ8">IFERROR(ROWS(_xlfn._xlws.FILTER(
   DRG_Status!$A$2:$A$100000,
   (DRG_Status!$H$2:$H$100000=S_Curve_Data!AH8) *
   (DRG_Status!$B$2:$B$100000=S_Curve_Data!$AH$1)
)),0)/$AI$1</f>
        <v>0</v>
      </c>
      <c r="AK8" s="23" cm="1">
        <f t="array" ref="AK8">IFERROR(ROWS(_xlfn._xlws.FILTER(
   DRG_Status!$A$2:$A$100000,
   (DRG_Status!$I$2:$I$100000=S_Curve_Data!AH8) *
   (DRG_Status!$B$2:$B$100000=S_Curve_Data!$AH$1)
)),0)/$AI$1</f>
        <v>0</v>
      </c>
      <c r="AL8" s="23" cm="1">
        <f t="array" ref="AL8">IFERROR(ROWS(_xlfn._xlws.FILTER(
   DRG_Status!$A$2:$A$100000,
   (DRG_Status!$J$2:$J$100000=S_Curve_Data!AH8) *
   (DRG_Status!$B$2:$B$100000=S_Curve_Data!$AH$1)
)),0)/$AI$1</f>
        <v>0</v>
      </c>
      <c r="AO8" s="18">
        <v>45809</v>
      </c>
      <c r="AP8" s="23" t="e" cm="1">
        <f t="array" ref="AP8">IFERROR(ROWS(_xlfn._xlws.FILTER(
   DRG_Status!$A$2:$A$100000,
   (DRG_Status!$G$2:$G$100000=S_Curve_Data!AO8) *
   (DRG_Status!$B$2:$B$100000=S_Curve_Data!$AO$1)
)),0)/$AP$1</f>
        <v>#N/A</v>
      </c>
      <c r="AQ8" s="23" t="e" cm="1">
        <f t="array" ref="AQ8">IFERROR(ROWS(_xlfn._xlws.FILTER(
   DRG_Status!$A$2:$A$100000,
   (DRG_Status!$H$2:$H$100000=S_Curve_Data!AO8) *
   (DRG_Status!$B$2:$B$100000=S_Curve_Data!$AO$1)
)),0)/$AP$1</f>
        <v>#N/A</v>
      </c>
      <c r="AR8" s="23" t="e" cm="1">
        <f t="array" ref="AR8">IFERROR(ROWS(_xlfn._xlws.FILTER(
   DRG_Status!$A$2:$A$100000,
   (DRG_Status!$I$2:$I$100000=S_Curve_Data!AO8) *
   (DRG_Status!$B$2:$B$100000=S_Curve_Data!$AO$1)
)),0)/$AP$1</f>
        <v>#N/A</v>
      </c>
      <c r="AS8" s="23" t="e" cm="1">
        <f t="array" ref="AS8">IFERROR(ROWS(_xlfn._xlws.FILTER(
   DRG_Status!$A$2:$A$100000,
   (DRG_Status!$J$2:$J$100000=S_Curve_Data!AO8) *
   (DRG_Status!$B$2:$B$100000=S_Curve_Data!$AO$1)
)),0)/$AP$1</f>
        <v>#N/A</v>
      </c>
    </row>
    <row r="9" spans="1:45">
      <c r="F9" s="17">
        <f>Mappings!B8</f>
        <v>45705</v>
      </c>
      <c r="G9" s="23" cm="1">
        <f t="array" ref="G9">IFERROR(ROWS(_xlfn._xlws.FILTER(
   DRG_Status!$A$2:$A$100000,
   (DRG_Status!$C$2:$C$100000=S_Curve_Data!F9) *
   (DRG_Status!$B$2:$B$100000=S_Curve_Data!$F$1)
)),0)/$G$1</f>
        <v>0</v>
      </c>
      <c r="H9" s="23" cm="1">
        <f t="array" ref="H9">IFERROR(ROWS(_xlfn._xlws.FILTER(
   DRG_Status!$A$2:$A$100000,
   (DRG_Status!$D$2:$D$100000=S_Curve_Data!F9) *
   (DRG_Status!$B$2:$B$100000=S_Curve_Data!$F$1)
)),0)/$G$1</f>
        <v>0</v>
      </c>
      <c r="I9" s="23" cm="1">
        <f t="array" ref="I9">IFERROR(ROWS(_xlfn._xlws.FILTER(
   DRG_Status!$A$2:$A$100000,
   (DRG_Status!$E$2:$E$100000=S_Curve_Data!F9) *
   (DRG_Status!$B$2:$B$100000=S_Curve_Data!$F$1)
)),0)/$G$1</f>
        <v>0</v>
      </c>
      <c r="J9" s="23" cm="1">
        <f t="array" ref="J9">IFERROR(ROWS(_xlfn._xlws.FILTER(
   DRG_Status!$A$2:$A$100000,
   (DRG_Status!$F$2:$F$100000=S_Curve_Data!F9) *
   (DRG_Status!$B$2:$B$100000=S_Curve_Data!$F$1)
)),0)/$G$1</f>
        <v>0</v>
      </c>
      <c r="M9" s="17">
        <f>Mappings!B8</f>
        <v>45705</v>
      </c>
      <c r="N9" s="23" cm="1">
        <f t="array" ref="N9">IFERROR(ROWS(_xlfn._xlws.FILTER(
   DRG_Status!$A$2:$A$100000,
   (DRG_Status!$C$2:$C$100000=S_Curve_Data!M9) *
   (DRG_Status!$B$2:$B$100000=S_Curve_Data!$M$1)
)),0)/$N$1</f>
        <v>0</v>
      </c>
      <c r="O9" s="23" cm="1">
        <f t="array" ref="O9">IFERROR(ROWS(_xlfn._xlws.FILTER(
   DRG_Status!$A$2:$A$100000,
   (DRG_Status!$D$2:$D$100000=S_Curve_Data!M9) *
   (DRG_Status!$B$2:$B$100000=S_Curve_Data!$M$1)
)),0)/$N$1</f>
        <v>0</v>
      </c>
      <c r="P9" s="23" cm="1">
        <f t="array" ref="P9">IFERROR(ROWS(_xlfn._xlws.FILTER(
   DRG_Status!$A$2:$A$100000,
   (DRG_Status!$E$2:$E$100000=S_Curve_Data!M9) *
   (DRG_Status!$B$2:$B$100000=S_Curve_Data!$M$1)
)),0)/$N$1</f>
        <v>0</v>
      </c>
      <c r="Q9" s="23" cm="1">
        <f t="array" ref="Q9">IFERROR(ROWS(_xlfn._xlws.FILTER(
   DRG_Status!$A$2:$A$100000,
   (DRG_Status!$F$2:$F$100000=S_Curve_Data!M9) *
   (DRG_Status!$B$2:$B$100000=S_Curve_Data!$M$1)
)),0)/$N$1</f>
        <v>0</v>
      </c>
      <c r="T9" s="17">
        <f>Mappings!B8</f>
        <v>45705</v>
      </c>
      <c r="U9" s="23" t="e" cm="1">
        <f t="array" ref="U9">IFERROR(ROWS(_xlfn._xlws.FILTER(
   DRG_Status!$A$2:$A$100000,
   (DRG_Status!$C$2:$C$100000=S_Curve_Data!T9) *
   (DRG_Status!$B$2:$B$100000=S_Curve_Data!$T$1)
)),0)/$U$1</f>
        <v>#N/A</v>
      </c>
      <c r="V9" s="23" t="e" cm="1">
        <f t="array" ref="V9">IFERROR(ROWS(_xlfn._xlws.FILTER(
   DRG_Status!$A$2:$A$100000,
   (DRG_Status!$D$2:$D$100000=S_Curve_Data!T9) *
   (DRG_Status!$B$2:$B$100000=S_Curve_Data!$T$1)
)),0)/$U$1</f>
        <v>#N/A</v>
      </c>
      <c r="W9" s="23" t="e" cm="1">
        <f t="array" ref="W9">IFERROR(ROWS(_xlfn._xlws.FILTER(
   DRG_Status!$A$2:$A$100000,
   (DRG_Status!$E$2:$E$100000=S_Curve_Data!T9) *
   (DRG_Status!$B$2:$B$100000=S_Curve_Data!$T$1)
)),0)/$U$1</f>
        <v>#N/A</v>
      </c>
      <c r="X9" s="23" t="e" cm="1">
        <f t="array" ref="X9">IFERROR(ROWS(_xlfn._xlws.FILTER(
   DRG_Status!$A$2:$A$100000,
   (DRG_Status!$F$2:$F$100000=S_Curve_Data!T9) *
   (DRG_Status!$B$2:$B$100000=S_Curve_Data!$T$1)
)),0)/$U$1</f>
        <v>#N/A</v>
      </c>
      <c r="AA9" s="18">
        <v>45839</v>
      </c>
      <c r="AB9" s="23" cm="1">
        <f t="array" ref="AB9">IFERROR(ROWS(_xlfn._xlws.FILTER(
   DRG_Status!$A$2:$A$100000,
   (DRG_Status!$G$2:$G$100000=S_Curve_Data!AA9) *
   (DRG_Status!$B$2:$B$100000=S_Curve_Data!$AA$1)
)),0)/$AB$1</f>
        <v>0</v>
      </c>
      <c r="AC9" s="23" cm="1">
        <f t="array" ref="AC9">IFERROR(ROWS(_xlfn._xlws.FILTER(
   DRG_Status!$A$2:$A$100000,
   (DRG_Status!$H$2:$H$100000=S_Curve_Data!AA9) *
   (DRG_Status!$B$2:$B$100000=S_Curve_Data!$AA$1)
)),0)/$AB$1</f>
        <v>0</v>
      </c>
      <c r="AD9" s="23" cm="1">
        <f t="array" ref="AD9">IFERROR(ROWS(_xlfn._xlws.FILTER(
   DRG_Status!$A$2:$A$100000,
   (DRG_Status!$I$2:$I$100000=S_Curve_Data!AA9) *
   (DRG_Status!$B$2:$B$100000=S_Curve_Data!$AA$1)
)),0)/$AB$1</f>
        <v>0</v>
      </c>
      <c r="AE9" s="23" cm="1">
        <f t="array" ref="AE9">IFERROR(ROWS(_xlfn._xlws.FILTER(
   DRG_Status!$A$2:$A$100000,
   (DRG_Status!$J$2:$J$100000=S_Curve_Data!AA9) *
   (DRG_Status!$B$2:$B$100000=S_Curve_Data!$AA$1)
)),0)/$AB$1</f>
        <v>0</v>
      </c>
      <c r="AH9" s="18">
        <v>45839</v>
      </c>
      <c r="AI9" s="23" cm="1">
        <f t="array" ref="AI9">IFERROR(ROWS(_xlfn._xlws.FILTER(
   DRG_Status!$A$2:$A$100000,
   (DRG_Status!$G$2:$G$100000=S_Curve_Data!AH9) *
   (DRG_Status!$B$2:$B$100000=S_Curve_Data!$AH$1)
)),0)/$AI$1</f>
        <v>0</v>
      </c>
      <c r="AJ9" s="23" cm="1">
        <f t="array" ref="AJ9">IFERROR(ROWS(_xlfn._xlws.FILTER(
   DRG_Status!$A$2:$A$100000,
   (DRG_Status!$H$2:$H$100000=S_Curve_Data!AH9) *
   (DRG_Status!$B$2:$B$100000=S_Curve_Data!$AH$1)
)),0)/$AI$1</f>
        <v>0</v>
      </c>
      <c r="AK9" s="23" cm="1">
        <f t="array" ref="AK9">IFERROR(ROWS(_xlfn._xlws.FILTER(
   DRG_Status!$A$2:$A$100000,
   (DRG_Status!$I$2:$I$100000=S_Curve_Data!AH9) *
   (DRG_Status!$B$2:$B$100000=S_Curve_Data!$AH$1)
)),0)/$AI$1</f>
        <v>0</v>
      </c>
      <c r="AL9" s="23" cm="1">
        <f t="array" ref="AL9">IFERROR(ROWS(_xlfn._xlws.FILTER(
   DRG_Status!$A$2:$A$100000,
   (DRG_Status!$J$2:$J$100000=S_Curve_Data!AH9) *
   (DRG_Status!$B$2:$B$100000=S_Curve_Data!$AH$1)
)),0)/$AI$1</f>
        <v>0</v>
      </c>
      <c r="AO9" s="18">
        <v>45839</v>
      </c>
      <c r="AP9" s="23" t="e" cm="1">
        <f t="array" ref="AP9">IFERROR(ROWS(_xlfn._xlws.FILTER(
   DRG_Status!$A$2:$A$100000,
   (DRG_Status!$G$2:$G$100000=S_Curve_Data!AO9) *
   (DRG_Status!$B$2:$B$100000=S_Curve_Data!$AO$1)
)),0)/$AP$1</f>
        <v>#N/A</v>
      </c>
      <c r="AQ9" s="23" t="e" cm="1">
        <f t="array" ref="AQ9">IFERROR(ROWS(_xlfn._xlws.FILTER(
   DRG_Status!$A$2:$A$100000,
   (DRG_Status!$H$2:$H$100000=S_Curve_Data!AO9) *
   (DRG_Status!$B$2:$B$100000=S_Curve_Data!$AO$1)
)),0)/$AP$1</f>
        <v>#N/A</v>
      </c>
      <c r="AR9" s="23" t="e" cm="1">
        <f t="array" ref="AR9">IFERROR(ROWS(_xlfn._xlws.FILTER(
   DRG_Status!$A$2:$A$100000,
   (DRG_Status!$I$2:$I$100000=S_Curve_Data!AO9) *
   (DRG_Status!$B$2:$B$100000=S_Curve_Data!$AO$1)
)),0)/$AP$1</f>
        <v>#N/A</v>
      </c>
      <c r="AS9" s="23" t="e" cm="1">
        <f t="array" ref="AS9">IFERROR(ROWS(_xlfn._xlws.FILTER(
   DRG_Status!$A$2:$A$100000,
   (DRG_Status!$J$2:$J$100000=S_Curve_Data!AO9) *
   (DRG_Status!$B$2:$B$100000=S_Curve_Data!$AO$1)
)),0)/$AP$1</f>
        <v>#N/A</v>
      </c>
    </row>
    <row r="10" spans="1:45">
      <c r="F10" s="17">
        <f>Mappings!B9</f>
        <v>45712</v>
      </c>
      <c r="G10" s="23" cm="1">
        <f t="array" ref="G10">IFERROR(ROWS(_xlfn._xlws.FILTER(
   DRG_Status!$A$2:$A$100000,
   (DRG_Status!$C$2:$C$100000=S_Curve_Data!F10) *
   (DRG_Status!$B$2:$B$100000=S_Curve_Data!$F$1)
)),0)/$G$1</f>
        <v>0</v>
      </c>
      <c r="H10" s="23" cm="1">
        <f t="array" ref="H10">IFERROR(ROWS(_xlfn._xlws.FILTER(
   DRG_Status!$A$2:$A$100000,
   (DRG_Status!$D$2:$D$100000=S_Curve_Data!F10) *
   (DRG_Status!$B$2:$B$100000=S_Curve_Data!$F$1)
)),0)/$G$1</f>
        <v>0</v>
      </c>
      <c r="I10" s="23" cm="1">
        <f t="array" ref="I10">IFERROR(ROWS(_xlfn._xlws.FILTER(
   DRG_Status!$A$2:$A$100000,
   (DRG_Status!$E$2:$E$100000=S_Curve_Data!F10) *
   (DRG_Status!$B$2:$B$100000=S_Curve_Data!$F$1)
)),0)/$G$1</f>
        <v>0</v>
      </c>
      <c r="J10" s="23" cm="1">
        <f t="array" ref="J10">IFERROR(ROWS(_xlfn._xlws.FILTER(
   DRG_Status!$A$2:$A$100000,
   (DRG_Status!$F$2:$F$100000=S_Curve_Data!F10) *
   (DRG_Status!$B$2:$B$100000=S_Curve_Data!$F$1)
)),0)/$G$1</f>
        <v>0</v>
      </c>
      <c r="M10" s="17">
        <f>Mappings!B9</f>
        <v>45712</v>
      </c>
      <c r="N10" s="23" cm="1">
        <f t="array" ref="N10">IFERROR(ROWS(_xlfn._xlws.FILTER(
   DRG_Status!$A$2:$A$100000,
   (DRG_Status!$C$2:$C$100000=S_Curve_Data!M10) *
   (DRG_Status!$B$2:$B$100000=S_Curve_Data!$M$1)
)),0)/$N$1</f>
        <v>0</v>
      </c>
      <c r="O10" s="23" cm="1">
        <f t="array" ref="O10">IFERROR(ROWS(_xlfn._xlws.FILTER(
   DRG_Status!$A$2:$A$100000,
   (DRG_Status!$D$2:$D$100000=S_Curve_Data!M10) *
   (DRG_Status!$B$2:$B$100000=S_Curve_Data!$M$1)
)),0)/$N$1</f>
        <v>0</v>
      </c>
      <c r="P10" s="23" cm="1">
        <f t="array" ref="P10">IFERROR(ROWS(_xlfn._xlws.FILTER(
   DRG_Status!$A$2:$A$100000,
   (DRG_Status!$E$2:$E$100000=S_Curve_Data!M10) *
   (DRG_Status!$B$2:$B$100000=S_Curve_Data!$M$1)
)),0)/$N$1</f>
        <v>0</v>
      </c>
      <c r="Q10" s="23" cm="1">
        <f t="array" ref="Q10">IFERROR(ROWS(_xlfn._xlws.FILTER(
   DRG_Status!$A$2:$A$100000,
   (DRG_Status!$F$2:$F$100000=S_Curve_Data!M10) *
   (DRG_Status!$B$2:$B$100000=S_Curve_Data!$M$1)
)),0)/$N$1</f>
        <v>0</v>
      </c>
      <c r="T10" s="17">
        <f>Mappings!B9</f>
        <v>45712</v>
      </c>
      <c r="U10" s="23" t="e" cm="1">
        <f t="array" ref="U10">IFERROR(ROWS(_xlfn._xlws.FILTER(
   DRG_Status!$A$2:$A$100000,
   (DRG_Status!$C$2:$C$100000=S_Curve_Data!T10) *
   (DRG_Status!$B$2:$B$100000=S_Curve_Data!$T$1)
)),0)/$U$1</f>
        <v>#N/A</v>
      </c>
      <c r="V10" s="23" t="e" cm="1">
        <f t="array" ref="V10">IFERROR(ROWS(_xlfn._xlws.FILTER(
   DRG_Status!$A$2:$A$100000,
   (DRG_Status!$D$2:$D$100000=S_Curve_Data!T10) *
   (DRG_Status!$B$2:$B$100000=S_Curve_Data!$T$1)
)),0)/$U$1</f>
        <v>#N/A</v>
      </c>
      <c r="W10" s="23" t="e" cm="1">
        <f t="array" ref="W10">IFERROR(ROWS(_xlfn._xlws.FILTER(
   DRG_Status!$A$2:$A$100000,
   (DRG_Status!$E$2:$E$100000=S_Curve_Data!T10) *
   (DRG_Status!$B$2:$B$100000=S_Curve_Data!$T$1)
)),0)/$U$1</f>
        <v>#N/A</v>
      </c>
      <c r="X10" s="23" t="e" cm="1">
        <f t="array" ref="X10">IFERROR(ROWS(_xlfn._xlws.FILTER(
   DRG_Status!$A$2:$A$100000,
   (DRG_Status!$F$2:$F$100000=S_Curve_Data!T10) *
   (DRG_Status!$B$2:$B$100000=S_Curve_Data!$T$1)
)),0)/$U$1</f>
        <v>#N/A</v>
      </c>
      <c r="AA10" s="18">
        <v>45870</v>
      </c>
      <c r="AB10" s="23" cm="1">
        <f t="array" ref="AB10">IFERROR(ROWS(_xlfn._xlws.FILTER(
   DRG_Status!$A$2:$A$100000,
   (DRG_Status!$G$2:$G$100000=S_Curve_Data!AA10) *
   (DRG_Status!$B$2:$B$100000=S_Curve_Data!$AA$1)
)),0)/$AB$1</f>
        <v>0</v>
      </c>
      <c r="AC10" s="23" cm="1">
        <f t="array" ref="AC10">IFERROR(ROWS(_xlfn._xlws.FILTER(
   DRG_Status!$A$2:$A$100000,
   (DRG_Status!$H$2:$H$100000=S_Curve_Data!AA10) *
   (DRG_Status!$B$2:$B$100000=S_Curve_Data!$AA$1)
)),0)/$AB$1</f>
        <v>0</v>
      </c>
      <c r="AD10" s="23" cm="1">
        <f t="array" ref="AD10">IFERROR(ROWS(_xlfn._xlws.FILTER(
   DRG_Status!$A$2:$A$100000,
   (DRG_Status!$I$2:$I$100000=S_Curve_Data!AA10) *
   (DRG_Status!$B$2:$B$100000=S_Curve_Data!$AA$1)
)),0)/$AB$1</f>
        <v>0</v>
      </c>
      <c r="AE10" s="23" cm="1">
        <f t="array" ref="AE10">IFERROR(ROWS(_xlfn._xlws.FILTER(
   DRG_Status!$A$2:$A$100000,
   (DRG_Status!$J$2:$J$100000=S_Curve_Data!AA10) *
   (DRG_Status!$B$2:$B$100000=S_Curve_Data!$AA$1)
)),0)/$AB$1</f>
        <v>0</v>
      </c>
      <c r="AH10" s="18">
        <v>45870</v>
      </c>
      <c r="AI10" s="23" cm="1">
        <f t="array" ref="AI10">IFERROR(ROWS(_xlfn._xlws.FILTER(
   DRG_Status!$A$2:$A$100000,
   (DRG_Status!$G$2:$G$100000=S_Curve_Data!AH10) *
   (DRG_Status!$B$2:$B$100000=S_Curve_Data!$AH$1)
)),0)/$AI$1</f>
        <v>0</v>
      </c>
      <c r="AJ10" s="23" cm="1">
        <f t="array" ref="AJ10">IFERROR(ROWS(_xlfn._xlws.FILTER(
   DRG_Status!$A$2:$A$100000,
   (DRG_Status!$H$2:$H$100000=S_Curve_Data!AH10) *
   (DRG_Status!$B$2:$B$100000=S_Curve_Data!$AH$1)
)),0)/$AI$1</f>
        <v>0</v>
      </c>
      <c r="AK10" s="23" cm="1">
        <f t="array" ref="AK10">IFERROR(ROWS(_xlfn._xlws.FILTER(
   DRG_Status!$A$2:$A$100000,
   (DRG_Status!$I$2:$I$100000=S_Curve_Data!AH10) *
   (DRG_Status!$B$2:$B$100000=S_Curve_Data!$AH$1)
)),0)/$AI$1</f>
        <v>0</v>
      </c>
      <c r="AL10" s="23" cm="1">
        <f t="array" ref="AL10">IFERROR(ROWS(_xlfn._xlws.FILTER(
   DRG_Status!$A$2:$A$100000,
   (DRG_Status!$J$2:$J$100000=S_Curve_Data!AH10) *
   (DRG_Status!$B$2:$B$100000=S_Curve_Data!$AH$1)
)),0)/$AI$1</f>
        <v>0</v>
      </c>
      <c r="AO10" s="18">
        <v>45870</v>
      </c>
      <c r="AP10" s="23" t="e" cm="1">
        <f t="array" ref="AP10">IFERROR(ROWS(_xlfn._xlws.FILTER(
   DRG_Status!$A$2:$A$100000,
   (DRG_Status!$G$2:$G$100000=S_Curve_Data!AO10) *
   (DRG_Status!$B$2:$B$100000=S_Curve_Data!$AO$1)
)),0)/$AP$1</f>
        <v>#N/A</v>
      </c>
      <c r="AQ10" s="23" t="e" cm="1">
        <f t="array" ref="AQ10">IFERROR(ROWS(_xlfn._xlws.FILTER(
   DRG_Status!$A$2:$A$100000,
   (DRG_Status!$H$2:$H$100000=S_Curve_Data!AO10) *
   (DRG_Status!$B$2:$B$100000=S_Curve_Data!$AO$1)
)),0)/$AP$1</f>
        <v>#N/A</v>
      </c>
      <c r="AR10" s="23" t="e" cm="1">
        <f t="array" ref="AR10">IFERROR(ROWS(_xlfn._xlws.FILTER(
   DRG_Status!$A$2:$A$100000,
   (DRG_Status!$I$2:$I$100000=S_Curve_Data!AO10) *
   (DRG_Status!$B$2:$B$100000=S_Curve_Data!$AO$1)
)),0)/$AP$1</f>
        <v>#N/A</v>
      </c>
      <c r="AS10" s="23" t="e" cm="1">
        <f t="array" ref="AS10">IFERROR(ROWS(_xlfn._xlws.FILTER(
   DRG_Status!$A$2:$A$100000,
   (DRG_Status!$J$2:$J$100000=S_Curve_Data!AO10) *
   (DRG_Status!$B$2:$B$100000=S_Curve_Data!$AO$1)
)),0)/$AP$1</f>
        <v>#N/A</v>
      </c>
    </row>
    <row r="11" spans="1:45">
      <c r="F11" s="17">
        <f>Mappings!B10</f>
        <v>45719</v>
      </c>
      <c r="G11" s="23" cm="1">
        <f t="array" ref="G11">IFERROR(ROWS(_xlfn._xlws.FILTER(
   DRG_Status!$A$2:$A$100000,
   (DRG_Status!$C$2:$C$100000=S_Curve_Data!F11) *
   (DRG_Status!$B$2:$B$100000=S_Curve_Data!$F$1)
)),0)/$G$1</f>
        <v>0</v>
      </c>
      <c r="H11" s="23" cm="1">
        <f t="array" ref="H11">IFERROR(ROWS(_xlfn._xlws.FILTER(
   DRG_Status!$A$2:$A$100000,
   (DRG_Status!$D$2:$D$100000=S_Curve_Data!F11) *
   (DRG_Status!$B$2:$B$100000=S_Curve_Data!$F$1)
)),0)/$G$1</f>
        <v>0</v>
      </c>
      <c r="I11" s="23" cm="1">
        <f t="array" ref="I11">IFERROR(ROWS(_xlfn._xlws.FILTER(
   DRG_Status!$A$2:$A$100000,
   (DRG_Status!$E$2:$E$100000=S_Curve_Data!F11) *
   (DRG_Status!$B$2:$B$100000=S_Curve_Data!$F$1)
)),0)/$G$1</f>
        <v>0</v>
      </c>
      <c r="J11" s="23" cm="1">
        <f t="array" ref="J11">IFERROR(ROWS(_xlfn._xlws.FILTER(
   DRG_Status!$A$2:$A$100000,
   (DRG_Status!$F$2:$F$100000=S_Curve_Data!F11) *
   (DRG_Status!$B$2:$B$100000=S_Curve_Data!$F$1)
)),0)/$G$1</f>
        <v>0</v>
      </c>
      <c r="M11" s="17">
        <f>Mappings!B10</f>
        <v>45719</v>
      </c>
      <c r="N11" s="23" cm="1">
        <f t="array" ref="N11">IFERROR(ROWS(_xlfn._xlws.FILTER(
   DRG_Status!$A$2:$A$100000,
   (DRG_Status!$C$2:$C$100000=S_Curve_Data!M11) *
   (DRG_Status!$B$2:$B$100000=S_Curve_Data!$M$1)
)),0)/$N$1</f>
        <v>0</v>
      </c>
      <c r="O11" s="23" cm="1">
        <f t="array" ref="O11">IFERROR(ROWS(_xlfn._xlws.FILTER(
   DRG_Status!$A$2:$A$100000,
   (DRG_Status!$D$2:$D$100000=S_Curve_Data!M11) *
   (DRG_Status!$B$2:$B$100000=S_Curve_Data!$M$1)
)),0)/$N$1</f>
        <v>0</v>
      </c>
      <c r="P11" s="23" cm="1">
        <f t="array" ref="P11">IFERROR(ROWS(_xlfn._xlws.FILTER(
   DRG_Status!$A$2:$A$100000,
   (DRG_Status!$E$2:$E$100000=S_Curve_Data!M11) *
   (DRG_Status!$B$2:$B$100000=S_Curve_Data!$M$1)
)),0)/$N$1</f>
        <v>0</v>
      </c>
      <c r="Q11" s="23" cm="1">
        <f t="array" ref="Q11">IFERROR(ROWS(_xlfn._xlws.FILTER(
   DRG_Status!$A$2:$A$100000,
   (DRG_Status!$F$2:$F$100000=S_Curve_Data!M11) *
   (DRG_Status!$B$2:$B$100000=S_Curve_Data!$M$1)
)),0)/$N$1</f>
        <v>0</v>
      </c>
      <c r="T11" s="17">
        <f>Mappings!B10</f>
        <v>45719</v>
      </c>
      <c r="U11" s="23" t="e" cm="1">
        <f t="array" ref="U11">IFERROR(ROWS(_xlfn._xlws.FILTER(
   DRG_Status!$A$2:$A$100000,
   (DRG_Status!$C$2:$C$100000=S_Curve_Data!T11) *
   (DRG_Status!$B$2:$B$100000=S_Curve_Data!$T$1)
)),0)/$U$1</f>
        <v>#N/A</v>
      </c>
      <c r="V11" s="23" t="e" cm="1">
        <f t="array" ref="V11">IFERROR(ROWS(_xlfn._xlws.FILTER(
   DRG_Status!$A$2:$A$100000,
   (DRG_Status!$D$2:$D$100000=S_Curve_Data!T11) *
   (DRG_Status!$B$2:$B$100000=S_Curve_Data!$T$1)
)),0)/$U$1</f>
        <v>#N/A</v>
      </c>
      <c r="W11" s="23" t="e" cm="1">
        <f t="array" ref="W11">IFERROR(ROWS(_xlfn._xlws.FILTER(
   DRG_Status!$A$2:$A$100000,
   (DRG_Status!$E$2:$E$100000=S_Curve_Data!T11) *
   (DRG_Status!$B$2:$B$100000=S_Curve_Data!$T$1)
)),0)/$U$1</f>
        <v>#N/A</v>
      </c>
      <c r="X11" s="23" t="e" cm="1">
        <f t="array" ref="X11">IFERROR(ROWS(_xlfn._xlws.FILTER(
   DRG_Status!$A$2:$A$100000,
   (DRG_Status!$F$2:$F$100000=S_Curve_Data!T11) *
   (DRG_Status!$B$2:$B$100000=S_Curve_Data!$T$1)
)),0)/$U$1</f>
        <v>#N/A</v>
      </c>
      <c r="AA11" s="18">
        <v>45901</v>
      </c>
      <c r="AB11" s="23" cm="1">
        <f t="array" ref="AB11">IFERROR(ROWS(_xlfn._xlws.FILTER(
   DRG_Status!$A$2:$A$100000,
   (DRG_Status!$G$2:$G$100000=S_Curve_Data!AA11) *
   (DRG_Status!$B$2:$B$100000=S_Curve_Data!$AA$1)
)),0)/$AB$1</f>
        <v>0</v>
      </c>
      <c r="AC11" s="23" cm="1">
        <f t="array" ref="AC11">IFERROR(ROWS(_xlfn._xlws.FILTER(
   DRG_Status!$A$2:$A$100000,
   (DRG_Status!$H$2:$H$100000=S_Curve_Data!AA11) *
   (DRG_Status!$B$2:$B$100000=S_Curve_Data!$AA$1)
)),0)/$AB$1</f>
        <v>0</v>
      </c>
      <c r="AD11" s="23" cm="1">
        <f t="array" ref="AD11">IFERROR(ROWS(_xlfn._xlws.FILTER(
   DRG_Status!$A$2:$A$100000,
   (DRG_Status!$I$2:$I$100000=S_Curve_Data!AA11) *
   (DRG_Status!$B$2:$B$100000=S_Curve_Data!$AA$1)
)),0)/$AB$1</f>
        <v>0</v>
      </c>
      <c r="AE11" s="23" cm="1">
        <f t="array" ref="AE11">IFERROR(ROWS(_xlfn._xlws.FILTER(
   DRG_Status!$A$2:$A$100000,
   (DRG_Status!$J$2:$J$100000=S_Curve_Data!AA11) *
   (DRG_Status!$B$2:$B$100000=S_Curve_Data!$AA$1)
)),0)/$AB$1</f>
        <v>0</v>
      </c>
      <c r="AH11" s="18">
        <v>45901</v>
      </c>
      <c r="AI11" s="23" cm="1">
        <f t="array" ref="AI11">IFERROR(ROWS(_xlfn._xlws.FILTER(
   DRG_Status!$A$2:$A$100000,
   (DRG_Status!$G$2:$G$100000=S_Curve_Data!AH11) *
   (DRG_Status!$B$2:$B$100000=S_Curve_Data!$AH$1)
)),0)/$AI$1</f>
        <v>0</v>
      </c>
      <c r="AJ11" s="23" cm="1">
        <f t="array" ref="AJ11">IFERROR(ROWS(_xlfn._xlws.FILTER(
   DRG_Status!$A$2:$A$100000,
   (DRG_Status!$H$2:$H$100000=S_Curve_Data!AH11) *
   (DRG_Status!$B$2:$B$100000=S_Curve_Data!$AH$1)
)),0)/$AI$1</f>
        <v>0</v>
      </c>
      <c r="AK11" s="23" cm="1">
        <f t="array" ref="AK11">IFERROR(ROWS(_xlfn._xlws.FILTER(
   DRG_Status!$A$2:$A$100000,
   (DRG_Status!$I$2:$I$100000=S_Curve_Data!AH11) *
   (DRG_Status!$B$2:$B$100000=S_Curve_Data!$AH$1)
)),0)/$AI$1</f>
        <v>0</v>
      </c>
      <c r="AL11" s="23" cm="1">
        <f t="array" ref="AL11">IFERROR(ROWS(_xlfn._xlws.FILTER(
   DRG_Status!$A$2:$A$100000,
   (DRG_Status!$J$2:$J$100000=S_Curve_Data!AH11) *
   (DRG_Status!$B$2:$B$100000=S_Curve_Data!$AH$1)
)),0)/$AI$1</f>
        <v>0</v>
      </c>
      <c r="AO11" s="18">
        <v>45901</v>
      </c>
      <c r="AP11" s="23" t="e" cm="1">
        <f t="array" ref="AP11">IFERROR(ROWS(_xlfn._xlws.FILTER(
   DRG_Status!$A$2:$A$100000,
   (DRG_Status!$G$2:$G$100000=S_Curve_Data!AO11) *
   (DRG_Status!$B$2:$B$100000=S_Curve_Data!$AO$1)
)),0)/$AP$1</f>
        <v>#N/A</v>
      </c>
      <c r="AQ11" s="23" t="e" cm="1">
        <f t="array" ref="AQ11">IFERROR(ROWS(_xlfn._xlws.FILTER(
   DRG_Status!$A$2:$A$100000,
   (DRG_Status!$H$2:$H$100000=S_Curve_Data!AO11) *
   (DRG_Status!$B$2:$B$100000=S_Curve_Data!$AO$1)
)),0)/$AP$1</f>
        <v>#N/A</v>
      </c>
      <c r="AR11" s="23" t="e" cm="1">
        <f t="array" ref="AR11">IFERROR(ROWS(_xlfn._xlws.FILTER(
   DRG_Status!$A$2:$A$100000,
   (DRG_Status!$I$2:$I$100000=S_Curve_Data!AO11) *
   (DRG_Status!$B$2:$B$100000=S_Curve_Data!$AO$1)
)),0)/$AP$1</f>
        <v>#N/A</v>
      </c>
      <c r="AS11" s="23" t="e" cm="1">
        <f t="array" ref="AS11">IFERROR(ROWS(_xlfn._xlws.FILTER(
   DRG_Status!$A$2:$A$100000,
   (DRG_Status!$J$2:$J$100000=S_Curve_Data!AO11) *
   (DRG_Status!$B$2:$B$100000=S_Curve_Data!$AO$1)
)),0)/$AP$1</f>
        <v>#N/A</v>
      </c>
    </row>
    <row r="12" spans="1:45">
      <c r="F12" s="17">
        <f>Mappings!B11</f>
        <v>45726</v>
      </c>
      <c r="G12" s="23" cm="1">
        <f t="array" ref="G12">IFERROR(ROWS(_xlfn._xlws.FILTER(
   DRG_Status!$A$2:$A$100000,
   (DRG_Status!$C$2:$C$100000=S_Curve_Data!F12) *
   (DRG_Status!$B$2:$B$100000=S_Curve_Data!$F$1)
)),0)/$G$1</f>
        <v>0</v>
      </c>
      <c r="H12" s="23" cm="1">
        <f t="array" ref="H12">IFERROR(ROWS(_xlfn._xlws.FILTER(
   DRG_Status!$A$2:$A$100000,
   (DRG_Status!$D$2:$D$100000=S_Curve_Data!F12) *
   (DRG_Status!$B$2:$B$100000=S_Curve_Data!$F$1)
)),0)/$G$1</f>
        <v>0</v>
      </c>
      <c r="I12" s="23" cm="1">
        <f t="array" ref="I12">IFERROR(ROWS(_xlfn._xlws.FILTER(
   DRG_Status!$A$2:$A$100000,
   (DRG_Status!$E$2:$E$100000=S_Curve_Data!F12) *
   (DRG_Status!$B$2:$B$100000=S_Curve_Data!$F$1)
)),0)/$G$1</f>
        <v>0</v>
      </c>
      <c r="J12" s="23" cm="1">
        <f t="array" ref="J12">IFERROR(ROWS(_xlfn._xlws.FILTER(
   DRG_Status!$A$2:$A$100000,
   (DRG_Status!$F$2:$F$100000=S_Curve_Data!F12) *
   (DRG_Status!$B$2:$B$100000=S_Curve_Data!$F$1)
)),0)/$G$1</f>
        <v>0</v>
      </c>
      <c r="M12" s="17">
        <f>Mappings!B11</f>
        <v>45726</v>
      </c>
      <c r="N12" s="23" cm="1">
        <f t="array" ref="N12">IFERROR(ROWS(_xlfn._xlws.FILTER(
   DRG_Status!$A$2:$A$100000,
   (DRG_Status!$C$2:$C$100000=S_Curve_Data!M12) *
   (DRG_Status!$B$2:$B$100000=S_Curve_Data!$M$1)
)),0)/$N$1</f>
        <v>0</v>
      </c>
      <c r="O12" s="23" cm="1">
        <f t="array" ref="O12">IFERROR(ROWS(_xlfn._xlws.FILTER(
   DRG_Status!$A$2:$A$100000,
   (DRG_Status!$D$2:$D$100000=S_Curve_Data!M12) *
   (DRG_Status!$B$2:$B$100000=S_Curve_Data!$M$1)
)),0)/$N$1</f>
        <v>0</v>
      </c>
      <c r="P12" s="23" cm="1">
        <f t="array" ref="P12">IFERROR(ROWS(_xlfn._xlws.FILTER(
   DRG_Status!$A$2:$A$100000,
   (DRG_Status!$E$2:$E$100000=S_Curve_Data!M12) *
   (DRG_Status!$B$2:$B$100000=S_Curve_Data!$M$1)
)),0)/$N$1</f>
        <v>0</v>
      </c>
      <c r="Q12" s="23" cm="1">
        <f t="array" ref="Q12">IFERROR(ROWS(_xlfn._xlws.FILTER(
   DRG_Status!$A$2:$A$100000,
   (DRG_Status!$F$2:$F$100000=S_Curve_Data!M12) *
   (DRG_Status!$B$2:$B$100000=S_Curve_Data!$M$1)
)),0)/$N$1</f>
        <v>0</v>
      </c>
      <c r="T12" s="17">
        <f>Mappings!B11</f>
        <v>45726</v>
      </c>
      <c r="U12" s="23" t="e" cm="1">
        <f t="array" ref="U12">IFERROR(ROWS(_xlfn._xlws.FILTER(
   DRG_Status!$A$2:$A$100000,
   (DRG_Status!$C$2:$C$100000=S_Curve_Data!T12) *
   (DRG_Status!$B$2:$B$100000=S_Curve_Data!$T$1)
)),0)/$U$1</f>
        <v>#N/A</v>
      </c>
      <c r="V12" s="23" t="e" cm="1">
        <f t="array" ref="V12">IFERROR(ROWS(_xlfn._xlws.FILTER(
   DRG_Status!$A$2:$A$100000,
   (DRG_Status!$D$2:$D$100000=S_Curve_Data!T12) *
   (DRG_Status!$B$2:$B$100000=S_Curve_Data!$T$1)
)),0)/$U$1</f>
        <v>#N/A</v>
      </c>
      <c r="W12" s="23" t="e" cm="1">
        <f t="array" ref="W12">IFERROR(ROWS(_xlfn._xlws.FILTER(
   DRG_Status!$A$2:$A$100000,
   (DRG_Status!$E$2:$E$100000=S_Curve_Data!T12) *
   (DRG_Status!$B$2:$B$100000=S_Curve_Data!$T$1)
)),0)/$U$1</f>
        <v>#N/A</v>
      </c>
      <c r="X12" s="23" t="e" cm="1">
        <f t="array" ref="X12">IFERROR(ROWS(_xlfn._xlws.FILTER(
   DRG_Status!$A$2:$A$100000,
   (DRG_Status!$F$2:$F$100000=S_Curve_Data!T12) *
   (DRG_Status!$B$2:$B$100000=S_Curve_Data!$T$1)
)),0)/$U$1</f>
        <v>#N/A</v>
      </c>
      <c r="AA12" s="18">
        <v>45931</v>
      </c>
      <c r="AB12" s="23" cm="1">
        <f t="array" ref="AB12">IFERROR(ROWS(_xlfn._xlws.FILTER(
   DRG_Status!$A$2:$A$100000,
   (DRG_Status!$G$2:$G$100000=S_Curve_Data!AA12) *
   (DRG_Status!$B$2:$B$100000=S_Curve_Data!$AA$1)
)),0)/$AB$1</f>
        <v>0</v>
      </c>
      <c r="AC12" s="23" cm="1">
        <f t="array" ref="AC12">IFERROR(ROWS(_xlfn._xlws.FILTER(
   DRG_Status!$A$2:$A$100000,
   (DRG_Status!$H$2:$H$100000=S_Curve_Data!AA12) *
   (DRG_Status!$B$2:$B$100000=S_Curve_Data!$AA$1)
)),0)/$AB$1</f>
        <v>0</v>
      </c>
      <c r="AD12" s="23" cm="1">
        <f t="array" ref="AD12">IFERROR(ROWS(_xlfn._xlws.FILTER(
   DRG_Status!$A$2:$A$100000,
   (DRG_Status!$I$2:$I$100000=S_Curve_Data!AA12) *
   (DRG_Status!$B$2:$B$100000=S_Curve_Data!$AA$1)
)),0)/$AB$1</f>
        <v>0</v>
      </c>
      <c r="AE12" s="23" cm="1">
        <f t="array" ref="AE12">IFERROR(ROWS(_xlfn._xlws.FILTER(
   DRG_Status!$A$2:$A$100000,
   (DRG_Status!$J$2:$J$100000=S_Curve_Data!AA12) *
   (DRG_Status!$B$2:$B$100000=S_Curve_Data!$AA$1)
)),0)/$AB$1</f>
        <v>0</v>
      </c>
      <c r="AH12" s="18">
        <v>45931</v>
      </c>
      <c r="AI12" s="23" cm="1">
        <f t="array" ref="AI12">IFERROR(ROWS(_xlfn._xlws.FILTER(
   DRG_Status!$A$2:$A$100000,
   (DRG_Status!$G$2:$G$100000=S_Curve_Data!AH12) *
   (DRG_Status!$B$2:$B$100000=S_Curve_Data!$AH$1)
)),0)/$AI$1</f>
        <v>0</v>
      </c>
      <c r="AJ12" s="23" cm="1">
        <f t="array" ref="AJ12">IFERROR(ROWS(_xlfn._xlws.FILTER(
   DRG_Status!$A$2:$A$100000,
   (DRG_Status!$H$2:$H$100000=S_Curve_Data!AH12) *
   (DRG_Status!$B$2:$B$100000=S_Curve_Data!$AH$1)
)),0)/$AI$1</f>
        <v>0</v>
      </c>
      <c r="AK12" s="23" cm="1">
        <f t="array" ref="AK12">IFERROR(ROWS(_xlfn._xlws.FILTER(
   DRG_Status!$A$2:$A$100000,
   (DRG_Status!$I$2:$I$100000=S_Curve_Data!AH12) *
   (DRG_Status!$B$2:$B$100000=S_Curve_Data!$AH$1)
)),0)/$AI$1</f>
        <v>0</v>
      </c>
      <c r="AL12" s="23" cm="1">
        <f t="array" ref="AL12">IFERROR(ROWS(_xlfn._xlws.FILTER(
   DRG_Status!$A$2:$A$100000,
   (DRG_Status!$J$2:$J$100000=S_Curve_Data!AH12) *
   (DRG_Status!$B$2:$B$100000=S_Curve_Data!$AH$1)
)),0)/$AI$1</f>
        <v>0</v>
      </c>
      <c r="AO12" s="18">
        <v>45931</v>
      </c>
      <c r="AP12" s="23" t="e" cm="1">
        <f t="array" ref="AP12">IFERROR(ROWS(_xlfn._xlws.FILTER(
   DRG_Status!$A$2:$A$100000,
   (DRG_Status!$G$2:$G$100000=S_Curve_Data!AO12) *
   (DRG_Status!$B$2:$B$100000=S_Curve_Data!$AO$1)
)),0)/$AP$1</f>
        <v>#N/A</v>
      </c>
      <c r="AQ12" s="23" t="e" cm="1">
        <f t="array" ref="AQ12">IFERROR(ROWS(_xlfn._xlws.FILTER(
   DRG_Status!$A$2:$A$100000,
   (DRG_Status!$H$2:$H$100000=S_Curve_Data!AO12) *
   (DRG_Status!$B$2:$B$100000=S_Curve_Data!$AO$1)
)),0)/$AP$1</f>
        <v>#N/A</v>
      </c>
      <c r="AR12" s="23" t="e" cm="1">
        <f t="array" ref="AR12">IFERROR(ROWS(_xlfn._xlws.FILTER(
   DRG_Status!$A$2:$A$100000,
   (DRG_Status!$I$2:$I$100000=S_Curve_Data!AO12) *
   (DRG_Status!$B$2:$B$100000=S_Curve_Data!$AO$1)
)),0)/$AP$1</f>
        <v>#N/A</v>
      </c>
      <c r="AS12" s="23" t="e" cm="1">
        <f t="array" ref="AS12">IFERROR(ROWS(_xlfn._xlws.FILTER(
   DRG_Status!$A$2:$A$100000,
   (DRG_Status!$J$2:$J$100000=S_Curve_Data!AO12) *
   (DRG_Status!$B$2:$B$100000=S_Curve_Data!$AO$1)
)),0)/$AP$1</f>
        <v>#N/A</v>
      </c>
    </row>
    <row r="13" spans="1:45">
      <c r="F13" s="17">
        <f>Mappings!B12</f>
        <v>45733</v>
      </c>
      <c r="G13" s="23" cm="1">
        <f t="array" ref="G13">IFERROR(ROWS(_xlfn._xlws.FILTER(
   DRG_Status!$A$2:$A$100000,
   (DRG_Status!$C$2:$C$100000=S_Curve_Data!F13) *
   (DRG_Status!$B$2:$B$100000=S_Curve_Data!$F$1)
)),0)/$G$1</f>
        <v>0</v>
      </c>
      <c r="H13" s="23" cm="1">
        <f t="array" ref="H13">IFERROR(ROWS(_xlfn._xlws.FILTER(
   DRG_Status!$A$2:$A$100000,
   (DRG_Status!$D$2:$D$100000=S_Curve_Data!F13) *
   (DRG_Status!$B$2:$B$100000=S_Curve_Data!$F$1)
)),0)/$G$1</f>
        <v>0</v>
      </c>
      <c r="I13" s="23" cm="1">
        <f t="array" ref="I13">IFERROR(ROWS(_xlfn._xlws.FILTER(
   DRG_Status!$A$2:$A$100000,
   (DRG_Status!$E$2:$E$100000=S_Curve_Data!F13) *
   (DRG_Status!$B$2:$B$100000=S_Curve_Data!$F$1)
)),0)/$G$1</f>
        <v>0</v>
      </c>
      <c r="J13" s="23" cm="1">
        <f t="array" ref="J13">IFERROR(ROWS(_xlfn._xlws.FILTER(
   DRG_Status!$A$2:$A$100000,
   (DRG_Status!$F$2:$F$100000=S_Curve_Data!F13) *
   (DRG_Status!$B$2:$B$100000=S_Curve_Data!$F$1)
)),0)/$G$1</f>
        <v>0</v>
      </c>
      <c r="M13" s="17">
        <f>Mappings!B12</f>
        <v>45733</v>
      </c>
      <c r="N13" s="23" cm="1">
        <f t="array" ref="N13">IFERROR(ROWS(_xlfn._xlws.FILTER(
   DRG_Status!$A$2:$A$100000,
   (DRG_Status!$C$2:$C$100000=S_Curve_Data!M13) *
   (DRG_Status!$B$2:$B$100000=S_Curve_Data!$M$1)
)),0)/$N$1</f>
        <v>0</v>
      </c>
      <c r="O13" s="23" cm="1">
        <f t="array" ref="O13">IFERROR(ROWS(_xlfn._xlws.FILTER(
   DRG_Status!$A$2:$A$100000,
   (DRG_Status!$D$2:$D$100000=S_Curve_Data!M13) *
   (DRG_Status!$B$2:$B$100000=S_Curve_Data!$M$1)
)),0)/$N$1</f>
        <v>0</v>
      </c>
      <c r="P13" s="23" cm="1">
        <f t="array" ref="P13">IFERROR(ROWS(_xlfn._xlws.FILTER(
   DRG_Status!$A$2:$A$100000,
   (DRG_Status!$E$2:$E$100000=S_Curve_Data!M13) *
   (DRG_Status!$B$2:$B$100000=S_Curve_Data!$M$1)
)),0)/$N$1</f>
        <v>0</v>
      </c>
      <c r="Q13" s="23" cm="1">
        <f t="array" ref="Q13">IFERROR(ROWS(_xlfn._xlws.FILTER(
   DRG_Status!$A$2:$A$100000,
   (DRG_Status!$F$2:$F$100000=S_Curve_Data!M13) *
   (DRG_Status!$B$2:$B$100000=S_Curve_Data!$M$1)
)),0)/$N$1</f>
        <v>0</v>
      </c>
      <c r="T13" s="17">
        <f>Mappings!B12</f>
        <v>45733</v>
      </c>
      <c r="U13" s="23" t="e" cm="1">
        <f t="array" ref="U13">IFERROR(ROWS(_xlfn._xlws.FILTER(
   DRG_Status!$A$2:$A$100000,
   (DRG_Status!$C$2:$C$100000=S_Curve_Data!T13) *
   (DRG_Status!$B$2:$B$100000=S_Curve_Data!$T$1)
)),0)/$U$1</f>
        <v>#N/A</v>
      </c>
      <c r="V13" s="23" t="e" cm="1">
        <f t="array" ref="V13">IFERROR(ROWS(_xlfn._xlws.FILTER(
   DRG_Status!$A$2:$A$100000,
   (DRG_Status!$D$2:$D$100000=S_Curve_Data!T13) *
   (DRG_Status!$B$2:$B$100000=S_Curve_Data!$T$1)
)),0)/$U$1</f>
        <v>#N/A</v>
      </c>
      <c r="W13" s="23" t="e" cm="1">
        <f t="array" ref="W13">IFERROR(ROWS(_xlfn._xlws.FILTER(
   DRG_Status!$A$2:$A$100000,
   (DRG_Status!$E$2:$E$100000=S_Curve_Data!T13) *
   (DRG_Status!$B$2:$B$100000=S_Curve_Data!$T$1)
)),0)/$U$1</f>
        <v>#N/A</v>
      </c>
      <c r="X13" s="23" t="e" cm="1">
        <f t="array" ref="X13">IFERROR(ROWS(_xlfn._xlws.FILTER(
   DRG_Status!$A$2:$A$100000,
   (DRG_Status!$F$2:$F$100000=S_Curve_Data!T13) *
   (DRG_Status!$B$2:$B$100000=S_Curve_Data!$T$1)
)),0)/$U$1</f>
        <v>#N/A</v>
      </c>
      <c r="AA13" s="18">
        <v>45962</v>
      </c>
      <c r="AB13" s="23" cm="1">
        <f t="array" ref="AB13">IFERROR(ROWS(_xlfn._xlws.FILTER(
   DRG_Status!$A$2:$A$100000,
   (DRG_Status!$G$2:$G$100000=S_Curve_Data!AA13) *
   (DRG_Status!$B$2:$B$100000=S_Curve_Data!$AA$1)
)),0)/$AB$1</f>
        <v>0</v>
      </c>
      <c r="AC13" s="23" cm="1">
        <f t="array" ref="AC13">IFERROR(ROWS(_xlfn._xlws.FILTER(
   DRG_Status!$A$2:$A$100000,
   (DRG_Status!$H$2:$H$100000=S_Curve_Data!AA13) *
   (DRG_Status!$B$2:$B$100000=S_Curve_Data!$AA$1)
)),0)/$AB$1</f>
        <v>0</v>
      </c>
      <c r="AD13" s="23" cm="1">
        <f t="array" ref="AD13">IFERROR(ROWS(_xlfn._xlws.FILTER(
   DRG_Status!$A$2:$A$100000,
   (DRG_Status!$I$2:$I$100000=S_Curve_Data!AA13) *
   (DRG_Status!$B$2:$B$100000=S_Curve_Data!$AA$1)
)),0)/$AB$1</f>
        <v>0</v>
      </c>
      <c r="AE13" s="23" cm="1">
        <f t="array" ref="AE13">IFERROR(ROWS(_xlfn._xlws.FILTER(
   DRG_Status!$A$2:$A$100000,
   (DRG_Status!$J$2:$J$100000=S_Curve_Data!AA13) *
   (DRG_Status!$B$2:$B$100000=S_Curve_Data!$AA$1)
)),0)/$AB$1</f>
        <v>0</v>
      </c>
      <c r="AH13" s="18">
        <v>45962</v>
      </c>
      <c r="AI13" s="23" cm="1">
        <f t="array" ref="AI13">IFERROR(ROWS(_xlfn._xlws.FILTER(
   DRG_Status!$A$2:$A$100000,
   (DRG_Status!$G$2:$G$100000=S_Curve_Data!AH13) *
   (DRG_Status!$B$2:$B$100000=S_Curve_Data!$AH$1)
)),0)/$AI$1</f>
        <v>0</v>
      </c>
      <c r="AJ13" s="23" cm="1">
        <f t="array" ref="AJ13">IFERROR(ROWS(_xlfn._xlws.FILTER(
   DRG_Status!$A$2:$A$100000,
   (DRG_Status!$H$2:$H$100000=S_Curve_Data!AH13) *
   (DRG_Status!$B$2:$B$100000=S_Curve_Data!$AH$1)
)),0)/$AI$1</f>
        <v>0</v>
      </c>
      <c r="AK13" s="23" cm="1">
        <f t="array" ref="AK13">IFERROR(ROWS(_xlfn._xlws.FILTER(
   DRG_Status!$A$2:$A$100000,
   (DRG_Status!$I$2:$I$100000=S_Curve_Data!AH13) *
   (DRG_Status!$B$2:$B$100000=S_Curve_Data!$AH$1)
)),0)/$AI$1</f>
        <v>0</v>
      </c>
      <c r="AL13" s="23" cm="1">
        <f t="array" ref="AL13">IFERROR(ROWS(_xlfn._xlws.FILTER(
   DRG_Status!$A$2:$A$100000,
   (DRG_Status!$J$2:$J$100000=S_Curve_Data!AH13) *
   (DRG_Status!$B$2:$B$100000=S_Curve_Data!$AH$1)
)),0)/$AI$1</f>
        <v>0</v>
      </c>
      <c r="AO13" s="18">
        <v>45962</v>
      </c>
      <c r="AP13" s="23" t="e" cm="1">
        <f t="array" ref="AP13">IFERROR(ROWS(_xlfn._xlws.FILTER(
   DRG_Status!$A$2:$A$100000,
   (DRG_Status!$G$2:$G$100000=S_Curve_Data!AO13) *
   (DRG_Status!$B$2:$B$100000=S_Curve_Data!$AO$1)
)),0)/$AP$1</f>
        <v>#N/A</v>
      </c>
      <c r="AQ13" s="23" t="e" cm="1">
        <f t="array" ref="AQ13">IFERROR(ROWS(_xlfn._xlws.FILTER(
   DRG_Status!$A$2:$A$100000,
   (DRG_Status!$H$2:$H$100000=S_Curve_Data!AO13) *
   (DRG_Status!$B$2:$B$100000=S_Curve_Data!$AO$1)
)),0)/$AP$1</f>
        <v>#N/A</v>
      </c>
      <c r="AR13" s="23" t="e" cm="1">
        <f t="array" ref="AR13">IFERROR(ROWS(_xlfn._xlws.FILTER(
   DRG_Status!$A$2:$A$100000,
   (DRG_Status!$I$2:$I$100000=S_Curve_Data!AO13) *
   (DRG_Status!$B$2:$B$100000=S_Curve_Data!$AO$1)
)),0)/$AP$1</f>
        <v>#N/A</v>
      </c>
      <c r="AS13" s="23" t="e" cm="1">
        <f t="array" ref="AS13">IFERROR(ROWS(_xlfn._xlws.FILTER(
   DRG_Status!$A$2:$A$100000,
   (DRG_Status!$J$2:$J$100000=S_Curve_Data!AO13) *
   (DRG_Status!$B$2:$B$100000=S_Curve_Data!$AO$1)
)),0)/$AP$1</f>
        <v>#N/A</v>
      </c>
    </row>
    <row r="14" spans="1:45">
      <c r="F14" s="17">
        <f>Mappings!B13</f>
        <v>45740</v>
      </c>
      <c r="G14" s="23" cm="1">
        <f t="array" ref="G14">IFERROR(ROWS(_xlfn._xlws.FILTER(
   DRG_Status!$A$2:$A$100000,
   (DRG_Status!$C$2:$C$100000=S_Curve_Data!F14) *
   (DRG_Status!$B$2:$B$100000=S_Curve_Data!$F$1)
)),0)/$G$1</f>
        <v>0</v>
      </c>
      <c r="H14" s="23" cm="1">
        <f t="array" ref="H14">IFERROR(ROWS(_xlfn._xlws.FILTER(
   DRG_Status!$A$2:$A$100000,
   (DRG_Status!$D$2:$D$100000=S_Curve_Data!F14) *
   (DRG_Status!$B$2:$B$100000=S_Curve_Data!$F$1)
)),0)/$G$1</f>
        <v>0</v>
      </c>
      <c r="I14" s="23" cm="1">
        <f t="array" ref="I14">IFERROR(ROWS(_xlfn._xlws.FILTER(
   DRG_Status!$A$2:$A$100000,
   (DRG_Status!$E$2:$E$100000=S_Curve_Data!F14) *
   (DRG_Status!$B$2:$B$100000=S_Curve_Data!$F$1)
)),0)/$G$1</f>
        <v>0</v>
      </c>
      <c r="J14" s="23" cm="1">
        <f t="array" ref="J14">IFERROR(ROWS(_xlfn._xlws.FILTER(
   DRG_Status!$A$2:$A$100000,
   (DRG_Status!$F$2:$F$100000=S_Curve_Data!F14) *
   (DRG_Status!$B$2:$B$100000=S_Curve_Data!$F$1)
)),0)/$G$1</f>
        <v>0</v>
      </c>
      <c r="M14" s="17">
        <f>Mappings!B13</f>
        <v>45740</v>
      </c>
      <c r="N14" s="23" cm="1">
        <f t="array" ref="N14">IFERROR(ROWS(_xlfn._xlws.FILTER(
   DRG_Status!$A$2:$A$100000,
   (DRG_Status!$C$2:$C$100000=S_Curve_Data!M14) *
   (DRG_Status!$B$2:$B$100000=S_Curve_Data!$M$1)
)),0)/$N$1</f>
        <v>0</v>
      </c>
      <c r="O14" s="23" cm="1">
        <f t="array" ref="O14">IFERROR(ROWS(_xlfn._xlws.FILTER(
   DRG_Status!$A$2:$A$100000,
   (DRG_Status!$D$2:$D$100000=S_Curve_Data!M14) *
   (DRG_Status!$B$2:$B$100000=S_Curve_Data!$M$1)
)),0)/$N$1</f>
        <v>0</v>
      </c>
      <c r="P14" s="23" cm="1">
        <f t="array" ref="P14">IFERROR(ROWS(_xlfn._xlws.FILTER(
   DRG_Status!$A$2:$A$100000,
   (DRG_Status!$E$2:$E$100000=S_Curve_Data!M14) *
   (DRG_Status!$B$2:$B$100000=S_Curve_Data!$M$1)
)),0)/$N$1</f>
        <v>0</v>
      </c>
      <c r="Q14" s="23" cm="1">
        <f t="array" ref="Q14">IFERROR(ROWS(_xlfn._xlws.FILTER(
   DRG_Status!$A$2:$A$100000,
   (DRG_Status!$F$2:$F$100000=S_Curve_Data!M14) *
   (DRG_Status!$B$2:$B$100000=S_Curve_Data!$M$1)
)),0)/$N$1</f>
        <v>0</v>
      </c>
      <c r="T14" s="17">
        <f>Mappings!B13</f>
        <v>45740</v>
      </c>
      <c r="U14" s="23" t="e" cm="1">
        <f t="array" ref="U14">IFERROR(ROWS(_xlfn._xlws.FILTER(
   DRG_Status!$A$2:$A$100000,
   (DRG_Status!$C$2:$C$100000=S_Curve_Data!T14) *
   (DRG_Status!$B$2:$B$100000=S_Curve_Data!$T$1)
)),0)/$U$1</f>
        <v>#N/A</v>
      </c>
      <c r="V14" s="23" t="e" cm="1">
        <f t="array" ref="V14">IFERROR(ROWS(_xlfn._xlws.FILTER(
   DRG_Status!$A$2:$A$100000,
   (DRG_Status!$D$2:$D$100000=S_Curve_Data!T14) *
   (DRG_Status!$B$2:$B$100000=S_Curve_Data!$T$1)
)),0)/$U$1</f>
        <v>#N/A</v>
      </c>
      <c r="W14" s="23" t="e" cm="1">
        <f t="array" ref="W14">IFERROR(ROWS(_xlfn._xlws.FILTER(
   DRG_Status!$A$2:$A$100000,
   (DRG_Status!$E$2:$E$100000=S_Curve_Data!T14) *
   (DRG_Status!$B$2:$B$100000=S_Curve_Data!$T$1)
)),0)/$U$1</f>
        <v>#N/A</v>
      </c>
      <c r="X14" s="23" t="e" cm="1">
        <f t="array" ref="X14">IFERROR(ROWS(_xlfn._xlws.FILTER(
   DRG_Status!$A$2:$A$100000,
   (DRG_Status!$F$2:$F$100000=S_Curve_Data!T14) *
   (DRG_Status!$B$2:$B$100000=S_Curve_Data!$T$1)
)),0)/$U$1</f>
        <v>#N/A</v>
      </c>
      <c r="AA14" s="18">
        <v>45992</v>
      </c>
      <c r="AB14" s="23" cm="1">
        <f t="array" ref="AB14">IFERROR(ROWS(_xlfn._xlws.FILTER(
   DRG_Status!$A$2:$A$100000,
   (DRG_Status!$G$2:$G$100000=S_Curve_Data!AA14) *
   (DRG_Status!$B$2:$B$100000=S_Curve_Data!$AA$1)
)),0)/$AB$1</f>
        <v>6.25E-2</v>
      </c>
      <c r="AC14" s="23" cm="1">
        <f t="array" ref="AC14">IFERROR(ROWS(_xlfn._xlws.FILTER(
   DRG_Status!$A$2:$A$100000,
   (DRG_Status!$H$2:$H$100000=S_Curve_Data!AA14) *
   (DRG_Status!$B$2:$B$100000=S_Curve_Data!$AA$1)
)),0)/$AB$1</f>
        <v>6.25E-2</v>
      </c>
      <c r="AD14" s="23" cm="1">
        <f t="array" ref="AD14">IFERROR(ROWS(_xlfn._xlws.FILTER(
   DRG_Status!$A$2:$A$100000,
   (DRG_Status!$I$2:$I$100000=S_Curve_Data!AA14) *
   (DRG_Status!$B$2:$B$100000=S_Curve_Data!$AA$1)
)),0)/$AB$1</f>
        <v>0</v>
      </c>
      <c r="AE14" s="23" cm="1">
        <f t="array" ref="AE14">IFERROR(ROWS(_xlfn._xlws.FILTER(
   DRG_Status!$A$2:$A$100000,
   (DRG_Status!$J$2:$J$100000=S_Curve_Data!AA14) *
   (DRG_Status!$B$2:$B$100000=S_Curve_Data!$AA$1)
)),0)/$AB$1</f>
        <v>0</v>
      </c>
      <c r="AH14" s="18">
        <v>45992</v>
      </c>
      <c r="AI14" s="23" cm="1">
        <f t="array" ref="AI14">IFERROR(ROWS(_xlfn._xlws.FILTER(
   DRG_Status!$A$2:$A$100000,
   (DRG_Status!$G$2:$G$100000=S_Curve_Data!AH14) *
   (DRG_Status!$B$2:$B$100000=S_Curve_Data!$AH$1)
)),0)/$AI$1</f>
        <v>0</v>
      </c>
      <c r="AJ14" s="23" cm="1">
        <f t="array" ref="AJ14">IFERROR(ROWS(_xlfn._xlws.FILTER(
   DRG_Status!$A$2:$A$100000,
   (DRG_Status!$H$2:$H$100000=S_Curve_Data!AH14) *
   (DRG_Status!$B$2:$B$100000=S_Curve_Data!$AH$1)
)),0)/$AI$1</f>
        <v>0</v>
      </c>
      <c r="AK14" s="23" cm="1">
        <f t="array" ref="AK14">IFERROR(ROWS(_xlfn._xlws.FILTER(
   DRG_Status!$A$2:$A$100000,
   (DRG_Status!$I$2:$I$100000=S_Curve_Data!AH14) *
   (DRG_Status!$B$2:$B$100000=S_Curve_Data!$AH$1)
)),0)/$AI$1</f>
        <v>0</v>
      </c>
      <c r="AL14" s="23" cm="1">
        <f t="array" ref="AL14">IFERROR(ROWS(_xlfn._xlws.FILTER(
   DRG_Status!$A$2:$A$100000,
   (DRG_Status!$J$2:$J$100000=S_Curve_Data!AH14) *
   (DRG_Status!$B$2:$B$100000=S_Curve_Data!$AH$1)
)),0)/$AI$1</f>
        <v>0</v>
      </c>
      <c r="AO14" s="18">
        <v>45992</v>
      </c>
      <c r="AP14" s="23" t="e" cm="1">
        <f t="array" ref="AP14">IFERROR(ROWS(_xlfn._xlws.FILTER(
   DRG_Status!$A$2:$A$100000,
   (DRG_Status!$G$2:$G$100000=S_Curve_Data!AO14) *
   (DRG_Status!$B$2:$B$100000=S_Curve_Data!$AO$1)
)),0)/$AP$1</f>
        <v>#N/A</v>
      </c>
      <c r="AQ14" s="23" t="e" cm="1">
        <f t="array" ref="AQ14">IFERROR(ROWS(_xlfn._xlws.FILTER(
   DRG_Status!$A$2:$A$100000,
   (DRG_Status!$H$2:$H$100000=S_Curve_Data!AO14) *
   (DRG_Status!$B$2:$B$100000=S_Curve_Data!$AO$1)
)),0)/$AP$1</f>
        <v>#N/A</v>
      </c>
      <c r="AR14" s="23" t="e" cm="1">
        <f t="array" ref="AR14">IFERROR(ROWS(_xlfn._xlws.FILTER(
   DRG_Status!$A$2:$A$100000,
   (DRG_Status!$I$2:$I$100000=S_Curve_Data!AO14) *
   (DRG_Status!$B$2:$B$100000=S_Curve_Data!$AO$1)
)),0)/$AP$1</f>
        <v>#N/A</v>
      </c>
      <c r="AS14" s="23" t="e" cm="1">
        <f t="array" ref="AS14">IFERROR(ROWS(_xlfn._xlws.FILTER(
   DRG_Status!$A$2:$A$100000,
   (DRG_Status!$J$2:$J$100000=S_Curve_Data!AO14) *
   (DRG_Status!$B$2:$B$100000=S_Curve_Data!$AO$1)
)),0)/$AP$1</f>
        <v>#N/A</v>
      </c>
    </row>
    <row r="15" spans="1:45">
      <c r="F15" s="17">
        <f>Mappings!B14</f>
        <v>45747</v>
      </c>
      <c r="G15" s="23" cm="1">
        <f t="array" ref="G15">IFERROR(ROWS(_xlfn._xlws.FILTER(
   DRG_Status!$A$2:$A$100000,
   (DRG_Status!$C$2:$C$100000=S_Curve_Data!F15) *
   (DRG_Status!$B$2:$B$100000=S_Curve_Data!$F$1)
)),0)/$G$1</f>
        <v>0</v>
      </c>
      <c r="H15" s="23" cm="1">
        <f t="array" ref="H15">IFERROR(ROWS(_xlfn._xlws.FILTER(
   DRG_Status!$A$2:$A$100000,
   (DRG_Status!$D$2:$D$100000=S_Curve_Data!F15) *
   (DRG_Status!$B$2:$B$100000=S_Curve_Data!$F$1)
)),0)/$G$1</f>
        <v>0</v>
      </c>
      <c r="I15" s="23" cm="1">
        <f t="array" ref="I15">IFERROR(ROWS(_xlfn._xlws.FILTER(
   DRG_Status!$A$2:$A$100000,
   (DRG_Status!$E$2:$E$100000=S_Curve_Data!F15) *
   (DRG_Status!$B$2:$B$100000=S_Curve_Data!$F$1)
)),0)/$G$1</f>
        <v>0</v>
      </c>
      <c r="J15" s="23" cm="1">
        <f t="array" ref="J15">IFERROR(ROWS(_xlfn._xlws.FILTER(
   DRG_Status!$A$2:$A$100000,
   (DRG_Status!$F$2:$F$100000=S_Curve_Data!F15) *
   (DRG_Status!$B$2:$B$100000=S_Curve_Data!$F$1)
)),0)/$G$1</f>
        <v>0</v>
      </c>
      <c r="M15" s="17">
        <f>Mappings!B14</f>
        <v>45747</v>
      </c>
      <c r="N15" s="23" cm="1">
        <f t="array" ref="N15">IFERROR(ROWS(_xlfn._xlws.FILTER(
   DRG_Status!$A$2:$A$100000,
   (DRG_Status!$C$2:$C$100000=S_Curve_Data!M15) *
   (DRG_Status!$B$2:$B$100000=S_Curve_Data!$M$1)
)),0)/$N$1</f>
        <v>0</v>
      </c>
      <c r="O15" s="23" cm="1">
        <f t="array" ref="O15">IFERROR(ROWS(_xlfn._xlws.FILTER(
   DRG_Status!$A$2:$A$100000,
   (DRG_Status!$D$2:$D$100000=S_Curve_Data!M15) *
   (DRG_Status!$B$2:$B$100000=S_Curve_Data!$M$1)
)),0)/$N$1</f>
        <v>0</v>
      </c>
      <c r="P15" s="23" cm="1">
        <f t="array" ref="P15">IFERROR(ROWS(_xlfn._xlws.FILTER(
   DRG_Status!$A$2:$A$100000,
   (DRG_Status!$E$2:$E$100000=S_Curve_Data!M15) *
   (DRG_Status!$B$2:$B$100000=S_Curve_Data!$M$1)
)),0)/$N$1</f>
        <v>0</v>
      </c>
      <c r="Q15" s="23" cm="1">
        <f t="array" ref="Q15">IFERROR(ROWS(_xlfn._xlws.FILTER(
   DRG_Status!$A$2:$A$100000,
   (DRG_Status!$F$2:$F$100000=S_Curve_Data!M15) *
   (DRG_Status!$B$2:$B$100000=S_Curve_Data!$M$1)
)),0)/$N$1</f>
        <v>0</v>
      </c>
      <c r="T15" s="17">
        <f>Mappings!B14</f>
        <v>45747</v>
      </c>
      <c r="U15" s="23" t="e" cm="1">
        <f t="array" ref="U15">IFERROR(ROWS(_xlfn._xlws.FILTER(
   DRG_Status!$A$2:$A$100000,
   (DRG_Status!$C$2:$C$100000=S_Curve_Data!T15) *
   (DRG_Status!$B$2:$B$100000=S_Curve_Data!$T$1)
)),0)/$U$1</f>
        <v>#N/A</v>
      </c>
      <c r="V15" s="23" t="e" cm="1">
        <f t="array" ref="V15">IFERROR(ROWS(_xlfn._xlws.FILTER(
   DRG_Status!$A$2:$A$100000,
   (DRG_Status!$D$2:$D$100000=S_Curve_Data!T15) *
   (DRG_Status!$B$2:$B$100000=S_Curve_Data!$T$1)
)),0)/$U$1</f>
        <v>#N/A</v>
      </c>
      <c r="W15" s="23" t="e" cm="1">
        <f t="array" ref="W15">IFERROR(ROWS(_xlfn._xlws.FILTER(
   DRG_Status!$A$2:$A$100000,
   (DRG_Status!$E$2:$E$100000=S_Curve_Data!T15) *
   (DRG_Status!$B$2:$B$100000=S_Curve_Data!$T$1)
)),0)/$U$1</f>
        <v>#N/A</v>
      </c>
      <c r="X15" s="23" t="e" cm="1">
        <f t="array" ref="X15">IFERROR(ROWS(_xlfn._xlws.FILTER(
   DRG_Status!$A$2:$A$100000,
   (DRG_Status!$F$2:$F$100000=S_Curve_Data!T15) *
   (DRG_Status!$B$2:$B$100000=S_Curve_Data!$T$1)
)),0)/$U$1</f>
        <v>#N/A</v>
      </c>
      <c r="AA15" s="18">
        <v>46023</v>
      </c>
      <c r="AB15" s="23" cm="1">
        <f t="array" ref="AB15">IFERROR(ROWS(_xlfn._xlws.FILTER(
   DRG_Status!$A$2:$A$100000,
   (DRG_Status!$G$2:$G$100000=S_Curve_Data!AA15) *
   (DRG_Status!$B$2:$B$100000=S_Curve_Data!$AA$1)
)),0)/$AB$1</f>
        <v>0.625</v>
      </c>
      <c r="AC15" s="23" cm="1">
        <f t="array" ref="AC15">IFERROR(ROWS(_xlfn._xlws.FILTER(
   DRG_Status!$A$2:$A$100000,
   (DRG_Status!$H$2:$H$100000=S_Curve_Data!AA15) *
   (DRG_Status!$B$2:$B$100000=S_Curve_Data!$AA$1)
)),0)/$AB$1</f>
        <v>0.25</v>
      </c>
      <c r="AD15" s="23" cm="1">
        <f t="array" ref="AD15">IFERROR(ROWS(_xlfn._xlws.FILTER(
   DRG_Status!$A$2:$A$100000,
   (DRG_Status!$I$2:$I$100000=S_Curve_Data!AA15) *
   (DRG_Status!$B$2:$B$100000=S_Curve_Data!$AA$1)
)),0)/$AB$1</f>
        <v>0.625</v>
      </c>
      <c r="AE15" s="23" cm="1">
        <f t="array" ref="AE15">IFERROR(ROWS(_xlfn._xlws.FILTER(
   DRG_Status!$A$2:$A$100000,
   (DRG_Status!$J$2:$J$100000=S_Curve_Data!AA15) *
   (DRG_Status!$B$2:$B$100000=S_Curve_Data!$AA$1)
)),0)/$AB$1</f>
        <v>6.25E-2</v>
      </c>
      <c r="AH15" s="18">
        <v>46023</v>
      </c>
      <c r="AI15" s="23" cm="1">
        <f t="array" ref="AI15">IFERROR(ROWS(_xlfn._xlws.FILTER(
   DRG_Status!$A$2:$A$100000,
   (DRG_Status!$G$2:$G$100000=S_Curve_Data!AH15) *
   (DRG_Status!$B$2:$B$100000=S_Curve_Data!$AH$1)
)),0)/$AI$1</f>
        <v>1</v>
      </c>
      <c r="AJ15" s="23" cm="1">
        <f t="array" ref="AJ15">IFERROR(ROWS(_xlfn._xlws.FILTER(
   DRG_Status!$A$2:$A$100000,
   (DRG_Status!$H$2:$H$100000=S_Curve_Data!AH15) *
   (DRG_Status!$B$2:$B$100000=S_Curve_Data!$AH$1)
)),0)/$AI$1</f>
        <v>0</v>
      </c>
      <c r="AK15" s="23" cm="1">
        <f t="array" ref="AK15">IFERROR(ROWS(_xlfn._xlws.FILTER(
   DRG_Status!$A$2:$A$100000,
   (DRG_Status!$I$2:$I$100000=S_Curve_Data!AH15) *
   (DRG_Status!$B$2:$B$100000=S_Curve_Data!$AH$1)
)),0)/$AI$1</f>
        <v>0.5</v>
      </c>
      <c r="AL15" s="23" cm="1">
        <f t="array" ref="AL15">IFERROR(ROWS(_xlfn._xlws.FILTER(
   DRG_Status!$A$2:$A$100000,
   (DRG_Status!$J$2:$J$100000=S_Curve_Data!AH15) *
   (DRG_Status!$B$2:$B$100000=S_Curve_Data!$AH$1)
)),0)/$AI$1</f>
        <v>0</v>
      </c>
      <c r="AO15" s="18">
        <v>46023</v>
      </c>
      <c r="AP15" s="23" t="e" cm="1">
        <f t="array" ref="AP15">IFERROR(ROWS(_xlfn._xlws.FILTER(
   DRG_Status!$A$2:$A$100000,
   (DRG_Status!$G$2:$G$100000=S_Curve_Data!AO15) *
   (DRG_Status!$B$2:$B$100000=S_Curve_Data!$AO$1)
)),0)/$AP$1</f>
        <v>#N/A</v>
      </c>
      <c r="AQ15" s="23" t="e" cm="1">
        <f t="array" ref="AQ15">IFERROR(ROWS(_xlfn._xlws.FILTER(
   DRG_Status!$A$2:$A$100000,
   (DRG_Status!$H$2:$H$100000=S_Curve_Data!AO15) *
   (DRG_Status!$B$2:$B$100000=S_Curve_Data!$AO$1)
)),0)/$AP$1</f>
        <v>#N/A</v>
      </c>
      <c r="AR15" s="23" t="e" cm="1">
        <f t="array" ref="AR15">IFERROR(ROWS(_xlfn._xlws.FILTER(
   DRG_Status!$A$2:$A$100000,
   (DRG_Status!$I$2:$I$100000=S_Curve_Data!AO15) *
   (DRG_Status!$B$2:$B$100000=S_Curve_Data!$AO$1)
)),0)/$AP$1</f>
        <v>#N/A</v>
      </c>
      <c r="AS15" s="23" t="e" cm="1">
        <f t="array" ref="AS15">IFERROR(ROWS(_xlfn._xlws.FILTER(
   DRG_Status!$A$2:$A$100000,
   (DRG_Status!$J$2:$J$100000=S_Curve_Data!AO15) *
   (DRG_Status!$B$2:$B$100000=S_Curve_Data!$AO$1)
)),0)/$AP$1</f>
        <v>#N/A</v>
      </c>
    </row>
    <row r="16" spans="1:45">
      <c r="F16" s="17">
        <f>Mappings!B15</f>
        <v>45754</v>
      </c>
      <c r="G16" s="23" cm="1">
        <f t="array" ref="G16">IFERROR(ROWS(_xlfn._xlws.FILTER(
   DRG_Status!$A$2:$A$100000,
   (DRG_Status!$C$2:$C$100000=S_Curve_Data!F16) *
   (DRG_Status!$B$2:$B$100000=S_Curve_Data!$F$1)
)),0)/$G$1</f>
        <v>0</v>
      </c>
      <c r="H16" s="23" cm="1">
        <f t="array" ref="H16">IFERROR(ROWS(_xlfn._xlws.FILTER(
   DRG_Status!$A$2:$A$100000,
   (DRG_Status!$D$2:$D$100000=S_Curve_Data!F16) *
   (DRG_Status!$B$2:$B$100000=S_Curve_Data!$F$1)
)),0)/$G$1</f>
        <v>0</v>
      </c>
      <c r="I16" s="23" cm="1">
        <f t="array" ref="I16">IFERROR(ROWS(_xlfn._xlws.FILTER(
   DRG_Status!$A$2:$A$100000,
   (DRG_Status!$E$2:$E$100000=S_Curve_Data!F16) *
   (DRG_Status!$B$2:$B$100000=S_Curve_Data!$F$1)
)),0)/$G$1</f>
        <v>0</v>
      </c>
      <c r="J16" s="23" cm="1">
        <f t="array" ref="J16">IFERROR(ROWS(_xlfn._xlws.FILTER(
   DRG_Status!$A$2:$A$100000,
   (DRG_Status!$F$2:$F$100000=S_Curve_Data!F16) *
   (DRG_Status!$B$2:$B$100000=S_Curve_Data!$F$1)
)),0)/$G$1</f>
        <v>0</v>
      </c>
      <c r="M16" s="17">
        <f>Mappings!B15</f>
        <v>45754</v>
      </c>
      <c r="N16" s="23" cm="1">
        <f t="array" ref="N16">IFERROR(ROWS(_xlfn._xlws.FILTER(
   DRG_Status!$A$2:$A$100000,
   (DRG_Status!$C$2:$C$100000=S_Curve_Data!M16) *
   (DRG_Status!$B$2:$B$100000=S_Curve_Data!$M$1)
)),0)/$N$1</f>
        <v>0</v>
      </c>
      <c r="O16" s="23" cm="1">
        <f t="array" ref="O16">IFERROR(ROWS(_xlfn._xlws.FILTER(
   DRG_Status!$A$2:$A$100000,
   (DRG_Status!$D$2:$D$100000=S_Curve_Data!M16) *
   (DRG_Status!$B$2:$B$100000=S_Curve_Data!$M$1)
)),0)/$N$1</f>
        <v>0</v>
      </c>
      <c r="P16" s="23" cm="1">
        <f t="array" ref="P16">IFERROR(ROWS(_xlfn._xlws.FILTER(
   DRG_Status!$A$2:$A$100000,
   (DRG_Status!$E$2:$E$100000=S_Curve_Data!M16) *
   (DRG_Status!$B$2:$B$100000=S_Curve_Data!$M$1)
)),0)/$N$1</f>
        <v>0</v>
      </c>
      <c r="Q16" s="23" cm="1">
        <f t="array" ref="Q16">IFERROR(ROWS(_xlfn._xlws.FILTER(
   DRG_Status!$A$2:$A$100000,
   (DRG_Status!$F$2:$F$100000=S_Curve_Data!M16) *
   (DRG_Status!$B$2:$B$100000=S_Curve_Data!$M$1)
)),0)/$N$1</f>
        <v>0</v>
      </c>
      <c r="T16" s="17">
        <f>Mappings!B15</f>
        <v>45754</v>
      </c>
      <c r="U16" s="23" t="e" cm="1">
        <f t="array" ref="U16">IFERROR(ROWS(_xlfn._xlws.FILTER(
   DRG_Status!$A$2:$A$100000,
   (DRG_Status!$C$2:$C$100000=S_Curve_Data!T16) *
   (DRG_Status!$B$2:$B$100000=S_Curve_Data!$T$1)
)),0)/$U$1</f>
        <v>#N/A</v>
      </c>
      <c r="V16" s="23" t="e" cm="1">
        <f t="array" ref="V16">IFERROR(ROWS(_xlfn._xlws.FILTER(
   DRG_Status!$A$2:$A$100000,
   (DRG_Status!$D$2:$D$100000=S_Curve_Data!T16) *
   (DRG_Status!$B$2:$B$100000=S_Curve_Data!$T$1)
)),0)/$U$1</f>
        <v>#N/A</v>
      </c>
      <c r="W16" s="23" t="e" cm="1">
        <f t="array" ref="W16">IFERROR(ROWS(_xlfn._xlws.FILTER(
   DRG_Status!$A$2:$A$100000,
   (DRG_Status!$E$2:$E$100000=S_Curve_Data!T16) *
   (DRG_Status!$B$2:$B$100000=S_Curve_Data!$T$1)
)),0)/$U$1</f>
        <v>#N/A</v>
      </c>
      <c r="X16" s="23" t="e" cm="1">
        <f t="array" ref="X16">IFERROR(ROWS(_xlfn._xlws.FILTER(
   DRG_Status!$A$2:$A$100000,
   (DRG_Status!$F$2:$F$100000=S_Curve_Data!T16) *
   (DRG_Status!$B$2:$B$100000=S_Curve_Data!$T$1)
)),0)/$U$1</f>
        <v>#N/A</v>
      </c>
      <c r="AA16" s="18">
        <v>46054</v>
      </c>
      <c r="AB16" s="23" cm="1">
        <f t="array" ref="AB16">IFERROR(ROWS(_xlfn._xlws.FILTER(
   DRG_Status!$A$2:$A$100000,
   (DRG_Status!$G$2:$G$100000=S_Curve_Data!AA16) *
   (DRG_Status!$B$2:$B$100000=S_Curve_Data!$AA$1)
)),0)/$AB$1</f>
        <v>0.3125</v>
      </c>
      <c r="AC16" s="23" cm="1">
        <f t="array" ref="AC16">IFERROR(ROWS(_xlfn._xlws.FILTER(
   DRG_Status!$A$2:$A$100000,
   (DRG_Status!$H$2:$H$100000=S_Curve_Data!AA16) *
   (DRG_Status!$B$2:$B$100000=S_Curve_Data!$AA$1)
)),0)/$AB$1</f>
        <v>0</v>
      </c>
      <c r="AD16" s="23" cm="1">
        <f t="array" ref="AD16">IFERROR(ROWS(_xlfn._xlws.FILTER(
   DRG_Status!$A$2:$A$100000,
   (DRG_Status!$I$2:$I$100000=S_Curve_Data!AA16) *
   (DRG_Status!$B$2:$B$100000=S_Curve_Data!$AA$1)
)),0)/$AB$1</f>
        <v>0.375</v>
      </c>
      <c r="AE16" s="23" cm="1">
        <f t="array" ref="AE16">IFERROR(ROWS(_xlfn._xlws.FILTER(
   DRG_Status!$A$2:$A$100000,
   (DRG_Status!$J$2:$J$100000=S_Curve_Data!AA16) *
   (DRG_Status!$B$2:$B$100000=S_Curve_Data!$AA$1)
)),0)/$AB$1</f>
        <v>0.25</v>
      </c>
      <c r="AH16" s="18">
        <v>46054</v>
      </c>
      <c r="AI16" s="23" cm="1">
        <f t="array" ref="AI16">IFERROR(ROWS(_xlfn._xlws.FILTER(
   DRG_Status!$A$2:$A$100000,
   (DRG_Status!$G$2:$G$100000=S_Curve_Data!AH16) *
   (DRG_Status!$B$2:$B$100000=S_Curve_Data!$AH$1)
)),0)/$AI$1</f>
        <v>0</v>
      </c>
      <c r="AJ16" s="23" cm="1">
        <f t="array" ref="AJ16">IFERROR(ROWS(_xlfn._xlws.FILTER(
   DRG_Status!$A$2:$A$100000,
   (DRG_Status!$H$2:$H$100000=S_Curve_Data!AH16) *
   (DRG_Status!$B$2:$B$100000=S_Curve_Data!$AH$1)
)),0)/$AI$1</f>
        <v>0</v>
      </c>
      <c r="AK16" s="23" cm="1">
        <f t="array" ref="AK16">IFERROR(ROWS(_xlfn._xlws.FILTER(
   DRG_Status!$A$2:$A$100000,
   (DRG_Status!$I$2:$I$100000=S_Curve_Data!AH16) *
   (DRG_Status!$B$2:$B$100000=S_Curve_Data!$AH$1)
)),0)/$AI$1</f>
        <v>0.5</v>
      </c>
      <c r="AL16" s="23" cm="1">
        <f t="array" ref="AL16">IFERROR(ROWS(_xlfn._xlws.FILTER(
   DRG_Status!$A$2:$A$100000,
   (DRG_Status!$J$2:$J$100000=S_Curve_Data!AH16) *
   (DRG_Status!$B$2:$B$100000=S_Curve_Data!$AH$1)
)),0)/$AI$1</f>
        <v>0</v>
      </c>
      <c r="AO16" s="18">
        <v>46054</v>
      </c>
      <c r="AP16" s="23" t="e" cm="1">
        <f t="array" ref="AP16">IFERROR(ROWS(_xlfn._xlws.FILTER(
   DRG_Status!$A$2:$A$100000,
   (DRG_Status!$G$2:$G$100000=S_Curve_Data!AO16) *
   (DRG_Status!$B$2:$B$100000=S_Curve_Data!$AO$1)
)),0)/$AP$1</f>
        <v>#N/A</v>
      </c>
      <c r="AQ16" s="23" t="e" cm="1">
        <f t="array" ref="AQ16">IFERROR(ROWS(_xlfn._xlws.FILTER(
   DRG_Status!$A$2:$A$100000,
   (DRG_Status!$H$2:$H$100000=S_Curve_Data!AO16) *
   (DRG_Status!$B$2:$B$100000=S_Curve_Data!$AO$1)
)),0)/$AP$1</f>
        <v>#N/A</v>
      </c>
      <c r="AR16" s="23" t="e" cm="1">
        <f t="array" ref="AR16">IFERROR(ROWS(_xlfn._xlws.FILTER(
   DRG_Status!$A$2:$A$100000,
   (DRG_Status!$I$2:$I$100000=S_Curve_Data!AO16) *
   (DRG_Status!$B$2:$B$100000=S_Curve_Data!$AO$1)
)),0)/$AP$1</f>
        <v>#N/A</v>
      </c>
      <c r="AS16" s="23" t="e" cm="1">
        <f t="array" ref="AS16">IFERROR(ROWS(_xlfn._xlws.FILTER(
   DRG_Status!$A$2:$A$100000,
   (DRG_Status!$J$2:$J$100000=S_Curve_Data!AO16) *
   (DRG_Status!$B$2:$B$100000=S_Curve_Data!$AO$1)
)),0)/$AP$1</f>
        <v>#N/A</v>
      </c>
    </row>
    <row r="17" spans="6:45">
      <c r="F17" s="17">
        <f>Mappings!B16</f>
        <v>45761</v>
      </c>
      <c r="G17" s="23" cm="1">
        <f t="array" ref="G17">IFERROR(ROWS(_xlfn._xlws.FILTER(
   DRG_Status!$A$2:$A$100000,
   (DRG_Status!$C$2:$C$100000=S_Curve_Data!F17) *
   (DRG_Status!$B$2:$B$100000=S_Curve_Data!$F$1)
)),0)/$G$1</f>
        <v>0</v>
      </c>
      <c r="H17" s="23" cm="1">
        <f t="array" ref="H17">IFERROR(ROWS(_xlfn._xlws.FILTER(
   DRG_Status!$A$2:$A$100000,
   (DRG_Status!$D$2:$D$100000=S_Curve_Data!F17) *
   (DRG_Status!$B$2:$B$100000=S_Curve_Data!$F$1)
)),0)/$G$1</f>
        <v>0</v>
      </c>
      <c r="I17" s="23" cm="1">
        <f t="array" ref="I17">IFERROR(ROWS(_xlfn._xlws.FILTER(
   DRG_Status!$A$2:$A$100000,
   (DRG_Status!$E$2:$E$100000=S_Curve_Data!F17) *
   (DRG_Status!$B$2:$B$100000=S_Curve_Data!$F$1)
)),0)/$G$1</f>
        <v>0</v>
      </c>
      <c r="J17" s="23" cm="1">
        <f t="array" ref="J17">IFERROR(ROWS(_xlfn._xlws.FILTER(
   DRG_Status!$A$2:$A$100000,
   (DRG_Status!$F$2:$F$100000=S_Curve_Data!F17) *
   (DRG_Status!$B$2:$B$100000=S_Curve_Data!$F$1)
)),0)/$G$1</f>
        <v>0</v>
      </c>
      <c r="M17" s="17">
        <f>Mappings!B16</f>
        <v>45761</v>
      </c>
      <c r="N17" s="23" cm="1">
        <f t="array" ref="N17">IFERROR(ROWS(_xlfn._xlws.FILTER(
   DRG_Status!$A$2:$A$100000,
   (DRG_Status!$C$2:$C$100000=S_Curve_Data!M17) *
   (DRG_Status!$B$2:$B$100000=S_Curve_Data!$M$1)
)),0)/$N$1</f>
        <v>0</v>
      </c>
      <c r="O17" s="23" cm="1">
        <f t="array" ref="O17">IFERROR(ROWS(_xlfn._xlws.FILTER(
   DRG_Status!$A$2:$A$100000,
   (DRG_Status!$D$2:$D$100000=S_Curve_Data!M17) *
   (DRG_Status!$B$2:$B$100000=S_Curve_Data!$M$1)
)),0)/$N$1</f>
        <v>0</v>
      </c>
      <c r="P17" s="23" cm="1">
        <f t="array" ref="P17">IFERROR(ROWS(_xlfn._xlws.FILTER(
   DRG_Status!$A$2:$A$100000,
   (DRG_Status!$E$2:$E$100000=S_Curve_Data!M17) *
   (DRG_Status!$B$2:$B$100000=S_Curve_Data!$M$1)
)),0)/$N$1</f>
        <v>0</v>
      </c>
      <c r="Q17" s="23" cm="1">
        <f t="array" ref="Q17">IFERROR(ROWS(_xlfn._xlws.FILTER(
   DRG_Status!$A$2:$A$100000,
   (DRG_Status!$F$2:$F$100000=S_Curve_Data!M17) *
   (DRG_Status!$B$2:$B$100000=S_Curve_Data!$M$1)
)),0)/$N$1</f>
        <v>0</v>
      </c>
      <c r="T17" s="17">
        <f>Mappings!B16</f>
        <v>45761</v>
      </c>
      <c r="U17" s="23" t="e" cm="1">
        <f t="array" ref="U17">IFERROR(ROWS(_xlfn._xlws.FILTER(
   DRG_Status!$A$2:$A$100000,
   (DRG_Status!$C$2:$C$100000=S_Curve_Data!T17) *
   (DRG_Status!$B$2:$B$100000=S_Curve_Data!$T$1)
)),0)/$U$1</f>
        <v>#N/A</v>
      </c>
      <c r="V17" s="23" t="e" cm="1">
        <f t="array" ref="V17">IFERROR(ROWS(_xlfn._xlws.FILTER(
   DRG_Status!$A$2:$A$100000,
   (DRG_Status!$D$2:$D$100000=S_Curve_Data!T17) *
   (DRG_Status!$B$2:$B$100000=S_Curve_Data!$T$1)
)),0)/$U$1</f>
        <v>#N/A</v>
      </c>
      <c r="W17" s="23" t="e" cm="1">
        <f t="array" ref="W17">IFERROR(ROWS(_xlfn._xlws.FILTER(
   DRG_Status!$A$2:$A$100000,
   (DRG_Status!$E$2:$E$100000=S_Curve_Data!T17) *
   (DRG_Status!$B$2:$B$100000=S_Curve_Data!$T$1)
)),0)/$U$1</f>
        <v>#N/A</v>
      </c>
      <c r="X17" s="23" t="e" cm="1">
        <f t="array" ref="X17">IFERROR(ROWS(_xlfn._xlws.FILTER(
   DRG_Status!$A$2:$A$100000,
   (DRG_Status!$F$2:$F$100000=S_Curve_Data!T17) *
   (DRG_Status!$B$2:$B$100000=S_Curve_Data!$T$1)
)),0)/$U$1</f>
        <v>#N/A</v>
      </c>
      <c r="AA17" s="18">
        <v>46082</v>
      </c>
      <c r="AB17" s="23" cm="1">
        <f t="array" ref="AB17">IFERROR(ROWS(_xlfn._xlws.FILTER(
   DRG_Status!$A$2:$A$100000,
   (DRG_Status!$G$2:$G$100000=S_Curve_Data!AA17) *
   (DRG_Status!$B$2:$B$100000=S_Curve_Data!$AA$1)
)),0)/$AB$1</f>
        <v>0</v>
      </c>
      <c r="AC17" s="23" cm="1">
        <f t="array" ref="AC17">IFERROR(ROWS(_xlfn._xlws.FILTER(
   DRG_Status!$A$2:$A$100000,
   (DRG_Status!$H$2:$H$100000=S_Curve_Data!AA17) *
   (DRG_Status!$B$2:$B$100000=S_Curve_Data!$AA$1)
)),0)/$AB$1</f>
        <v>0</v>
      </c>
      <c r="AD17" s="23" cm="1">
        <f t="array" ref="AD17">IFERROR(ROWS(_xlfn._xlws.FILTER(
   DRG_Status!$A$2:$A$100000,
   (DRG_Status!$I$2:$I$100000=S_Curve_Data!AA17) *
   (DRG_Status!$B$2:$B$100000=S_Curve_Data!$AA$1)
)),0)/$AB$1</f>
        <v>0</v>
      </c>
      <c r="AE17" s="23" cm="1">
        <f t="array" ref="AE17">IFERROR(ROWS(_xlfn._xlws.FILTER(
   DRG_Status!$A$2:$A$100000,
   (DRG_Status!$J$2:$J$100000=S_Curve_Data!AA17) *
   (DRG_Status!$B$2:$B$100000=S_Curve_Data!$AA$1)
)),0)/$AB$1</f>
        <v>0</v>
      </c>
      <c r="AH17" s="18">
        <v>46082</v>
      </c>
      <c r="AI17" s="23" cm="1">
        <f t="array" ref="AI17">IFERROR(ROWS(_xlfn._xlws.FILTER(
   DRG_Status!$A$2:$A$100000,
   (DRG_Status!$G$2:$G$100000=S_Curve_Data!AH17) *
   (DRG_Status!$B$2:$B$100000=S_Curve_Data!$AH$1)
)),0)/$AI$1</f>
        <v>0</v>
      </c>
      <c r="AJ17" s="23" cm="1">
        <f t="array" ref="AJ17">IFERROR(ROWS(_xlfn._xlws.FILTER(
   DRG_Status!$A$2:$A$100000,
   (DRG_Status!$H$2:$H$100000=S_Curve_Data!AH17) *
   (DRG_Status!$B$2:$B$100000=S_Curve_Data!$AH$1)
)),0)/$AI$1</f>
        <v>0</v>
      </c>
      <c r="AK17" s="23" cm="1">
        <f t="array" ref="AK17">IFERROR(ROWS(_xlfn._xlws.FILTER(
   DRG_Status!$A$2:$A$100000,
   (DRG_Status!$I$2:$I$100000=S_Curve_Data!AH17) *
   (DRG_Status!$B$2:$B$100000=S_Curve_Data!$AH$1)
)),0)/$AI$1</f>
        <v>0</v>
      </c>
      <c r="AL17" s="23" cm="1">
        <f t="array" ref="AL17">IFERROR(ROWS(_xlfn._xlws.FILTER(
   DRG_Status!$A$2:$A$100000,
   (DRG_Status!$J$2:$J$100000=S_Curve_Data!AH17) *
   (DRG_Status!$B$2:$B$100000=S_Curve_Data!$AH$1)
)),0)/$AI$1</f>
        <v>0</v>
      </c>
      <c r="AO17" s="18">
        <v>46082</v>
      </c>
      <c r="AP17" s="23" t="e" cm="1">
        <f t="array" ref="AP17">IFERROR(ROWS(_xlfn._xlws.FILTER(
   DRG_Status!$A$2:$A$100000,
   (DRG_Status!$G$2:$G$100000=S_Curve_Data!AO17) *
   (DRG_Status!$B$2:$B$100000=S_Curve_Data!$AO$1)
)),0)/$AP$1</f>
        <v>#N/A</v>
      </c>
      <c r="AQ17" s="23" t="e" cm="1">
        <f t="array" ref="AQ17">IFERROR(ROWS(_xlfn._xlws.FILTER(
   DRG_Status!$A$2:$A$100000,
   (DRG_Status!$H$2:$H$100000=S_Curve_Data!AO17) *
   (DRG_Status!$B$2:$B$100000=S_Curve_Data!$AO$1)
)),0)/$AP$1</f>
        <v>#N/A</v>
      </c>
      <c r="AR17" s="23" t="e" cm="1">
        <f t="array" ref="AR17">IFERROR(ROWS(_xlfn._xlws.FILTER(
   DRG_Status!$A$2:$A$100000,
   (DRG_Status!$I$2:$I$100000=S_Curve_Data!AO17) *
   (DRG_Status!$B$2:$B$100000=S_Curve_Data!$AO$1)
)),0)/$AP$1</f>
        <v>#N/A</v>
      </c>
      <c r="AS17" s="23" t="e" cm="1">
        <f t="array" ref="AS17">IFERROR(ROWS(_xlfn._xlws.FILTER(
   DRG_Status!$A$2:$A$100000,
   (DRG_Status!$J$2:$J$100000=S_Curve_Data!AO17) *
   (DRG_Status!$B$2:$B$100000=S_Curve_Data!$AO$1)
)),0)/$AP$1</f>
        <v>#N/A</v>
      </c>
    </row>
    <row r="18" spans="6:45">
      <c r="F18" s="17">
        <f>Mappings!B17</f>
        <v>45768</v>
      </c>
      <c r="G18" s="23" cm="1">
        <f t="array" ref="G18">IFERROR(ROWS(_xlfn._xlws.FILTER(
   DRG_Status!$A$2:$A$100000,
   (DRG_Status!$C$2:$C$100000=S_Curve_Data!F18) *
   (DRG_Status!$B$2:$B$100000=S_Curve_Data!$F$1)
)),0)/$G$1</f>
        <v>0</v>
      </c>
      <c r="H18" s="23" cm="1">
        <f t="array" ref="H18">IFERROR(ROWS(_xlfn._xlws.FILTER(
   DRG_Status!$A$2:$A$100000,
   (DRG_Status!$D$2:$D$100000=S_Curve_Data!F18) *
   (DRG_Status!$B$2:$B$100000=S_Curve_Data!$F$1)
)),0)/$G$1</f>
        <v>0</v>
      </c>
      <c r="I18" s="23" cm="1">
        <f t="array" ref="I18">IFERROR(ROWS(_xlfn._xlws.FILTER(
   DRG_Status!$A$2:$A$100000,
   (DRG_Status!$E$2:$E$100000=S_Curve_Data!F18) *
   (DRG_Status!$B$2:$B$100000=S_Curve_Data!$F$1)
)),0)/$G$1</f>
        <v>0</v>
      </c>
      <c r="J18" s="23" cm="1">
        <f t="array" ref="J18">IFERROR(ROWS(_xlfn._xlws.FILTER(
   DRG_Status!$A$2:$A$100000,
   (DRG_Status!$F$2:$F$100000=S_Curve_Data!F18) *
   (DRG_Status!$B$2:$B$100000=S_Curve_Data!$F$1)
)),0)/$G$1</f>
        <v>0</v>
      </c>
      <c r="M18" s="17">
        <f>Mappings!B17</f>
        <v>45768</v>
      </c>
      <c r="N18" s="23" cm="1">
        <f t="array" ref="N18">IFERROR(ROWS(_xlfn._xlws.FILTER(
   DRG_Status!$A$2:$A$100000,
   (DRG_Status!$C$2:$C$100000=S_Curve_Data!M18) *
   (DRG_Status!$B$2:$B$100000=S_Curve_Data!$M$1)
)),0)/$N$1</f>
        <v>0</v>
      </c>
      <c r="O18" s="23" cm="1">
        <f t="array" ref="O18">IFERROR(ROWS(_xlfn._xlws.FILTER(
   DRG_Status!$A$2:$A$100000,
   (DRG_Status!$D$2:$D$100000=S_Curve_Data!M18) *
   (DRG_Status!$B$2:$B$100000=S_Curve_Data!$M$1)
)),0)/$N$1</f>
        <v>0</v>
      </c>
      <c r="P18" s="23" cm="1">
        <f t="array" ref="P18">IFERROR(ROWS(_xlfn._xlws.FILTER(
   DRG_Status!$A$2:$A$100000,
   (DRG_Status!$E$2:$E$100000=S_Curve_Data!M18) *
   (DRG_Status!$B$2:$B$100000=S_Curve_Data!$M$1)
)),0)/$N$1</f>
        <v>0</v>
      </c>
      <c r="Q18" s="23" cm="1">
        <f t="array" ref="Q18">IFERROR(ROWS(_xlfn._xlws.FILTER(
   DRG_Status!$A$2:$A$100000,
   (DRG_Status!$F$2:$F$100000=S_Curve_Data!M18) *
   (DRG_Status!$B$2:$B$100000=S_Curve_Data!$M$1)
)),0)/$N$1</f>
        <v>0</v>
      </c>
      <c r="T18" s="17">
        <f>Mappings!B17</f>
        <v>45768</v>
      </c>
      <c r="U18" s="23" t="e" cm="1">
        <f t="array" ref="U18">IFERROR(ROWS(_xlfn._xlws.FILTER(
   DRG_Status!$A$2:$A$100000,
   (DRG_Status!$C$2:$C$100000=S_Curve_Data!T18) *
   (DRG_Status!$B$2:$B$100000=S_Curve_Data!$T$1)
)),0)/$U$1</f>
        <v>#N/A</v>
      </c>
      <c r="V18" s="23" t="e" cm="1">
        <f t="array" ref="V18">IFERROR(ROWS(_xlfn._xlws.FILTER(
   DRG_Status!$A$2:$A$100000,
   (DRG_Status!$D$2:$D$100000=S_Curve_Data!T18) *
   (DRG_Status!$B$2:$B$100000=S_Curve_Data!$T$1)
)),0)/$U$1</f>
        <v>#N/A</v>
      </c>
      <c r="W18" s="23" t="e" cm="1">
        <f t="array" ref="W18">IFERROR(ROWS(_xlfn._xlws.FILTER(
   DRG_Status!$A$2:$A$100000,
   (DRG_Status!$E$2:$E$100000=S_Curve_Data!T18) *
   (DRG_Status!$B$2:$B$100000=S_Curve_Data!$T$1)
)),0)/$U$1</f>
        <v>#N/A</v>
      </c>
      <c r="X18" s="23" t="e" cm="1">
        <f t="array" ref="X18">IFERROR(ROWS(_xlfn._xlws.FILTER(
   DRG_Status!$A$2:$A$100000,
   (DRG_Status!$F$2:$F$100000=S_Curve_Data!T18) *
   (DRG_Status!$B$2:$B$100000=S_Curve_Data!$T$1)
)),0)/$U$1</f>
        <v>#N/A</v>
      </c>
      <c r="AA18" s="18">
        <v>46113</v>
      </c>
      <c r="AB18" s="23" cm="1">
        <f t="array" ref="AB18">IFERROR(ROWS(_xlfn._xlws.FILTER(
   DRG_Status!$A$2:$A$100000,
   (DRG_Status!$G$2:$G$100000=S_Curve_Data!AA18) *
   (DRG_Status!$B$2:$B$100000=S_Curve_Data!$AA$1)
)),0)/$AB$1</f>
        <v>0</v>
      </c>
      <c r="AC18" s="23" cm="1">
        <f t="array" ref="AC18">IFERROR(ROWS(_xlfn._xlws.FILTER(
   DRG_Status!$A$2:$A$100000,
   (DRG_Status!$H$2:$H$100000=S_Curve_Data!AA18) *
   (DRG_Status!$B$2:$B$100000=S_Curve_Data!$AA$1)
)),0)/$AB$1</f>
        <v>0.6875</v>
      </c>
      <c r="AD18" s="23" cm="1">
        <f t="array" ref="AD18">IFERROR(ROWS(_xlfn._xlws.FILTER(
   DRG_Status!$A$2:$A$100000,
   (DRG_Status!$I$2:$I$100000=S_Curve_Data!AA18) *
   (DRG_Status!$B$2:$B$100000=S_Curve_Data!$AA$1)
)),0)/$AB$1</f>
        <v>0</v>
      </c>
      <c r="AE18" s="23" cm="1">
        <f t="array" ref="AE18">IFERROR(ROWS(_xlfn._xlws.FILTER(
   DRG_Status!$A$2:$A$100000,
   (DRG_Status!$J$2:$J$100000=S_Curve_Data!AA18) *
   (DRG_Status!$B$2:$B$100000=S_Curve_Data!$AA$1)
)),0)/$AB$1</f>
        <v>0.6875</v>
      </c>
      <c r="AH18" s="18">
        <v>46113</v>
      </c>
      <c r="AI18" s="23" cm="1">
        <f t="array" ref="AI18">IFERROR(ROWS(_xlfn._xlws.FILTER(
   DRG_Status!$A$2:$A$100000,
   (DRG_Status!$G$2:$G$100000=S_Curve_Data!AH18) *
   (DRG_Status!$B$2:$B$100000=S_Curve_Data!$AH$1)
)),0)/$AI$1</f>
        <v>0</v>
      </c>
      <c r="AJ18" s="23" cm="1">
        <f t="array" ref="AJ18">IFERROR(ROWS(_xlfn._xlws.FILTER(
   DRG_Status!$A$2:$A$100000,
   (DRG_Status!$H$2:$H$100000=S_Curve_Data!AH18) *
   (DRG_Status!$B$2:$B$100000=S_Curve_Data!$AH$1)
)),0)/$AI$1</f>
        <v>0</v>
      </c>
      <c r="AK18" s="23" cm="1">
        <f t="array" ref="AK18">IFERROR(ROWS(_xlfn._xlws.FILTER(
   DRG_Status!$A$2:$A$100000,
   (DRG_Status!$I$2:$I$100000=S_Curve_Data!AH18) *
   (DRG_Status!$B$2:$B$100000=S_Curve_Data!$AH$1)
)),0)/$AI$1</f>
        <v>0</v>
      </c>
      <c r="AL18" s="23" cm="1">
        <f t="array" ref="AL18">IFERROR(ROWS(_xlfn._xlws.FILTER(
   DRG_Status!$A$2:$A$100000,
   (DRG_Status!$J$2:$J$100000=S_Curve_Data!AH18) *
   (DRG_Status!$B$2:$B$100000=S_Curve_Data!$AH$1)
)),0)/$AI$1</f>
        <v>0</v>
      </c>
      <c r="AO18" s="18">
        <v>46113</v>
      </c>
      <c r="AP18" s="23" t="e" cm="1">
        <f t="array" ref="AP18">IFERROR(ROWS(_xlfn._xlws.FILTER(
   DRG_Status!$A$2:$A$100000,
   (DRG_Status!$G$2:$G$100000=S_Curve_Data!AO18) *
   (DRG_Status!$B$2:$B$100000=S_Curve_Data!$AO$1)
)),0)/$AP$1</f>
        <v>#N/A</v>
      </c>
      <c r="AQ18" s="23" t="e" cm="1">
        <f t="array" ref="AQ18">IFERROR(ROWS(_xlfn._xlws.FILTER(
   DRG_Status!$A$2:$A$100000,
   (DRG_Status!$H$2:$H$100000=S_Curve_Data!AO18) *
   (DRG_Status!$B$2:$B$100000=S_Curve_Data!$AO$1)
)),0)/$AP$1</f>
        <v>#N/A</v>
      </c>
      <c r="AR18" s="23" t="e" cm="1">
        <f t="array" ref="AR18">IFERROR(ROWS(_xlfn._xlws.FILTER(
   DRG_Status!$A$2:$A$100000,
   (DRG_Status!$I$2:$I$100000=S_Curve_Data!AO18) *
   (DRG_Status!$B$2:$B$100000=S_Curve_Data!$AO$1)
)),0)/$AP$1</f>
        <v>#N/A</v>
      </c>
      <c r="AS18" s="23" t="e" cm="1">
        <f t="array" ref="AS18">IFERROR(ROWS(_xlfn._xlws.FILTER(
   DRG_Status!$A$2:$A$100000,
   (DRG_Status!$J$2:$J$100000=S_Curve_Data!AO18) *
   (DRG_Status!$B$2:$B$100000=S_Curve_Data!$AO$1)
)),0)/$AP$1</f>
        <v>#N/A</v>
      </c>
    </row>
    <row r="19" spans="6:45">
      <c r="F19" s="17">
        <f>Mappings!B18</f>
        <v>45775</v>
      </c>
      <c r="G19" s="23" cm="1">
        <f t="array" ref="G19">IFERROR(ROWS(_xlfn._xlws.FILTER(
   DRG_Status!$A$2:$A$100000,
   (DRG_Status!$C$2:$C$100000=S_Curve_Data!F19) *
   (DRG_Status!$B$2:$B$100000=S_Curve_Data!$F$1)
)),0)/$G$1</f>
        <v>0</v>
      </c>
      <c r="H19" s="23" cm="1">
        <f t="array" ref="H19">IFERROR(ROWS(_xlfn._xlws.FILTER(
   DRG_Status!$A$2:$A$100000,
   (DRG_Status!$D$2:$D$100000=S_Curve_Data!F19) *
   (DRG_Status!$B$2:$B$100000=S_Curve_Data!$F$1)
)),0)/$G$1</f>
        <v>0</v>
      </c>
      <c r="I19" s="23" cm="1">
        <f t="array" ref="I19">IFERROR(ROWS(_xlfn._xlws.FILTER(
   DRG_Status!$A$2:$A$100000,
   (DRG_Status!$E$2:$E$100000=S_Curve_Data!F19) *
   (DRG_Status!$B$2:$B$100000=S_Curve_Data!$F$1)
)),0)/$G$1</f>
        <v>0</v>
      </c>
      <c r="J19" s="23" cm="1">
        <f t="array" ref="J19">IFERROR(ROWS(_xlfn._xlws.FILTER(
   DRG_Status!$A$2:$A$100000,
   (DRG_Status!$F$2:$F$100000=S_Curve_Data!F19) *
   (DRG_Status!$B$2:$B$100000=S_Curve_Data!$F$1)
)),0)/$G$1</f>
        <v>0</v>
      </c>
      <c r="M19" s="17">
        <f>Mappings!B18</f>
        <v>45775</v>
      </c>
      <c r="N19" s="23" cm="1">
        <f t="array" ref="N19">IFERROR(ROWS(_xlfn._xlws.FILTER(
   DRG_Status!$A$2:$A$100000,
   (DRG_Status!$C$2:$C$100000=S_Curve_Data!M19) *
   (DRG_Status!$B$2:$B$100000=S_Curve_Data!$M$1)
)),0)/$N$1</f>
        <v>0</v>
      </c>
      <c r="O19" s="23" cm="1">
        <f t="array" ref="O19">IFERROR(ROWS(_xlfn._xlws.FILTER(
   DRG_Status!$A$2:$A$100000,
   (DRG_Status!$D$2:$D$100000=S_Curve_Data!M19) *
   (DRG_Status!$B$2:$B$100000=S_Curve_Data!$M$1)
)),0)/$N$1</f>
        <v>0</v>
      </c>
      <c r="P19" s="23" cm="1">
        <f t="array" ref="P19">IFERROR(ROWS(_xlfn._xlws.FILTER(
   DRG_Status!$A$2:$A$100000,
   (DRG_Status!$E$2:$E$100000=S_Curve_Data!M19) *
   (DRG_Status!$B$2:$B$100000=S_Curve_Data!$M$1)
)),0)/$N$1</f>
        <v>0</v>
      </c>
      <c r="Q19" s="23" cm="1">
        <f t="array" ref="Q19">IFERROR(ROWS(_xlfn._xlws.FILTER(
   DRG_Status!$A$2:$A$100000,
   (DRG_Status!$F$2:$F$100000=S_Curve_Data!M19) *
   (DRG_Status!$B$2:$B$100000=S_Curve_Data!$M$1)
)),0)/$N$1</f>
        <v>0</v>
      </c>
      <c r="T19" s="17">
        <f>Mappings!B18</f>
        <v>45775</v>
      </c>
      <c r="U19" s="23" t="e" cm="1">
        <f t="array" ref="U19">IFERROR(ROWS(_xlfn._xlws.FILTER(
   DRG_Status!$A$2:$A$100000,
   (DRG_Status!$C$2:$C$100000=S_Curve_Data!T19) *
   (DRG_Status!$B$2:$B$100000=S_Curve_Data!$T$1)
)),0)/$U$1</f>
        <v>#N/A</v>
      </c>
      <c r="V19" s="23" t="e" cm="1">
        <f t="array" ref="V19">IFERROR(ROWS(_xlfn._xlws.FILTER(
   DRG_Status!$A$2:$A$100000,
   (DRG_Status!$D$2:$D$100000=S_Curve_Data!T19) *
   (DRG_Status!$B$2:$B$100000=S_Curve_Data!$T$1)
)),0)/$U$1</f>
        <v>#N/A</v>
      </c>
      <c r="W19" s="23" t="e" cm="1">
        <f t="array" ref="W19">IFERROR(ROWS(_xlfn._xlws.FILTER(
   DRG_Status!$A$2:$A$100000,
   (DRG_Status!$E$2:$E$100000=S_Curve_Data!T19) *
   (DRG_Status!$B$2:$B$100000=S_Curve_Data!$T$1)
)),0)/$U$1</f>
        <v>#N/A</v>
      </c>
      <c r="X19" s="23" t="e" cm="1">
        <f t="array" ref="X19">IFERROR(ROWS(_xlfn._xlws.FILTER(
   DRG_Status!$A$2:$A$100000,
   (DRG_Status!$F$2:$F$100000=S_Curve_Data!T19) *
   (DRG_Status!$B$2:$B$100000=S_Curve_Data!$T$1)
)),0)/$U$1</f>
        <v>#N/A</v>
      </c>
      <c r="AA19" s="18">
        <v>46143</v>
      </c>
      <c r="AB19" s="23" cm="1">
        <f t="array" ref="AB19">IFERROR(ROWS(_xlfn._xlws.FILTER(
   DRG_Status!$A$2:$A$100000,
   (DRG_Status!$G$2:$G$100000=S_Curve_Data!AA19) *
   (DRG_Status!$B$2:$B$100000=S_Curve_Data!$AA$1)
)),0)/$AB$1</f>
        <v>0</v>
      </c>
      <c r="AC19" s="23" cm="1">
        <f t="array" ref="AC19">IFERROR(ROWS(_xlfn._xlws.FILTER(
   DRG_Status!$A$2:$A$100000,
   (DRG_Status!$H$2:$H$100000=S_Curve_Data!AA19) *
   (DRG_Status!$B$2:$B$100000=S_Curve_Data!$AA$1)
)),0)/$AB$1</f>
        <v>0</v>
      </c>
      <c r="AD19" s="23" cm="1">
        <f t="array" ref="AD19">IFERROR(ROWS(_xlfn._xlws.FILTER(
   DRG_Status!$A$2:$A$100000,
   (DRG_Status!$I$2:$I$100000=S_Curve_Data!AA19) *
   (DRG_Status!$B$2:$B$100000=S_Curve_Data!$AA$1)
)),0)/$AB$1</f>
        <v>0</v>
      </c>
      <c r="AE19" s="23" cm="1">
        <f t="array" ref="AE19">IFERROR(ROWS(_xlfn._xlws.FILTER(
   DRG_Status!$A$2:$A$100000,
   (DRG_Status!$J$2:$J$100000=S_Curve_Data!AA19) *
   (DRG_Status!$B$2:$B$100000=S_Curve_Data!$AA$1)
)),0)/$AB$1</f>
        <v>0</v>
      </c>
      <c r="AH19" s="18">
        <v>46143</v>
      </c>
      <c r="AI19" s="23" cm="1">
        <f t="array" ref="AI19">IFERROR(ROWS(_xlfn._xlws.FILTER(
   DRG_Status!$A$2:$A$100000,
   (DRG_Status!$G$2:$G$100000=S_Curve_Data!AH19) *
   (DRG_Status!$B$2:$B$100000=S_Curve_Data!$AH$1)
)),0)/$AI$1</f>
        <v>0</v>
      </c>
      <c r="AJ19" s="23" cm="1">
        <f t="array" ref="AJ19">IFERROR(ROWS(_xlfn._xlws.FILTER(
   DRG_Status!$A$2:$A$100000,
   (DRG_Status!$H$2:$H$100000=S_Curve_Data!AH19) *
   (DRG_Status!$B$2:$B$100000=S_Curve_Data!$AH$1)
)),0)/$AI$1</f>
        <v>0</v>
      </c>
      <c r="AK19" s="23" cm="1">
        <f t="array" ref="AK19">IFERROR(ROWS(_xlfn._xlws.FILTER(
   DRG_Status!$A$2:$A$100000,
   (DRG_Status!$I$2:$I$100000=S_Curve_Data!AH19) *
   (DRG_Status!$B$2:$B$100000=S_Curve_Data!$AH$1)
)),0)/$AI$1</f>
        <v>0</v>
      </c>
      <c r="AL19" s="23" cm="1">
        <f t="array" ref="AL19">IFERROR(ROWS(_xlfn._xlws.FILTER(
   DRG_Status!$A$2:$A$100000,
   (DRG_Status!$J$2:$J$100000=S_Curve_Data!AH19) *
   (DRG_Status!$B$2:$B$100000=S_Curve_Data!$AH$1)
)),0)/$AI$1</f>
        <v>1</v>
      </c>
      <c r="AO19" s="18">
        <v>46143</v>
      </c>
      <c r="AP19" s="23" t="e" cm="1">
        <f t="array" ref="AP19">IFERROR(ROWS(_xlfn._xlws.FILTER(
   DRG_Status!$A$2:$A$100000,
   (DRG_Status!$G$2:$G$100000=S_Curve_Data!AO19) *
   (DRG_Status!$B$2:$B$100000=S_Curve_Data!$AO$1)
)),0)/$AP$1</f>
        <v>#N/A</v>
      </c>
      <c r="AQ19" s="23" t="e" cm="1">
        <f t="array" ref="AQ19">IFERROR(ROWS(_xlfn._xlws.FILTER(
   DRG_Status!$A$2:$A$100000,
   (DRG_Status!$H$2:$H$100000=S_Curve_Data!AO19) *
   (DRG_Status!$B$2:$B$100000=S_Curve_Data!$AO$1)
)),0)/$AP$1</f>
        <v>#N/A</v>
      </c>
      <c r="AR19" s="23" t="e" cm="1">
        <f t="array" ref="AR19">IFERROR(ROWS(_xlfn._xlws.FILTER(
   DRG_Status!$A$2:$A$100000,
   (DRG_Status!$I$2:$I$100000=S_Curve_Data!AO19) *
   (DRG_Status!$B$2:$B$100000=S_Curve_Data!$AO$1)
)),0)/$AP$1</f>
        <v>#N/A</v>
      </c>
      <c r="AS19" s="23" t="e" cm="1">
        <f t="array" ref="AS19">IFERROR(ROWS(_xlfn._xlws.FILTER(
   DRG_Status!$A$2:$A$100000,
   (DRG_Status!$J$2:$J$100000=S_Curve_Data!AO19) *
   (DRG_Status!$B$2:$B$100000=S_Curve_Data!$AO$1)
)),0)/$AP$1</f>
        <v>#N/A</v>
      </c>
    </row>
    <row r="20" spans="6:45">
      <c r="F20" s="17">
        <f>Mappings!B19</f>
        <v>45782</v>
      </c>
      <c r="G20" s="23" cm="1">
        <f t="array" ref="G20">IFERROR(ROWS(_xlfn._xlws.FILTER(
   DRG_Status!$A$2:$A$100000,
   (DRG_Status!$C$2:$C$100000=S_Curve_Data!F20) *
   (DRG_Status!$B$2:$B$100000=S_Curve_Data!$F$1)
)),0)/$G$1</f>
        <v>0</v>
      </c>
      <c r="H20" s="23" cm="1">
        <f t="array" ref="H20">IFERROR(ROWS(_xlfn._xlws.FILTER(
   DRG_Status!$A$2:$A$100000,
   (DRG_Status!$D$2:$D$100000=S_Curve_Data!F20) *
   (DRG_Status!$B$2:$B$100000=S_Curve_Data!$F$1)
)),0)/$G$1</f>
        <v>0</v>
      </c>
      <c r="I20" s="23" cm="1">
        <f t="array" ref="I20">IFERROR(ROWS(_xlfn._xlws.FILTER(
   DRG_Status!$A$2:$A$100000,
   (DRG_Status!$E$2:$E$100000=S_Curve_Data!F20) *
   (DRG_Status!$B$2:$B$100000=S_Curve_Data!$F$1)
)),0)/$G$1</f>
        <v>0</v>
      </c>
      <c r="J20" s="23" cm="1">
        <f t="array" ref="J20">IFERROR(ROWS(_xlfn._xlws.FILTER(
   DRG_Status!$A$2:$A$100000,
   (DRG_Status!$F$2:$F$100000=S_Curve_Data!F20) *
   (DRG_Status!$B$2:$B$100000=S_Curve_Data!$F$1)
)),0)/$G$1</f>
        <v>0</v>
      </c>
      <c r="M20" s="17">
        <f>Mappings!B19</f>
        <v>45782</v>
      </c>
      <c r="N20" s="23" cm="1">
        <f t="array" ref="N20">IFERROR(ROWS(_xlfn._xlws.FILTER(
   DRG_Status!$A$2:$A$100000,
   (DRG_Status!$C$2:$C$100000=S_Curve_Data!M20) *
   (DRG_Status!$B$2:$B$100000=S_Curve_Data!$M$1)
)),0)/$N$1</f>
        <v>0</v>
      </c>
      <c r="O20" s="23" cm="1">
        <f t="array" ref="O20">IFERROR(ROWS(_xlfn._xlws.FILTER(
   DRG_Status!$A$2:$A$100000,
   (DRG_Status!$D$2:$D$100000=S_Curve_Data!M20) *
   (DRG_Status!$B$2:$B$100000=S_Curve_Data!$M$1)
)),0)/$N$1</f>
        <v>0</v>
      </c>
      <c r="P20" s="23" cm="1">
        <f t="array" ref="P20">IFERROR(ROWS(_xlfn._xlws.FILTER(
   DRG_Status!$A$2:$A$100000,
   (DRG_Status!$E$2:$E$100000=S_Curve_Data!M20) *
   (DRG_Status!$B$2:$B$100000=S_Curve_Data!$M$1)
)),0)/$N$1</f>
        <v>0</v>
      </c>
      <c r="Q20" s="23" cm="1">
        <f t="array" ref="Q20">IFERROR(ROWS(_xlfn._xlws.FILTER(
   DRG_Status!$A$2:$A$100000,
   (DRG_Status!$F$2:$F$100000=S_Curve_Data!M20) *
   (DRG_Status!$B$2:$B$100000=S_Curve_Data!$M$1)
)),0)/$N$1</f>
        <v>0</v>
      </c>
      <c r="T20" s="17">
        <f>Mappings!B19</f>
        <v>45782</v>
      </c>
      <c r="U20" s="23" t="e" cm="1">
        <f t="array" ref="U20">IFERROR(ROWS(_xlfn._xlws.FILTER(
   DRG_Status!$A$2:$A$100000,
   (DRG_Status!$C$2:$C$100000=S_Curve_Data!T20) *
   (DRG_Status!$B$2:$B$100000=S_Curve_Data!$T$1)
)),0)/$U$1</f>
        <v>#N/A</v>
      </c>
      <c r="V20" s="23" t="e" cm="1">
        <f t="array" ref="V20">IFERROR(ROWS(_xlfn._xlws.FILTER(
   DRG_Status!$A$2:$A$100000,
   (DRG_Status!$D$2:$D$100000=S_Curve_Data!T20) *
   (DRG_Status!$B$2:$B$100000=S_Curve_Data!$T$1)
)),0)/$U$1</f>
        <v>#N/A</v>
      </c>
      <c r="W20" s="23" t="e" cm="1">
        <f t="array" ref="W20">IFERROR(ROWS(_xlfn._xlws.FILTER(
   DRG_Status!$A$2:$A$100000,
   (DRG_Status!$E$2:$E$100000=S_Curve_Data!T20) *
   (DRG_Status!$B$2:$B$100000=S_Curve_Data!$T$1)
)),0)/$U$1</f>
        <v>#N/A</v>
      </c>
      <c r="X20" s="23" t="e" cm="1">
        <f t="array" ref="X20">IFERROR(ROWS(_xlfn._xlws.FILTER(
   DRG_Status!$A$2:$A$100000,
   (DRG_Status!$F$2:$F$100000=S_Curve_Data!T20) *
   (DRG_Status!$B$2:$B$100000=S_Curve_Data!$T$1)
)),0)/$U$1</f>
        <v>#N/A</v>
      </c>
      <c r="AA20" s="18">
        <v>46174</v>
      </c>
      <c r="AB20" s="23" cm="1">
        <f t="array" ref="AB20">IFERROR(ROWS(_xlfn._xlws.FILTER(
   DRG_Status!$A$2:$A$100000,
   (DRG_Status!$G$2:$G$100000=S_Curve_Data!AA20) *
   (DRG_Status!$B$2:$B$100000=S_Curve_Data!$AA$1)
)),0)/$AB$1</f>
        <v>0</v>
      </c>
      <c r="AC20" s="23" cm="1">
        <f t="array" ref="AC20">IFERROR(ROWS(_xlfn._xlws.FILTER(
   DRG_Status!$A$2:$A$100000,
   (DRG_Status!$H$2:$H$100000=S_Curve_Data!AA20) *
   (DRG_Status!$B$2:$B$100000=S_Curve_Data!$AA$1)
)),0)/$AB$1</f>
        <v>0</v>
      </c>
      <c r="AD20" s="23" cm="1">
        <f t="array" ref="AD20">IFERROR(ROWS(_xlfn._xlws.FILTER(
   DRG_Status!$A$2:$A$100000,
   (DRG_Status!$I$2:$I$100000=S_Curve_Data!AA20) *
   (DRG_Status!$B$2:$B$100000=S_Curve_Data!$AA$1)
)),0)/$AB$1</f>
        <v>0</v>
      </c>
      <c r="AE20" s="23" cm="1">
        <f t="array" ref="AE20">IFERROR(ROWS(_xlfn._xlws.FILTER(
   DRG_Status!$A$2:$A$100000,
   (DRG_Status!$J$2:$J$100000=S_Curve_Data!AA20) *
   (DRG_Status!$B$2:$B$100000=S_Curve_Data!$AA$1)
)),0)/$AB$1</f>
        <v>0</v>
      </c>
      <c r="AH20" s="18">
        <v>46174</v>
      </c>
      <c r="AI20" s="23" cm="1">
        <f t="array" ref="AI20">IFERROR(ROWS(_xlfn._xlws.FILTER(
   DRG_Status!$A$2:$A$100000,
   (DRG_Status!$G$2:$G$100000=S_Curve_Data!AH20) *
   (DRG_Status!$B$2:$B$100000=S_Curve_Data!$AH$1)
)),0)/$AI$1</f>
        <v>0</v>
      </c>
      <c r="AJ20" s="23" cm="1">
        <f t="array" ref="AJ20">IFERROR(ROWS(_xlfn._xlws.FILTER(
   DRG_Status!$A$2:$A$100000,
   (DRG_Status!$H$2:$H$100000=S_Curve_Data!AH20) *
   (DRG_Status!$B$2:$B$100000=S_Curve_Data!$AH$1)
)),0)/$AI$1</f>
        <v>1</v>
      </c>
      <c r="AK20" s="23" cm="1">
        <f t="array" ref="AK20">IFERROR(ROWS(_xlfn._xlws.FILTER(
   DRG_Status!$A$2:$A$100000,
   (DRG_Status!$I$2:$I$100000=S_Curve_Data!AH20) *
   (DRG_Status!$B$2:$B$100000=S_Curve_Data!$AH$1)
)),0)/$AI$1</f>
        <v>0</v>
      </c>
      <c r="AL20" s="23" cm="1">
        <f t="array" ref="AL20">IFERROR(ROWS(_xlfn._xlws.FILTER(
   DRG_Status!$A$2:$A$100000,
   (DRG_Status!$J$2:$J$100000=S_Curve_Data!AH20) *
   (DRG_Status!$B$2:$B$100000=S_Curve_Data!$AH$1)
)),0)/$AI$1</f>
        <v>0</v>
      </c>
      <c r="AO20" s="18">
        <v>46174</v>
      </c>
      <c r="AP20" s="23" t="e" cm="1">
        <f t="array" ref="AP20">IFERROR(ROWS(_xlfn._xlws.FILTER(
   DRG_Status!$A$2:$A$100000,
   (DRG_Status!$G$2:$G$100000=S_Curve_Data!AO20) *
   (DRG_Status!$B$2:$B$100000=S_Curve_Data!$AO$1)
)),0)/$AP$1</f>
        <v>#N/A</v>
      </c>
      <c r="AQ20" s="23" t="e" cm="1">
        <f t="array" ref="AQ20">IFERROR(ROWS(_xlfn._xlws.FILTER(
   DRG_Status!$A$2:$A$100000,
   (DRG_Status!$H$2:$H$100000=S_Curve_Data!AO20) *
   (DRG_Status!$B$2:$B$100000=S_Curve_Data!$AO$1)
)),0)/$AP$1</f>
        <v>#N/A</v>
      </c>
      <c r="AR20" s="23" t="e" cm="1">
        <f t="array" ref="AR20">IFERROR(ROWS(_xlfn._xlws.FILTER(
   DRG_Status!$A$2:$A$100000,
   (DRG_Status!$I$2:$I$100000=S_Curve_Data!AO20) *
   (DRG_Status!$B$2:$B$100000=S_Curve_Data!$AO$1)
)),0)/$AP$1</f>
        <v>#N/A</v>
      </c>
      <c r="AS20" s="23" t="e" cm="1">
        <f t="array" ref="AS20">IFERROR(ROWS(_xlfn._xlws.FILTER(
   DRG_Status!$A$2:$A$100000,
   (DRG_Status!$J$2:$J$100000=S_Curve_Data!AO20) *
   (DRG_Status!$B$2:$B$100000=S_Curve_Data!$AO$1)
)),0)/$AP$1</f>
        <v>#N/A</v>
      </c>
    </row>
    <row r="21" spans="6:45">
      <c r="F21" s="17">
        <f>Mappings!B20</f>
        <v>45789</v>
      </c>
      <c r="G21" s="23" cm="1">
        <f t="array" ref="G21">IFERROR(ROWS(_xlfn._xlws.FILTER(
   DRG_Status!$A$2:$A$100000,
   (DRG_Status!$C$2:$C$100000=S_Curve_Data!F21) *
   (DRG_Status!$B$2:$B$100000=S_Curve_Data!$F$1)
)),0)/$G$1</f>
        <v>0</v>
      </c>
      <c r="H21" s="23" cm="1">
        <f t="array" ref="H21">IFERROR(ROWS(_xlfn._xlws.FILTER(
   DRG_Status!$A$2:$A$100000,
   (DRG_Status!$D$2:$D$100000=S_Curve_Data!F21) *
   (DRG_Status!$B$2:$B$100000=S_Curve_Data!$F$1)
)),0)/$G$1</f>
        <v>0</v>
      </c>
      <c r="I21" s="23" cm="1">
        <f t="array" ref="I21">IFERROR(ROWS(_xlfn._xlws.FILTER(
   DRG_Status!$A$2:$A$100000,
   (DRG_Status!$E$2:$E$100000=S_Curve_Data!F21) *
   (DRG_Status!$B$2:$B$100000=S_Curve_Data!$F$1)
)),0)/$G$1</f>
        <v>0</v>
      </c>
      <c r="J21" s="23" cm="1">
        <f t="array" ref="J21">IFERROR(ROWS(_xlfn._xlws.FILTER(
   DRG_Status!$A$2:$A$100000,
   (DRG_Status!$F$2:$F$100000=S_Curve_Data!F21) *
   (DRG_Status!$B$2:$B$100000=S_Curve_Data!$F$1)
)),0)/$G$1</f>
        <v>0</v>
      </c>
      <c r="M21" s="17">
        <f>Mappings!B20</f>
        <v>45789</v>
      </c>
      <c r="N21" s="23" cm="1">
        <f t="array" ref="N21">IFERROR(ROWS(_xlfn._xlws.FILTER(
   DRG_Status!$A$2:$A$100000,
   (DRG_Status!$C$2:$C$100000=S_Curve_Data!M21) *
   (DRG_Status!$B$2:$B$100000=S_Curve_Data!$M$1)
)),0)/$N$1</f>
        <v>0</v>
      </c>
      <c r="O21" s="23" cm="1">
        <f t="array" ref="O21">IFERROR(ROWS(_xlfn._xlws.FILTER(
   DRG_Status!$A$2:$A$100000,
   (DRG_Status!$D$2:$D$100000=S_Curve_Data!M21) *
   (DRG_Status!$B$2:$B$100000=S_Curve_Data!$M$1)
)),0)/$N$1</f>
        <v>0</v>
      </c>
      <c r="P21" s="23" cm="1">
        <f t="array" ref="P21">IFERROR(ROWS(_xlfn._xlws.FILTER(
   DRG_Status!$A$2:$A$100000,
   (DRG_Status!$E$2:$E$100000=S_Curve_Data!M21) *
   (DRG_Status!$B$2:$B$100000=S_Curve_Data!$M$1)
)),0)/$N$1</f>
        <v>0</v>
      </c>
      <c r="Q21" s="23" cm="1">
        <f t="array" ref="Q21">IFERROR(ROWS(_xlfn._xlws.FILTER(
   DRG_Status!$A$2:$A$100000,
   (DRG_Status!$F$2:$F$100000=S_Curve_Data!M21) *
   (DRG_Status!$B$2:$B$100000=S_Curve_Data!$M$1)
)),0)/$N$1</f>
        <v>0</v>
      </c>
      <c r="T21" s="17">
        <f>Mappings!B20</f>
        <v>45789</v>
      </c>
      <c r="U21" s="23" t="e" cm="1">
        <f t="array" ref="U21">IFERROR(ROWS(_xlfn._xlws.FILTER(
   DRG_Status!$A$2:$A$100000,
   (DRG_Status!$C$2:$C$100000=S_Curve_Data!T21) *
   (DRG_Status!$B$2:$B$100000=S_Curve_Data!$T$1)
)),0)/$U$1</f>
        <v>#N/A</v>
      </c>
      <c r="V21" s="23" t="e" cm="1">
        <f t="array" ref="V21">IFERROR(ROWS(_xlfn._xlws.FILTER(
   DRG_Status!$A$2:$A$100000,
   (DRG_Status!$D$2:$D$100000=S_Curve_Data!T21) *
   (DRG_Status!$B$2:$B$100000=S_Curve_Data!$T$1)
)),0)/$U$1</f>
        <v>#N/A</v>
      </c>
      <c r="W21" s="23" t="e" cm="1">
        <f t="array" ref="W21">IFERROR(ROWS(_xlfn._xlws.FILTER(
   DRG_Status!$A$2:$A$100000,
   (DRG_Status!$E$2:$E$100000=S_Curve_Data!T21) *
   (DRG_Status!$B$2:$B$100000=S_Curve_Data!$T$1)
)),0)/$U$1</f>
        <v>#N/A</v>
      </c>
      <c r="X21" s="23" t="e" cm="1">
        <f t="array" ref="X21">IFERROR(ROWS(_xlfn._xlws.FILTER(
   DRG_Status!$A$2:$A$100000,
   (DRG_Status!$F$2:$F$100000=S_Curve_Data!T21) *
   (DRG_Status!$B$2:$B$100000=S_Curve_Data!$T$1)
)),0)/$U$1</f>
        <v>#N/A</v>
      </c>
      <c r="AA21" s="18">
        <v>46204</v>
      </c>
      <c r="AB21" s="23" cm="1">
        <f t="array" ref="AB21">IFERROR(ROWS(_xlfn._xlws.FILTER(
   DRG_Status!$A$2:$A$100000,
   (DRG_Status!$G$2:$G$100000=S_Curve_Data!AA21) *
   (DRG_Status!$B$2:$B$100000=S_Curve_Data!$AA$1)
)),0)/$AB$1</f>
        <v>0</v>
      </c>
      <c r="AC21" s="23" cm="1">
        <f t="array" ref="AC21">IFERROR(ROWS(_xlfn._xlws.FILTER(
   DRG_Status!$A$2:$A$100000,
   (DRG_Status!$H$2:$H$100000=S_Curve_Data!AA21) *
   (DRG_Status!$B$2:$B$100000=S_Curve_Data!$AA$1)
)),0)/$AB$1</f>
        <v>0</v>
      </c>
      <c r="AD21" s="23" cm="1">
        <f t="array" ref="AD21">IFERROR(ROWS(_xlfn._xlws.FILTER(
   DRG_Status!$A$2:$A$100000,
   (DRG_Status!$I$2:$I$100000=S_Curve_Data!AA21) *
   (DRG_Status!$B$2:$B$100000=S_Curve_Data!$AA$1)
)),0)/$AB$1</f>
        <v>0</v>
      </c>
      <c r="AE21" s="23" cm="1">
        <f t="array" ref="AE21">IFERROR(ROWS(_xlfn._xlws.FILTER(
   DRG_Status!$A$2:$A$100000,
   (DRG_Status!$J$2:$J$100000=S_Curve_Data!AA21) *
   (DRG_Status!$B$2:$B$100000=S_Curve_Data!$AA$1)
)),0)/$AB$1</f>
        <v>0</v>
      </c>
      <c r="AH21" s="18">
        <v>46204</v>
      </c>
      <c r="AI21" s="23" cm="1">
        <f t="array" ref="AI21">IFERROR(ROWS(_xlfn._xlws.FILTER(
   DRG_Status!$A$2:$A$100000,
   (DRG_Status!$G$2:$G$100000=S_Curve_Data!AH21) *
   (DRG_Status!$B$2:$B$100000=S_Curve_Data!$AH$1)
)),0)/$AI$1</f>
        <v>0</v>
      </c>
      <c r="AJ21" s="23" cm="1">
        <f t="array" ref="AJ21">IFERROR(ROWS(_xlfn._xlws.FILTER(
   DRG_Status!$A$2:$A$100000,
   (DRG_Status!$H$2:$H$100000=S_Curve_Data!AH21) *
   (DRG_Status!$B$2:$B$100000=S_Curve_Data!$AH$1)
)),0)/$AI$1</f>
        <v>0</v>
      </c>
      <c r="AK21" s="23" cm="1">
        <f t="array" ref="AK21">IFERROR(ROWS(_xlfn._xlws.FILTER(
   DRG_Status!$A$2:$A$100000,
   (DRG_Status!$I$2:$I$100000=S_Curve_Data!AH21) *
   (DRG_Status!$B$2:$B$100000=S_Curve_Data!$AH$1)
)),0)/$AI$1</f>
        <v>0</v>
      </c>
      <c r="AL21" s="23" cm="1">
        <f t="array" ref="AL21">IFERROR(ROWS(_xlfn._xlws.FILTER(
   DRG_Status!$A$2:$A$100000,
   (DRG_Status!$J$2:$J$100000=S_Curve_Data!AH21) *
   (DRG_Status!$B$2:$B$100000=S_Curve_Data!$AH$1)
)),0)/$AI$1</f>
        <v>0</v>
      </c>
      <c r="AO21" s="18">
        <v>46204</v>
      </c>
      <c r="AP21" s="23" t="e" cm="1">
        <f t="array" ref="AP21">IFERROR(ROWS(_xlfn._xlws.FILTER(
   DRG_Status!$A$2:$A$100000,
   (DRG_Status!$G$2:$G$100000=S_Curve_Data!AO21) *
   (DRG_Status!$B$2:$B$100000=S_Curve_Data!$AO$1)
)),0)/$AP$1</f>
        <v>#N/A</v>
      </c>
      <c r="AQ21" s="23" t="e" cm="1">
        <f t="array" ref="AQ21">IFERROR(ROWS(_xlfn._xlws.FILTER(
   DRG_Status!$A$2:$A$100000,
   (DRG_Status!$H$2:$H$100000=S_Curve_Data!AO21) *
   (DRG_Status!$B$2:$B$100000=S_Curve_Data!$AO$1)
)),0)/$AP$1</f>
        <v>#N/A</v>
      </c>
      <c r="AR21" s="23" t="e" cm="1">
        <f t="array" ref="AR21">IFERROR(ROWS(_xlfn._xlws.FILTER(
   DRG_Status!$A$2:$A$100000,
   (DRG_Status!$I$2:$I$100000=S_Curve_Data!AO21) *
   (DRG_Status!$B$2:$B$100000=S_Curve_Data!$AO$1)
)),0)/$AP$1</f>
        <v>#N/A</v>
      </c>
      <c r="AS21" s="23" t="e" cm="1">
        <f t="array" ref="AS21">IFERROR(ROWS(_xlfn._xlws.FILTER(
   DRG_Status!$A$2:$A$100000,
   (DRG_Status!$J$2:$J$100000=S_Curve_Data!AO21) *
   (DRG_Status!$B$2:$B$100000=S_Curve_Data!$AO$1)
)),0)/$AP$1</f>
        <v>#N/A</v>
      </c>
    </row>
    <row r="22" spans="6:45">
      <c r="F22" s="17">
        <f>Mappings!B21</f>
        <v>45796</v>
      </c>
      <c r="G22" s="23" cm="1">
        <f t="array" ref="G22">IFERROR(ROWS(_xlfn._xlws.FILTER(
   DRG_Status!$A$2:$A$100000,
   (DRG_Status!$C$2:$C$100000=S_Curve_Data!F22) *
   (DRG_Status!$B$2:$B$100000=S_Curve_Data!$F$1)
)),0)/$G$1</f>
        <v>0</v>
      </c>
      <c r="H22" s="23" cm="1">
        <f t="array" ref="H22">IFERROR(ROWS(_xlfn._xlws.FILTER(
   DRG_Status!$A$2:$A$100000,
   (DRG_Status!$D$2:$D$100000=S_Curve_Data!F22) *
   (DRG_Status!$B$2:$B$100000=S_Curve_Data!$F$1)
)),0)/$G$1</f>
        <v>0</v>
      </c>
      <c r="I22" s="23" cm="1">
        <f t="array" ref="I22">IFERROR(ROWS(_xlfn._xlws.FILTER(
   DRG_Status!$A$2:$A$100000,
   (DRG_Status!$E$2:$E$100000=S_Curve_Data!F22) *
   (DRG_Status!$B$2:$B$100000=S_Curve_Data!$F$1)
)),0)/$G$1</f>
        <v>0</v>
      </c>
      <c r="J22" s="23" cm="1">
        <f t="array" ref="J22">IFERROR(ROWS(_xlfn._xlws.FILTER(
   DRG_Status!$A$2:$A$100000,
   (DRG_Status!$F$2:$F$100000=S_Curve_Data!F22) *
   (DRG_Status!$B$2:$B$100000=S_Curve_Data!$F$1)
)),0)/$G$1</f>
        <v>0</v>
      </c>
      <c r="M22" s="17">
        <f>Mappings!B21</f>
        <v>45796</v>
      </c>
      <c r="N22" s="23" cm="1">
        <f t="array" ref="N22">IFERROR(ROWS(_xlfn._xlws.FILTER(
   DRG_Status!$A$2:$A$100000,
   (DRG_Status!$C$2:$C$100000=S_Curve_Data!M22) *
   (DRG_Status!$B$2:$B$100000=S_Curve_Data!$M$1)
)),0)/$N$1</f>
        <v>0</v>
      </c>
      <c r="O22" s="23" cm="1">
        <f t="array" ref="O22">IFERROR(ROWS(_xlfn._xlws.FILTER(
   DRG_Status!$A$2:$A$100000,
   (DRG_Status!$D$2:$D$100000=S_Curve_Data!M22) *
   (DRG_Status!$B$2:$B$100000=S_Curve_Data!$M$1)
)),0)/$N$1</f>
        <v>0</v>
      </c>
      <c r="P22" s="23" cm="1">
        <f t="array" ref="P22">IFERROR(ROWS(_xlfn._xlws.FILTER(
   DRG_Status!$A$2:$A$100000,
   (DRG_Status!$E$2:$E$100000=S_Curve_Data!M22) *
   (DRG_Status!$B$2:$B$100000=S_Curve_Data!$M$1)
)),0)/$N$1</f>
        <v>0</v>
      </c>
      <c r="Q22" s="23" cm="1">
        <f t="array" ref="Q22">IFERROR(ROWS(_xlfn._xlws.FILTER(
   DRG_Status!$A$2:$A$100000,
   (DRG_Status!$F$2:$F$100000=S_Curve_Data!M22) *
   (DRG_Status!$B$2:$B$100000=S_Curve_Data!$M$1)
)),0)/$N$1</f>
        <v>0</v>
      </c>
      <c r="T22" s="17">
        <f>Mappings!B21</f>
        <v>45796</v>
      </c>
      <c r="U22" s="23" t="e" cm="1">
        <f t="array" ref="U22">IFERROR(ROWS(_xlfn._xlws.FILTER(
   DRG_Status!$A$2:$A$100000,
   (DRG_Status!$C$2:$C$100000=S_Curve_Data!T22) *
   (DRG_Status!$B$2:$B$100000=S_Curve_Data!$T$1)
)),0)/$U$1</f>
        <v>#N/A</v>
      </c>
      <c r="V22" s="23" t="e" cm="1">
        <f t="array" ref="V22">IFERROR(ROWS(_xlfn._xlws.FILTER(
   DRG_Status!$A$2:$A$100000,
   (DRG_Status!$D$2:$D$100000=S_Curve_Data!T22) *
   (DRG_Status!$B$2:$B$100000=S_Curve_Data!$T$1)
)),0)/$U$1</f>
        <v>#N/A</v>
      </c>
      <c r="W22" s="23" t="e" cm="1">
        <f t="array" ref="W22">IFERROR(ROWS(_xlfn._xlws.FILTER(
   DRG_Status!$A$2:$A$100000,
   (DRG_Status!$E$2:$E$100000=S_Curve_Data!T22) *
   (DRG_Status!$B$2:$B$100000=S_Curve_Data!$T$1)
)),0)/$U$1</f>
        <v>#N/A</v>
      </c>
      <c r="X22" s="23" t="e" cm="1">
        <f t="array" ref="X22">IFERROR(ROWS(_xlfn._xlws.FILTER(
   DRG_Status!$A$2:$A$100000,
   (DRG_Status!$F$2:$F$100000=S_Curve_Data!T22) *
   (DRG_Status!$B$2:$B$100000=S_Curve_Data!$T$1)
)),0)/$U$1</f>
        <v>#N/A</v>
      </c>
      <c r="AA22" s="18">
        <v>46235</v>
      </c>
      <c r="AB22" s="23" cm="1">
        <f t="array" ref="AB22">IFERROR(ROWS(_xlfn._xlws.FILTER(
   DRG_Status!$A$2:$A$100000,
   (DRG_Status!$G$2:$G$100000=S_Curve_Data!AA22) *
   (DRG_Status!$B$2:$B$100000=S_Curve_Data!$AA$1)
)),0)/$AB$1</f>
        <v>0</v>
      </c>
      <c r="AC22" s="23" cm="1">
        <f t="array" ref="AC22">IFERROR(ROWS(_xlfn._xlws.FILTER(
   DRG_Status!$A$2:$A$100000,
   (DRG_Status!$H$2:$H$100000=S_Curve_Data!AA22) *
   (DRG_Status!$B$2:$B$100000=S_Curve_Data!$AA$1)
)),0)/$AB$1</f>
        <v>0</v>
      </c>
      <c r="AD22" s="23" cm="1">
        <f t="array" ref="AD22">IFERROR(ROWS(_xlfn._xlws.FILTER(
   DRG_Status!$A$2:$A$100000,
   (DRG_Status!$I$2:$I$100000=S_Curve_Data!AA22) *
   (DRG_Status!$B$2:$B$100000=S_Curve_Data!$AA$1)
)),0)/$AB$1</f>
        <v>0</v>
      </c>
      <c r="AE22" s="23" cm="1">
        <f t="array" ref="AE22">IFERROR(ROWS(_xlfn._xlws.FILTER(
   DRG_Status!$A$2:$A$100000,
   (DRG_Status!$J$2:$J$100000=S_Curve_Data!AA22) *
   (DRG_Status!$B$2:$B$100000=S_Curve_Data!$AA$1)
)),0)/$AB$1</f>
        <v>0</v>
      </c>
      <c r="AH22" s="18">
        <v>46235</v>
      </c>
      <c r="AI22" s="23" cm="1">
        <f t="array" ref="AI22">IFERROR(ROWS(_xlfn._xlws.FILTER(
   DRG_Status!$A$2:$A$100000,
   (DRG_Status!$G$2:$G$100000=S_Curve_Data!AH22) *
   (DRG_Status!$B$2:$B$100000=S_Curve_Data!$AH$1)
)),0)/$AI$1</f>
        <v>0</v>
      </c>
      <c r="AJ22" s="23" cm="1">
        <f t="array" ref="AJ22">IFERROR(ROWS(_xlfn._xlws.FILTER(
   DRG_Status!$A$2:$A$100000,
   (DRG_Status!$H$2:$H$100000=S_Curve_Data!AH22) *
   (DRG_Status!$B$2:$B$100000=S_Curve_Data!$AH$1)
)),0)/$AI$1</f>
        <v>0</v>
      </c>
      <c r="AK22" s="23" cm="1">
        <f t="array" ref="AK22">IFERROR(ROWS(_xlfn._xlws.FILTER(
   DRG_Status!$A$2:$A$100000,
   (DRG_Status!$I$2:$I$100000=S_Curve_Data!AH22) *
   (DRG_Status!$B$2:$B$100000=S_Curve_Data!$AH$1)
)),0)/$AI$1</f>
        <v>0</v>
      </c>
      <c r="AL22" s="23" cm="1">
        <f t="array" ref="AL22">IFERROR(ROWS(_xlfn._xlws.FILTER(
   DRG_Status!$A$2:$A$100000,
   (DRG_Status!$J$2:$J$100000=S_Curve_Data!AH22) *
   (DRG_Status!$B$2:$B$100000=S_Curve_Data!$AH$1)
)),0)/$AI$1</f>
        <v>0</v>
      </c>
      <c r="AO22" s="18">
        <v>46235</v>
      </c>
      <c r="AP22" s="23" t="e" cm="1">
        <f t="array" ref="AP22">IFERROR(ROWS(_xlfn._xlws.FILTER(
   DRG_Status!$A$2:$A$100000,
   (DRG_Status!$G$2:$G$100000=S_Curve_Data!AO22) *
   (DRG_Status!$B$2:$B$100000=S_Curve_Data!$AO$1)
)),0)/$AP$1</f>
        <v>#N/A</v>
      </c>
      <c r="AQ22" s="23" t="e" cm="1">
        <f t="array" ref="AQ22">IFERROR(ROWS(_xlfn._xlws.FILTER(
   DRG_Status!$A$2:$A$100000,
   (DRG_Status!$H$2:$H$100000=S_Curve_Data!AO22) *
   (DRG_Status!$B$2:$B$100000=S_Curve_Data!$AO$1)
)),0)/$AP$1</f>
        <v>#N/A</v>
      </c>
      <c r="AR22" s="23" t="e" cm="1">
        <f t="array" ref="AR22">IFERROR(ROWS(_xlfn._xlws.FILTER(
   DRG_Status!$A$2:$A$100000,
   (DRG_Status!$I$2:$I$100000=S_Curve_Data!AO22) *
   (DRG_Status!$B$2:$B$100000=S_Curve_Data!$AO$1)
)),0)/$AP$1</f>
        <v>#N/A</v>
      </c>
      <c r="AS22" s="23" t="e" cm="1">
        <f t="array" ref="AS22">IFERROR(ROWS(_xlfn._xlws.FILTER(
   DRG_Status!$A$2:$A$100000,
   (DRG_Status!$J$2:$J$100000=S_Curve_Data!AO22) *
   (DRG_Status!$B$2:$B$100000=S_Curve_Data!$AO$1)
)),0)/$AP$1</f>
        <v>#N/A</v>
      </c>
    </row>
    <row r="23" spans="6:45">
      <c r="F23" s="17">
        <f>Mappings!B22</f>
        <v>45803</v>
      </c>
      <c r="G23" s="23" cm="1">
        <f t="array" ref="G23">IFERROR(ROWS(_xlfn._xlws.FILTER(
   DRG_Status!$A$2:$A$100000,
   (DRG_Status!$C$2:$C$100000=S_Curve_Data!F23) *
   (DRG_Status!$B$2:$B$100000=S_Curve_Data!$F$1)
)),0)/$G$1</f>
        <v>0</v>
      </c>
      <c r="H23" s="23" cm="1">
        <f t="array" ref="H23">IFERROR(ROWS(_xlfn._xlws.FILTER(
   DRG_Status!$A$2:$A$100000,
   (DRG_Status!$D$2:$D$100000=S_Curve_Data!F23) *
   (DRG_Status!$B$2:$B$100000=S_Curve_Data!$F$1)
)),0)/$G$1</f>
        <v>0</v>
      </c>
      <c r="I23" s="23" cm="1">
        <f t="array" ref="I23">IFERROR(ROWS(_xlfn._xlws.FILTER(
   DRG_Status!$A$2:$A$100000,
   (DRG_Status!$E$2:$E$100000=S_Curve_Data!F23) *
   (DRG_Status!$B$2:$B$100000=S_Curve_Data!$F$1)
)),0)/$G$1</f>
        <v>0</v>
      </c>
      <c r="J23" s="23" cm="1">
        <f t="array" ref="J23">IFERROR(ROWS(_xlfn._xlws.FILTER(
   DRG_Status!$A$2:$A$100000,
   (DRG_Status!$F$2:$F$100000=S_Curve_Data!F23) *
   (DRG_Status!$B$2:$B$100000=S_Curve_Data!$F$1)
)),0)/$G$1</f>
        <v>0</v>
      </c>
      <c r="M23" s="17">
        <f>Mappings!B22</f>
        <v>45803</v>
      </c>
      <c r="N23" s="23" cm="1">
        <f t="array" ref="N23">IFERROR(ROWS(_xlfn._xlws.FILTER(
   DRG_Status!$A$2:$A$100000,
   (DRG_Status!$C$2:$C$100000=S_Curve_Data!M23) *
   (DRG_Status!$B$2:$B$100000=S_Curve_Data!$M$1)
)),0)/$N$1</f>
        <v>0</v>
      </c>
      <c r="O23" s="23" cm="1">
        <f t="array" ref="O23">IFERROR(ROWS(_xlfn._xlws.FILTER(
   DRG_Status!$A$2:$A$100000,
   (DRG_Status!$D$2:$D$100000=S_Curve_Data!M23) *
   (DRG_Status!$B$2:$B$100000=S_Curve_Data!$M$1)
)),0)/$N$1</f>
        <v>0</v>
      </c>
      <c r="P23" s="23" cm="1">
        <f t="array" ref="P23">IFERROR(ROWS(_xlfn._xlws.FILTER(
   DRG_Status!$A$2:$A$100000,
   (DRG_Status!$E$2:$E$100000=S_Curve_Data!M23) *
   (DRG_Status!$B$2:$B$100000=S_Curve_Data!$M$1)
)),0)/$N$1</f>
        <v>0</v>
      </c>
      <c r="Q23" s="23" cm="1">
        <f t="array" ref="Q23">IFERROR(ROWS(_xlfn._xlws.FILTER(
   DRG_Status!$A$2:$A$100000,
   (DRG_Status!$F$2:$F$100000=S_Curve_Data!M23) *
   (DRG_Status!$B$2:$B$100000=S_Curve_Data!$M$1)
)),0)/$N$1</f>
        <v>0</v>
      </c>
      <c r="T23" s="17">
        <f>Mappings!B22</f>
        <v>45803</v>
      </c>
      <c r="U23" s="23" t="e" cm="1">
        <f t="array" ref="U23">IFERROR(ROWS(_xlfn._xlws.FILTER(
   DRG_Status!$A$2:$A$100000,
   (DRG_Status!$C$2:$C$100000=S_Curve_Data!T23) *
   (DRG_Status!$B$2:$B$100000=S_Curve_Data!$T$1)
)),0)/$U$1</f>
        <v>#N/A</v>
      </c>
      <c r="V23" s="23" t="e" cm="1">
        <f t="array" ref="V23">IFERROR(ROWS(_xlfn._xlws.FILTER(
   DRG_Status!$A$2:$A$100000,
   (DRG_Status!$D$2:$D$100000=S_Curve_Data!T23) *
   (DRG_Status!$B$2:$B$100000=S_Curve_Data!$T$1)
)),0)/$U$1</f>
        <v>#N/A</v>
      </c>
      <c r="W23" s="23" t="e" cm="1">
        <f t="array" ref="W23">IFERROR(ROWS(_xlfn._xlws.FILTER(
   DRG_Status!$A$2:$A$100000,
   (DRG_Status!$E$2:$E$100000=S_Curve_Data!T23) *
   (DRG_Status!$B$2:$B$100000=S_Curve_Data!$T$1)
)),0)/$U$1</f>
        <v>#N/A</v>
      </c>
      <c r="X23" s="23" t="e" cm="1">
        <f t="array" ref="X23">IFERROR(ROWS(_xlfn._xlws.FILTER(
   DRG_Status!$A$2:$A$100000,
   (DRG_Status!$F$2:$F$100000=S_Curve_Data!T23) *
   (DRG_Status!$B$2:$B$100000=S_Curve_Data!$T$1)
)),0)/$U$1</f>
        <v>#N/A</v>
      </c>
    </row>
    <row r="24" spans="6:45">
      <c r="F24" s="17">
        <f>Mappings!B23</f>
        <v>45810</v>
      </c>
      <c r="G24" s="23" cm="1">
        <f t="array" ref="G24">IFERROR(ROWS(_xlfn._xlws.FILTER(
   DRG_Status!$A$2:$A$100000,
   (DRG_Status!$C$2:$C$100000=S_Curve_Data!F24) *
   (DRG_Status!$B$2:$B$100000=S_Curve_Data!$F$1)
)),0)/$G$1</f>
        <v>0</v>
      </c>
      <c r="H24" s="23" cm="1">
        <f t="array" ref="H24">IFERROR(ROWS(_xlfn._xlws.FILTER(
   DRG_Status!$A$2:$A$100000,
   (DRG_Status!$D$2:$D$100000=S_Curve_Data!F24) *
   (DRG_Status!$B$2:$B$100000=S_Curve_Data!$F$1)
)),0)/$G$1</f>
        <v>0</v>
      </c>
      <c r="I24" s="23" cm="1">
        <f t="array" ref="I24">IFERROR(ROWS(_xlfn._xlws.FILTER(
   DRG_Status!$A$2:$A$100000,
   (DRG_Status!$E$2:$E$100000=S_Curve_Data!F24) *
   (DRG_Status!$B$2:$B$100000=S_Curve_Data!$F$1)
)),0)/$G$1</f>
        <v>0</v>
      </c>
      <c r="J24" s="23" cm="1">
        <f t="array" ref="J24">IFERROR(ROWS(_xlfn._xlws.FILTER(
   DRG_Status!$A$2:$A$100000,
   (DRG_Status!$F$2:$F$100000=S_Curve_Data!F24) *
   (DRG_Status!$B$2:$B$100000=S_Curve_Data!$F$1)
)),0)/$G$1</f>
        <v>0</v>
      </c>
      <c r="M24" s="17">
        <f>Mappings!B23</f>
        <v>45810</v>
      </c>
      <c r="N24" s="23" cm="1">
        <f t="array" ref="N24">IFERROR(ROWS(_xlfn._xlws.FILTER(
   DRG_Status!$A$2:$A$100000,
   (DRG_Status!$C$2:$C$100000=S_Curve_Data!M24) *
   (DRG_Status!$B$2:$B$100000=S_Curve_Data!$M$1)
)),0)/$N$1</f>
        <v>0</v>
      </c>
      <c r="O24" s="23" cm="1">
        <f t="array" ref="O24">IFERROR(ROWS(_xlfn._xlws.FILTER(
   DRG_Status!$A$2:$A$100000,
   (DRG_Status!$D$2:$D$100000=S_Curve_Data!M24) *
   (DRG_Status!$B$2:$B$100000=S_Curve_Data!$M$1)
)),0)/$N$1</f>
        <v>0</v>
      </c>
      <c r="P24" s="23" cm="1">
        <f t="array" ref="P24">IFERROR(ROWS(_xlfn._xlws.FILTER(
   DRG_Status!$A$2:$A$100000,
   (DRG_Status!$E$2:$E$100000=S_Curve_Data!M24) *
   (DRG_Status!$B$2:$B$100000=S_Curve_Data!$M$1)
)),0)/$N$1</f>
        <v>0</v>
      </c>
      <c r="Q24" s="23" cm="1">
        <f t="array" ref="Q24">IFERROR(ROWS(_xlfn._xlws.FILTER(
   DRG_Status!$A$2:$A$100000,
   (DRG_Status!$F$2:$F$100000=S_Curve_Data!M24) *
   (DRG_Status!$B$2:$B$100000=S_Curve_Data!$M$1)
)),0)/$N$1</f>
        <v>0</v>
      </c>
      <c r="T24" s="17">
        <f>Mappings!B23</f>
        <v>45810</v>
      </c>
      <c r="U24" s="23" t="e" cm="1">
        <f t="array" ref="U24">IFERROR(ROWS(_xlfn._xlws.FILTER(
   DRG_Status!$A$2:$A$100000,
   (DRG_Status!$C$2:$C$100000=S_Curve_Data!T24) *
   (DRG_Status!$B$2:$B$100000=S_Curve_Data!$T$1)
)),0)/$U$1</f>
        <v>#N/A</v>
      </c>
      <c r="V24" s="23" t="e" cm="1">
        <f t="array" ref="V24">IFERROR(ROWS(_xlfn._xlws.FILTER(
   DRG_Status!$A$2:$A$100000,
   (DRG_Status!$D$2:$D$100000=S_Curve_Data!T24) *
   (DRG_Status!$B$2:$B$100000=S_Curve_Data!$T$1)
)),0)/$U$1</f>
        <v>#N/A</v>
      </c>
      <c r="W24" s="23" t="e" cm="1">
        <f t="array" ref="W24">IFERROR(ROWS(_xlfn._xlws.FILTER(
   DRG_Status!$A$2:$A$100000,
   (DRG_Status!$E$2:$E$100000=S_Curve_Data!T24) *
   (DRG_Status!$B$2:$B$100000=S_Curve_Data!$T$1)
)),0)/$U$1</f>
        <v>#N/A</v>
      </c>
      <c r="X24" s="23" t="e" cm="1">
        <f t="array" ref="X24">IFERROR(ROWS(_xlfn._xlws.FILTER(
   DRG_Status!$A$2:$A$100000,
   (DRG_Status!$F$2:$F$100000=S_Curve_Data!T24) *
   (DRG_Status!$B$2:$B$100000=S_Curve_Data!$T$1)
)),0)/$U$1</f>
        <v>#N/A</v>
      </c>
    </row>
    <row r="25" spans="6:45">
      <c r="F25" s="17">
        <f>Mappings!B24</f>
        <v>45817</v>
      </c>
      <c r="G25" s="23" cm="1">
        <f t="array" ref="G25">IFERROR(ROWS(_xlfn._xlws.FILTER(
   DRG_Status!$A$2:$A$100000,
   (DRG_Status!$C$2:$C$100000=S_Curve_Data!F25) *
   (DRG_Status!$B$2:$B$100000=S_Curve_Data!$F$1)
)),0)/$G$1</f>
        <v>0</v>
      </c>
      <c r="H25" s="23" cm="1">
        <f t="array" ref="H25">IFERROR(ROWS(_xlfn._xlws.FILTER(
   DRG_Status!$A$2:$A$100000,
   (DRG_Status!$D$2:$D$100000=S_Curve_Data!F25) *
   (DRG_Status!$B$2:$B$100000=S_Curve_Data!$F$1)
)),0)/$G$1</f>
        <v>0</v>
      </c>
      <c r="I25" s="23" cm="1">
        <f t="array" ref="I25">IFERROR(ROWS(_xlfn._xlws.FILTER(
   DRG_Status!$A$2:$A$100000,
   (DRG_Status!$E$2:$E$100000=S_Curve_Data!F25) *
   (DRG_Status!$B$2:$B$100000=S_Curve_Data!$F$1)
)),0)/$G$1</f>
        <v>0</v>
      </c>
      <c r="J25" s="23" cm="1">
        <f t="array" ref="J25">IFERROR(ROWS(_xlfn._xlws.FILTER(
   DRG_Status!$A$2:$A$100000,
   (DRG_Status!$F$2:$F$100000=S_Curve_Data!F25) *
   (DRG_Status!$B$2:$B$100000=S_Curve_Data!$F$1)
)),0)/$G$1</f>
        <v>0</v>
      </c>
      <c r="M25" s="17">
        <f>Mappings!B24</f>
        <v>45817</v>
      </c>
      <c r="N25" s="23" cm="1">
        <f t="array" ref="N25">IFERROR(ROWS(_xlfn._xlws.FILTER(
   DRG_Status!$A$2:$A$100000,
   (DRG_Status!$C$2:$C$100000=S_Curve_Data!M25) *
   (DRG_Status!$B$2:$B$100000=S_Curve_Data!$M$1)
)),0)/$N$1</f>
        <v>0</v>
      </c>
      <c r="O25" s="23" cm="1">
        <f t="array" ref="O25">IFERROR(ROWS(_xlfn._xlws.FILTER(
   DRG_Status!$A$2:$A$100000,
   (DRG_Status!$D$2:$D$100000=S_Curve_Data!M25) *
   (DRG_Status!$B$2:$B$100000=S_Curve_Data!$M$1)
)),0)/$N$1</f>
        <v>0</v>
      </c>
      <c r="P25" s="23" cm="1">
        <f t="array" ref="P25">IFERROR(ROWS(_xlfn._xlws.FILTER(
   DRG_Status!$A$2:$A$100000,
   (DRG_Status!$E$2:$E$100000=S_Curve_Data!M25) *
   (DRG_Status!$B$2:$B$100000=S_Curve_Data!$M$1)
)),0)/$N$1</f>
        <v>0</v>
      </c>
      <c r="Q25" s="23" cm="1">
        <f t="array" ref="Q25">IFERROR(ROWS(_xlfn._xlws.FILTER(
   DRG_Status!$A$2:$A$100000,
   (DRG_Status!$F$2:$F$100000=S_Curve_Data!M25) *
   (DRG_Status!$B$2:$B$100000=S_Curve_Data!$M$1)
)),0)/$N$1</f>
        <v>0</v>
      </c>
      <c r="T25" s="17">
        <f>Mappings!B24</f>
        <v>45817</v>
      </c>
      <c r="U25" s="23" t="e" cm="1">
        <f t="array" ref="U25">IFERROR(ROWS(_xlfn._xlws.FILTER(
   DRG_Status!$A$2:$A$100000,
   (DRG_Status!$C$2:$C$100000=S_Curve_Data!T25) *
   (DRG_Status!$B$2:$B$100000=S_Curve_Data!$T$1)
)),0)/$U$1</f>
        <v>#N/A</v>
      </c>
      <c r="V25" s="23" t="e" cm="1">
        <f t="array" ref="V25">IFERROR(ROWS(_xlfn._xlws.FILTER(
   DRG_Status!$A$2:$A$100000,
   (DRG_Status!$D$2:$D$100000=S_Curve_Data!T25) *
   (DRG_Status!$B$2:$B$100000=S_Curve_Data!$T$1)
)),0)/$U$1</f>
        <v>#N/A</v>
      </c>
      <c r="W25" s="23" t="e" cm="1">
        <f t="array" ref="W25">IFERROR(ROWS(_xlfn._xlws.FILTER(
   DRG_Status!$A$2:$A$100000,
   (DRG_Status!$E$2:$E$100000=S_Curve_Data!T25) *
   (DRG_Status!$B$2:$B$100000=S_Curve_Data!$T$1)
)),0)/$U$1</f>
        <v>#N/A</v>
      </c>
      <c r="X25" s="23" t="e" cm="1">
        <f t="array" ref="X25">IFERROR(ROWS(_xlfn._xlws.FILTER(
   DRG_Status!$A$2:$A$100000,
   (DRG_Status!$F$2:$F$100000=S_Curve_Data!T25) *
   (DRG_Status!$B$2:$B$100000=S_Curve_Data!$T$1)
)),0)/$U$1</f>
        <v>#N/A</v>
      </c>
    </row>
    <row r="26" spans="6:45">
      <c r="F26" s="17">
        <f>Mappings!B25</f>
        <v>45824</v>
      </c>
      <c r="G26" s="23" cm="1">
        <f t="array" ref="G26">IFERROR(ROWS(_xlfn._xlws.FILTER(
   DRG_Status!$A$2:$A$100000,
   (DRG_Status!$C$2:$C$100000=S_Curve_Data!F26) *
   (DRG_Status!$B$2:$B$100000=S_Curve_Data!$F$1)
)),0)/$G$1</f>
        <v>0</v>
      </c>
      <c r="H26" s="23" cm="1">
        <f t="array" ref="H26">IFERROR(ROWS(_xlfn._xlws.FILTER(
   DRG_Status!$A$2:$A$100000,
   (DRG_Status!$D$2:$D$100000=S_Curve_Data!F26) *
   (DRG_Status!$B$2:$B$100000=S_Curve_Data!$F$1)
)),0)/$G$1</f>
        <v>0</v>
      </c>
      <c r="I26" s="23" cm="1">
        <f t="array" ref="I26">IFERROR(ROWS(_xlfn._xlws.FILTER(
   DRG_Status!$A$2:$A$100000,
   (DRG_Status!$E$2:$E$100000=S_Curve_Data!F26) *
   (DRG_Status!$B$2:$B$100000=S_Curve_Data!$F$1)
)),0)/$G$1</f>
        <v>0</v>
      </c>
      <c r="J26" s="23" cm="1">
        <f t="array" ref="J26">IFERROR(ROWS(_xlfn._xlws.FILTER(
   DRG_Status!$A$2:$A$100000,
   (DRG_Status!$F$2:$F$100000=S_Curve_Data!F26) *
   (DRG_Status!$B$2:$B$100000=S_Curve_Data!$F$1)
)),0)/$G$1</f>
        <v>0</v>
      </c>
      <c r="M26" s="17">
        <f>Mappings!B25</f>
        <v>45824</v>
      </c>
      <c r="N26" s="23" cm="1">
        <f t="array" ref="N26">IFERROR(ROWS(_xlfn._xlws.FILTER(
   DRG_Status!$A$2:$A$100000,
   (DRG_Status!$C$2:$C$100000=S_Curve_Data!M26) *
   (DRG_Status!$B$2:$B$100000=S_Curve_Data!$M$1)
)),0)/$N$1</f>
        <v>0</v>
      </c>
      <c r="O26" s="23" cm="1">
        <f t="array" ref="O26">IFERROR(ROWS(_xlfn._xlws.FILTER(
   DRG_Status!$A$2:$A$100000,
   (DRG_Status!$D$2:$D$100000=S_Curve_Data!M26) *
   (DRG_Status!$B$2:$B$100000=S_Curve_Data!$M$1)
)),0)/$N$1</f>
        <v>0</v>
      </c>
      <c r="P26" s="23" cm="1">
        <f t="array" ref="P26">IFERROR(ROWS(_xlfn._xlws.FILTER(
   DRG_Status!$A$2:$A$100000,
   (DRG_Status!$E$2:$E$100000=S_Curve_Data!M26) *
   (DRG_Status!$B$2:$B$100000=S_Curve_Data!$M$1)
)),0)/$N$1</f>
        <v>0</v>
      </c>
      <c r="Q26" s="23" cm="1">
        <f t="array" ref="Q26">IFERROR(ROWS(_xlfn._xlws.FILTER(
   DRG_Status!$A$2:$A$100000,
   (DRG_Status!$F$2:$F$100000=S_Curve_Data!M26) *
   (DRG_Status!$B$2:$B$100000=S_Curve_Data!$M$1)
)),0)/$N$1</f>
        <v>0</v>
      </c>
      <c r="T26" s="17">
        <f>Mappings!B25</f>
        <v>45824</v>
      </c>
      <c r="U26" s="23" t="e" cm="1">
        <f t="array" ref="U26">IFERROR(ROWS(_xlfn._xlws.FILTER(
   DRG_Status!$A$2:$A$100000,
   (DRG_Status!$C$2:$C$100000=S_Curve_Data!T26) *
   (DRG_Status!$B$2:$B$100000=S_Curve_Data!$T$1)
)),0)/$U$1</f>
        <v>#N/A</v>
      </c>
      <c r="V26" s="23" t="e" cm="1">
        <f t="array" ref="V26">IFERROR(ROWS(_xlfn._xlws.FILTER(
   DRG_Status!$A$2:$A$100000,
   (DRG_Status!$D$2:$D$100000=S_Curve_Data!T26) *
   (DRG_Status!$B$2:$B$100000=S_Curve_Data!$T$1)
)),0)/$U$1</f>
        <v>#N/A</v>
      </c>
      <c r="W26" s="23" t="e" cm="1">
        <f t="array" ref="W26">IFERROR(ROWS(_xlfn._xlws.FILTER(
   DRG_Status!$A$2:$A$100000,
   (DRG_Status!$E$2:$E$100000=S_Curve_Data!T26) *
   (DRG_Status!$B$2:$B$100000=S_Curve_Data!$T$1)
)),0)/$U$1</f>
        <v>#N/A</v>
      </c>
      <c r="X26" s="23" t="e" cm="1">
        <f t="array" ref="X26">IFERROR(ROWS(_xlfn._xlws.FILTER(
   DRG_Status!$A$2:$A$100000,
   (DRG_Status!$F$2:$F$100000=S_Curve_Data!T26) *
   (DRG_Status!$B$2:$B$100000=S_Curve_Data!$T$1)
)),0)/$U$1</f>
        <v>#N/A</v>
      </c>
    </row>
    <row r="27" spans="6:45">
      <c r="F27" s="17">
        <f>Mappings!B26</f>
        <v>45831</v>
      </c>
      <c r="G27" s="23" cm="1">
        <f t="array" ref="G27">IFERROR(ROWS(_xlfn._xlws.FILTER(
   DRG_Status!$A$2:$A$100000,
   (DRG_Status!$C$2:$C$100000=S_Curve_Data!F27) *
   (DRG_Status!$B$2:$B$100000=S_Curve_Data!$F$1)
)),0)/$G$1</f>
        <v>0</v>
      </c>
      <c r="H27" s="23" cm="1">
        <f t="array" ref="H27">IFERROR(ROWS(_xlfn._xlws.FILTER(
   DRG_Status!$A$2:$A$100000,
   (DRG_Status!$D$2:$D$100000=S_Curve_Data!F27) *
   (DRG_Status!$B$2:$B$100000=S_Curve_Data!$F$1)
)),0)/$G$1</f>
        <v>0</v>
      </c>
      <c r="I27" s="23" cm="1">
        <f t="array" ref="I27">IFERROR(ROWS(_xlfn._xlws.FILTER(
   DRG_Status!$A$2:$A$100000,
   (DRG_Status!$E$2:$E$100000=S_Curve_Data!F27) *
   (DRG_Status!$B$2:$B$100000=S_Curve_Data!$F$1)
)),0)/$G$1</f>
        <v>0</v>
      </c>
      <c r="J27" s="23" cm="1">
        <f t="array" ref="J27">IFERROR(ROWS(_xlfn._xlws.FILTER(
   DRG_Status!$A$2:$A$100000,
   (DRG_Status!$F$2:$F$100000=S_Curve_Data!F27) *
   (DRG_Status!$B$2:$B$100000=S_Curve_Data!$F$1)
)),0)/$G$1</f>
        <v>0</v>
      </c>
      <c r="M27" s="17">
        <f>Mappings!B26</f>
        <v>45831</v>
      </c>
      <c r="N27" s="23" cm="1">
        <f t="array" ref="N27">IFERROR(ROWS(_xlfn._xlws.FILTER(
   DRG_Status!$A$2:$A$100000,
   (DRG_Status!$C$2:$C$100000=S_Curve_Data!M27) *
   (DRG_Status!$B$2:$B$100000=S_Curve_Data!$M$1)
)),0)/$N$1</f>
        <v>0</v>
      </c>
      <c r="O27" s="23" cm="1">
        <f t="array" ref="O27">IFERROR(ROWS(_xlfn._xlws.FILTER(
   DRG_Status!$A$2:$A$100000,
   (DRG_Status!$D$2:$D$100000=S_Curve_Data!M27) *
   (DRG_Status!$B$2:$B$100000=S_Curve_Data!$M$1)
)),0)/$N$1</f>
        <v>0</v>
      </c>
      <c r="P27" s="23" cm="1">
        <f t="array" ref="P27">IFERROR(ROWS(_xlfn._xlws.FILTER(
   DRG_Status!$A$2:$A$100000,
   (DRG_Status!$E$2:$E$100000=S_Curve_Data!M27) *
   (DRG_Status!$B$2:$B$100000=S_Curve_Data!$M$1)
)),0)/$N$1</f>
        <v>0</v>
      </c>
      <c r="Q27" s="23" cm="1">
        <f t="array" ref="Q27">IFERROR(ROWS(_xlfn._xlws.FILTER(
   DRG_Status!$A$2:$A$100000,
   (DRG_Status!$F$2:$F$100000=S_Curve_Data!M27) *
   (DRG_Status!$B$2:$B$100000=S_Curve_Data!$M$1)
)),0)/$N$1</f>
        <v>0</v>
      </c>
      <c r="T27" s="17">
        <f>Mappings!B26</f>
        <v>45831</v>
      </c>
      <c r="U27" s="23" t="e" cm="1">
        <f t="array" ref="U27">IFERROR(ROWS(_xlfn._xlws.FILTER(
   DRG_Status!$A$2:$A$100000,
   (DRG_Status!$C$2:$C$100000=S_Curve_Data!T27) *
   (DRG_Status!$B$2:$B$100000=S_Curve_Data!$T$1)
)),0)/$U$1</f>
        <v>#N/A</v>
      </c>
      <c r="V27" s="23" t="e" cm="1">
        <f t="array" ref="V27">IFERROR(ROWS(_xlfn._xlws.FILTER(
   DRG_Status!$A$2:$A$100000,
   (DRG_Status!$D$2:$D$100000=S_Curve_Data!T27) *
   (DRG_Status!$B$2:$B$100000=S_Curve_Data!$T$1)
)),0)/$U$1</f>
        <v>#N/A</v>
      </c>
      <c r="W27" s="23" t="e" cm="1">
        <f t="array" ref="W27">IFERROR(ROWS(_xlfn._xlws.FILTER(
   DRG_Status!$A$2:$A$100000,
   (DRG_Status!$E$2:$E$100000=S_Curve_Data!T27) *
   (DRG_Status!$B$2:$B$100000=S_Curve_Data!$T$1)
)),0)/$U$1</f>
        <v>#N/A</v>
      </c>
      <c r="X27" s="23" t="e" cm="1">
        <f t="array" ref="X27">IFERROR(ROWS(_xlfn._xlws.FILTER(
   DRG_Status!$A$2:$A$100000,
   (DRG_Status!$F$2:$F$100000=S_Curve_Data!T27) *
   (DRG_Status!$B$2:$B$100000=S_Curve_Data!$T$1)
)),0)/$U$1</f>
        <v>#N/A</v>
      </c>
    </row>
    <row r="28" spans="6:45">
      <c r="F28" s="17">
        <f>Mappings!B27</f>
        <v>45838</v>
      </c>
      <c r="G28" s="23" cm="1">
        <f t="array" ref="G28">IFERROR(ROWS(_xlfn._xlws.FILTER(
   DRG_Status!$A$2:$A$100000,
   (DRG_Status!$C$2:$C$100000=S_Curve_Data!F28) *
   (DRG_Status!$B$2:$B$100000=S_Curve_Data!$F$1)
)),0)/$G$1</f>
        <v>0</v>
      </c>
      <c r="H28" s="23" cm="1">
        <f t="array" ref="H28">IFERROR(ROWS(_xlfn._xlws.FILTER(
   DRG_Status!$A$2:$A$100000,
   (DRG_Status!$D$2:$D$100000=S_Curve_Data!F28) *
   (DRG_Status!$B$2:$B$100000=S_Curve_Data!$F$1)
)),0)/$G$1</f>
        <v>0</v>
      </c>
      <c r="I28" s="23" cm="1">
        <f t="array" ref="I28">IFERROR(ROWS(_xlfn._xlws.FILTER(
   DRG_Status!$A$2:$A$100000,
   (DRG_Status!$E$2:$E$100000=S_Curve_Data!F28) *
   (DRG_Status!$B$2:$B$100000=S_Curve_Data!$F$1)
)),0)/$G$1</f>
        <v>0</v>
      </c>
      <c r="J28" s="23" cm="1">
        <f t="array" ref="J28">IFERROR(ROWS(_xlfn._xlws.FILTER(
   DRG_Status!$A$2:$A$100000,
   (DRG_Status!$F$2:$F$100000=S_Curve_Data!F28) *
   (DRG_Status!$B$2:$B$100000=S_Curve_Data!$F$1)
)),0)/$G$1</f>
        <v>0</v>
      </c>
      <c r="M28" s="17">
        <f>Mappings!B27</f>
        <v>45838</v>
      </c>
      <c r="N28" s="23" cm="1">
        <f t="array" ref="N28">IFERROR(ROWS(_xlfn._xlws.FILTER(
   DRG_Status!$A$2:$A$100000,
   (DRG_Status!$C$2:$C$100000=S_Curve_Data!M28) *
   (DRG_Status!$B$2:$B$100000=S_Curve_Data!$M$1)
)),0)/$N$1</f>
        <v>0</v>
      </c>
      <c r="O28" s="23" cm="1">
        <f t="array" ref="O28">IFERROR(ROWS(_xlfn._xlws.FILTER(
   DRG_Status!$A$2:$A$100000,
   (DRG_Status!$D$2:$D$100000=S_Curve_Data!M28) *
   (DRG_Status!$B$2:$B$100000=S_Curve_Data!$M$1)
)),0)/$N$1</f>
        <v>0</v>
      </c>
      <c r="P28" s="23" cm="1">
        <f t="array" ref="P28">IFERROR(ROWS(_xlfn._xlws.FILTER(
   DRG_Status!$A$2:$A$100000,
   (DRG_Status!$E$2:$E$100000=S_Curve_Data!M28) *
   (DRG_Status!$B$2:$B$100000=S_Curve_Data!$M$1)
)),0)/$N$1</f>
        <v>0</v>
      </c>
      <c r="Q28" s="23" cm="1">
        <f t="array" ref="Q28">IFERROR(ROWS(_xlfn._xlws.FILTER(
   DRG_Status!$A$2:$A$100000,
   (DRG_Status!$F$2:$F$100000=S_Curve_Data!M28) *
   (DRG_Status!$B$2:$B$100000=S_Curve_Data!$M$1)
)),0)/$N$1</f>
        <v>0</v>
      </c>
      <c r="T28" s="17">
        <f>Mappings!B27</f>
        <v>45838</v>
      </c>
      <c r="U28" s="23" t="e" cm="1">
        <f t="array" ref="U28">IFERROR(ROWS(_xlfn._xlws.FILTER(
   DRG_Status!$A$2:$A$100000,
   (DRG_Status!$C$2:$C$100000=S_Curve_Data!T28) *
   (DRG_Status!$B$2:$B$100000=S_Curve_Data!$T$1)
)),0)/$U$1</f>
        <v>#N/A</v>
      </c>
      <c r="V28" s="23" t="e" cm="1">
        <f t="array" ref="V28">IFERROR(ROWS(_xlfn._xlws.FILTER(
   DRG_Status!$A$2:$A$100000,
   (DRG_Status!$D$2:$D$100000=S_Curve_Data!T28) *
   (DRG_Status!$B$2:$B$100000=S_Curve_Data!$T$1)
)),0)/$U$1</f>
        <v>#N/A</v>
      </c>
      <c r="W28" s="23" t="e" cm="1">
        <f t="array" ref="W28">IFERROR(ROWS(_xlfn._xlws.FILTER(
   DRG_Status!$A$2:$A$100000,
   (DRG_Status!$E$2:$E$100000=S_Curve_Data!T28) *
   (DRG_Status!$B$2:$B$100000=S_Curve_Data!$T$1)
)),0)/$U$1</f>
        <v>#N/A</v>
      </c>
      <c r="X28" s="23" t="e" cm="1">
        <f t="array" ref="X28">IFERROR(ROWS(_xlfn._xlws.FILTER(
   DRG_Status!$A$2:$A$100000,
   (DRG_Status!$F$2:$F$100000=S_Curve_Data!T28) *
   (DRG_Status!$B$2:$B$100000=S_Curve_Data!$T$1)
)),0)/$U$1</f>
        <v>#N/A</v>
      </c>
    </row>
    <row r="29" spans="6:45">
      <c r="F29" s="17">
        <f>Mappings!B28</f>
        <v>45845</v>
      </c>
      <c r="G29" s="23" cm="1">
        <f t="array" ref="G29">IFERROR(ROWS(_xlfn._xlws.FILTER(
   DRG_Status!$A$2:$A$100000,
   (DRG_Status!$C$2:$C$100000=S_Curve_Data!F29) *
   (DRG_Status!$B$2:$B$100000=S_Curve_Data!$F$1)
)),0)/$G$1</f>
        <v>0</v>
      </c>
      <c r="H29" s="23" cm="1">
        <f t="array" ref="H29">IFERROR(ROWS(_xlfn._xlws.FILTER(
   DRG_Status!$A$2:$A$100000,
   (DRG_Status!$D$2:$D$100000=S_Curve_Data!F29) *
   (DRG_Status!$B$2:$B$100000=S_Curve_Data!$F$1)
)),0)/$G$1</f>
        <v>0</v>
      </c>
      <c r="I29" s="23" cm="1">
        <f t="array" ref="I29">IFERROR(ROWS(_xlfn._xlws.FILTER(
   DRG_Status!$A$2:$A$100000,
   (DRG_Status!$E$2:$E$100000=S_Curve_Data!F29) *
   (DRG_Status!$B$2:$B$100000=S_Curve_Data!$F$1)
)),0)/$G$1</f>
        <v>0</v>
      </c>
      <c r="J29" s="23" cm="1">
        <f t="array" ref="J29">IFERROR(ROWS(_xlfn._xlws.FILTER(
   DRG_Status!$A$2:$A$100000,
   (DRG_Status!$F$2:$F$100000=S_Curve_Data!F29) *
   (DRG_Status!$B$2:$B$100000=S_Curve_Data!$F$1)
)),0)/$G$1</f>
        <v>0</v>
      </c>
      <c r="M29" s="17">
        <f>Mappings!B28</f>
        <v>45845</v>
      </c>
      <c r="N29" s="23" cm="1">
        <f t="array" ref="N29">IFERROR(ROWS(_xlfn._xlws.FILTER(
   DRG_Status!$A$2:$A$100000,
   (DRG_Status!$C$2:$C$100000=S_Curve_Data!M29) *
   (DRG_Status!$B$2:$B$100000=S_Curve_Data!$M$1)
)),0)/$N$1</f>
        <v>0</v>
      </c>
      <c r="O29" s="23" cm="1">
        <f t="array" ref="O29">IFERROR(ROWS(_xlfn._xlws.FILTER(
   DRG_Status!$A$2:$A$100000,
   (DRG_Status!$D$2:$D$100000=S_Curve_Data!M29) *
   (DRG_Status!$B$2:$B$100000=S_Curve_Data!$M$1)
)),0)/$N$1</f>
        <v>0</v>
      </c>
      <c r="P29" s="23" cm="1">
        <f t="array" ref="P29">IFERROR(ROWS(_xlfn._xlws.FILTER(
   DRG_Status!$A$2:$A$100000,
   (DRG_Status!$E$2:$E$100000=S_Curve_Data!M29) *
   (DRG_Status!$B$2:$B$100000=S_Curve_Data!$M$1)
)),0)/$N$1</f>
        <v>0</v>
      </c>
      <c r="Q29" s="23" cm="1">
        <f t="array" ref="Q29">IFERROR(ROWS(_xlfn._xlws.FILTER(
   DRG_Status!$A$2:$A$100000,
   (DRG_Status!$F$2:$F$100000=S_Curve_Data!M29) *
   (DRG_Status!$B$2:$B$100000=S_Curve_Data!$M$1)
)),0)/$N$1</f>
        <v>0</v>
      </c>
      <c r="T29" s="17">
        <f>Mappings!B28</f>
        <v>45845</v>
      </c>
      <c r="U29" s="23" t="e" cm="1">
        <f t="array" ref="U29">IFERROR(ROWS(_xlfn._xlws.FILTER(
   DRG_Status!$A$2:$A$100000,
   (DRG_Status!$C$2:$C$100000=S_Curve_Data!T29) *
   (DRG_Status!$B$2:$B$100000=S_Curve_Data!$T$1)
)),0)/$U$1</f>
        <v>#N/A</v>
      </c>
      <c r="V29" s="23" t="e" cm="1">
        <f t="array" ref="V29">IFERROR(ROWS(_xlfn._xlws.FILTER(
   DRG_Status!$A$2:$A$100000,
   (DRG_Status!$D$2:$D$100000=S_Curve_Data!T29) *
   (DRG_Status!$B$2:$B$100000=S_Curve_Data!$T$1)
)),0)/$U$1</f>
        <v>#N/A</v>
      </c>
      <c r="W29" s="23" t="e" cm="1">
        <f t="array" ref="W29">IFERROR(ROWS(_xlfn._xlws.FILTER(
   DRG_Status!$A$2:$A$100000,
   (DRG_Status!$E$2:$E$100000=S_Curve_Data!T29) *
   (DRG_Status!$B$2:$B$100000=S_Curve_Data!$T$1)
)),0)/$U$1</f>
        <v>#N/A</v>
      </c>
      <c r="X29" s="23" t="e" cm="1">
        <f t="array" ref="X29">IFERROR(ROWS(_xlfn._xlws.FILTER(
   DRG_Status!$A$2:$A$100000,
   (DRG_Status!$F$2:$F$100000=S_Curve_Data!T29) *
   (DRG_Status!$B$2:$B$100000=S_Curve_Data!$T$1)
)),0)/$U$1</f>
        <v>#N/A</v>
      </c>
    </row>
    <row r="30" spans="6:45">
      <c r="F30" s="17">
        <f>Mappings!B29</f>
        <v>45852</v>
      </c>
      <c r="G30" s="23" cm="1">
        <f t="array" ref="G30">IFERROR(ROWS(_xlfn._xlws.FILTER(
   DRG_Status!$A$2:$A$100000,
   (DRG_Status!$C$2:$C$100000=S_Curve_Data!F30) *
   (DRG_Status!$B$2:$B$100000=S_Curve_Data!$F$1)
)),0)/$G$1</f>
        <v>0</v>
      </c>
      <c r="H30" s="23" cm="1">
        <f t="array" ref="H30">IFERROR(ROWS(_xlfn._xlws.FILTER(
   DRG_Status!$A$2:$A$100000,
   (DRG_Status!$D$2:$D$100000=S_Curve_Data!F30) *
   (DRG_Status!$B$2:$B$100000=S_Curve_Data!$F$1)
)),0)/$G$1</f>
        <v>0</v>
      </c>
      <c r="I30" s="23" cm="1">
        <f t="array" ref="I30">IFERROR(ROWS(_xlfn._xlws.FILTER(
   DRG_Status!$A$2:$A$100000,
   (DRG_Status!$E$2:$E$100000=S_Curve_Data!F30) *
   (DRG_Status!$B$2:$B$100000=S_Curve_Data!$F$1)
)),0)/$G$1</f>
        <v>0</v>
      </c>
      <c r="J30" s="23" cm="1">
        <f t="array" ref="J30">IFERROR(ROWS(_xlfn._xlws.FILTER(
   DRG_Status!$A$2:$A$100000,
   (DRG_Status!$F$2:$F$100000=S_Curve_Data!F30) *
   (DRG_Status!$B$2:$B$100000=S_Curve_Data!$F$1)
)),0)/$G$1</f>
        <v>0</v>
      </c>
      <c r="M30" s="17">
        <f>Mappings!B29</f>
        <v>45852</v>
      </c>
      <c r="N30" s="23" cm="1">
        <f t="array" ref="N30">IFERROR(ROWS(_xlfn._xlws.FILTER(
   DRG_Status!$A$2:$A$100000,
   (DRG_Status!$C$2:$C$100000=S_Curve_Data!M30) *
   (DRG_Status!$B$2:$B$100000=S_Curve_Data!$M$1)
)),0)/$N$1</f>
        <v>0</v>
      </c>
      <c r="O30" s="23" cm="1">
        <f t="array" ref="O30">IFERROR(ROWS(_xlfn._xlws.FILTER(
   DRG_Status!$A$2:$A$100000,
   (DRG_Status!$D$2:$D$100000=S_Curve_Data!M30) *
   (DRG_Status!$B$2:$B$100000=S_Curve_Data!$M$1)
)),0)/$N$1</f>
        <v>0</v>
      </c>
      <c r="P30" s="23" cm="1">
        <f t="array" ref="P30">IFERROR(ROWS(_xlfn._xlws.FILTER(
   DRG_Status!$A$2:$A$100000,
   (DRG_Status!$E$2:$E$100000=S_Curve_Data!M30) *
   (DRG_Status!$B$2:$B$100000=S_Curve_Data!$M$1)
)),0)/$N$1</f>
        <v>0</v>
      </c>
      <c r="Q30" s="23" cm="1">
        <f t="array" ref="Q30">IFERROR(ROWS(_xlfn._xlws.FILTER(
   DRG_Status!$A$2:$A$100000,
   (DRG_Status!$F$2:$F$100000=S_Curve_Data!M30) *
   (DRG_Status!$B$2:$B$100000=S_Curve_Data!$M$1)
)),0)/$N$1</f>
        <v>0</v>
      </c>
      <c r="T30" s="17">
        <f>Mappings!B29</f>
        <v>45852</v>
      </c>
      <c r="U30" s="23" t="e" cm="1">
        <f t="array" ref="U30">IFERROR(ROWS(_xlfn._xlws.FILTER(
   DRG_Status!$A$2:$A$100000,
   (DRG_Status!$C$2:$C$100000=S_Curve_Data!T30) *
   (DRG_Status!$B$2:$B$100000=S_Curve_Data!$T$1)
)),0)/$U$1</f>
        <v>#N/A</v>
      </c>
      <c r="V30" s="23" t="e" cm="1">
        <f t="array" ref="V30">IFERROR(ROWS(_xlfn._xlws.FILTER(
   DRG_Status!$A$2:$A$100000,
   (DRG_Status!$D$2:$D$100000=S_Curve_Data!T30) *
   (DRG_Status!$B$2:$B$100000=S_Curve_Data!$T$1)
)),0)/$U$1</f>
        <v>#N/A</v>
      </c>
      <c r="W30" s="23" t="e" cm="1">
        <f t="array" ref="W30">IFERROR(ROWS(_xlfn._xlws.FILTER(
   DRG_Status!$A$2:$A$100000,
   (DRG_Status!$E$2:$E$100000=S_Curve_Data!T30) *
   (DRG_Status!$B$2:$B$100000=S_Curve_Data!$T$1)
)),0)/$U$1</f>
        <v>#N/A</v>
      </c>
      <c r="X30" s="23" t="e" cm="1">
        <f t="array" ref="X30">IFERROR(ROWS(_xlfn._xlws.FILTER(
   DRG_Status!$A$2:$A$100000,
   (DRG_Status!$F$2:$F$100000=S_Curve_Data!T30) *
   (DRG_Status!$B$2:$B$100000=S_Curve_Data!$T$1)
)),0)/$U$1</f>
        <v>#N/A</v>
      </c>
    </row>
    <row r="31" spans="6:45">
      <c r="F31" s="17">
        <f>Mappings!B30</f>
        <v>45859</v>
      </c>
      <c r="G31" s="23" cm="1">
        <f t="array" ref="G31">IFERROR(ROWS(_xlfn._xlws.FILTER(
   DRG_Status!$A$2:$A$100000,
   (DRG_Status!$C$2:$C$100000=S_Curve_Data!F31) *
   (DRG_Status!$B$2:$B$100000=S_Curve_Data!$F$1)
)),0)/$G$1</f>
        <v>0</v>
      </c>
      <c r="H31" s="23" cm="1">
        <f t="array" ref="H31">IFERROR(ROWS(_xlfn._xlws.FILTER(
   DRG_Status!$A$2:$A$100000,
   (DRG_Status!$D$2:$D$100000=S_Curve_Data!F31) *
   (DRG_Status!$B$2:$B$100000=S_Curve_Data!$F$1)
)),0)/$G$1</f>
        <v>0</v>
      </c>
      <c r="I31" s="23" cm="1">
        <f t="array" ref="I31">IFERROR(ROWS(_xlfn._xlws.FILTER(
   DRG_Status!$A$2:$A$100000,
   (DRG_Status!$E$2:$E$100000=S_Curve_Data!F31) *
   (DRG_Status!$B$2:$B$100000=S_Curve_Data!$F$1)
)),0)/$G$1</f>
        <v>0</v>
      </c>
      <c r="J31" s="23" cm="1">
        <f t="array" ref="J31">IFERROR(ROWS(_xlfn._xlws.FILTER(
   DRG_Status!$A$2:$A$100000,
   (DRG_Status!$F$2:$F$100000=S_Curve_Data!F31) *
   (DRG_Status!$B$2:$B$100000=S_Curve_Data!$F$1)
)),0)/$G$1</f>
        <v>0</v>
      </c>
      <c r="M31" s="17">
        <f>Mappings!B30</f>
        <v>45859</v>
      </c>
      <c r="N31" s="23" cm="1">
        <f t="array" ref="N31">IFERROR(ROWS(_xlfn._xlws.FILTER(
   DRG_Status!$A$2:$A$100000,
   (DRG_Status!$C$2:$C$100000=S_Curve_Data!M31) *
   (DRG_Status!$B$2:$B$100000=S_Curve_Data!$M$1)
)),0)/$N$1</f>
        <v>0</v>
      </c>
      <c r="O31" s="23" cm="1">
        <f t="array" ref="O31">IFERROR(ROWS(_xlfn._xlws.FILTER(
   DRG_Status!$A$2:$A$100000,
   (DRG_Status!$D$2:$D$100000=S_Curve_Data!M31) *
   (DRG_Status!$B$2:$B$100000=S_Curve_Data!$M$1)
)),0)/$N$1</f>
        <v>0</v>
      </c>
      <c r="P31" s="23" cm="1">
        <f t="array" ref="P31">IFERROR(ROWS(_xlfn._xlws.FILTER(
   DRG_Status!$A$2:$A$100000,
   (DRG_Status!$E$2:$E$100000=S_Curve_Data!M31) *
   (DRG_Status!$B$2:$B$100000=S_Curve_Data!$M$1)
)),0)/$N$1</f>
        <v>0</v>
      </c>
      <c r="Q31" s="23" cm="1">
        <f t="array" ref="Q31">IFERROR(ROWS(_xlfn._xlws.FILTER(
   DRG_Status!$A$2:$A$100000,
   (DRG_Status!$F$2:$F$100000=S_Curve_Data!M31) *
   (DRG_Status!$B$2:$B$100000=S_Curve_Data!$M$1)
)),0)/$N$1</f>
        <v>0</v>
      </c>
      <c r="T31" s="17">
        <f>Mappings!B30</f>
        <v>45859</v>
      </c>
      <c r="U31" s="23" t="e" cm="1">
        <f t="array" ref="U31">IFERROR(ROWS(_xlfn._xlws.FILTER(
   DRG_Status!$A$2:$A$100000,
   (DRG_Status!$C$2:$C$100000=S_Curve_Data!T31) *
   (DRG_Status!$B$2:$B$100000=S_Curve_Data!$T$1)
)),0)/$U$1</f>
        <v>#N/A</v>
      </c>
      <c r="V31" s="23" t="e" cm="1">
        <f t="array" ref="V31">IFERROR(ROWS(_xlfn._xlws.FILTER(
   DRG_Status!$A$2:$A$100000,
   (DRG_Status!$D$2:$D$100000=S_Curve_Data!T31) *
   (DRG_Status!$B$2:$B$100000=S_Curve_Data!$T$1)
)),0)/$U$1</f>
        <v>#N/A</v>
      </c>
      <c r="W31" s="23" t="e" cm="1">
        <f t="array" ref="W31">IFERROR(ROWS(_xlfn._xlws.FILTER(
   DRG_Status!$A$2:$A$100000,
   (DRG_Status!$E$2:$E$100000=S_Curve_Data!T31) *
   (DRG_Status!$B$2:$B$100000=S_Curve_Data!$T$1)
)),0)/$U$1</f>
        <v>#N/A</v>
      </c>
      <c r="X31" s="23" t="e" cm="1">
        <f t="array" ref="X31">IFERROR(ROWS(_xlfn._xlws.FILTER(
   DRG_Status!$A$2:$A$100000,
   (DRG_Status!$F$2:$F$100000=S_Curve_Data!T31) *
   (DRG_Status!$B$2:$B$100000=S_Curve_Data!$T$1)
)),0)/$U$1</f>
        <v>#N/A</v>
      </c>
    </row>
    <row r="32" spans="6:45">
      <c r="F32" s="17">
        <f>Mappings!B31</f>
        <v>45866</v>
      </c>
      <c r="G32" s="23" cm="1">
        <f t="array" ref="G32">IFERROR(ROWS(_xlfn._xlws.FILTER(
   DRG_Status!$A$2:$A$100000,
   (DRG_Status!$C$2:$C$100000=S_Curve_Data!F32) *
   (DRG_Status!$B$2:$B$100000=S_Curve_Data!$F$1)
)),0)/$G$1</f>
        <v>0</v>
      </c>
      <c r="H32" s="23" cm="1">
        <f t="array" ref="H32">IFERROR(ROWS(_xlfn._xlws.FILTER(
   DRG_Status!$A$2:$A$100000,
   (DRG_Status!$D$2:$D$100000=S_Curve_Data!F32) *
   (DRG_Status!$B$2:$B$100000=S_Curve_Data!$F$1)
)),0)/$G$1</f>
        <v>0</v>
      </c>
      <c r="I32" s="23" cm="1">
        <f t="array" ref="I32">IFERROR(ROWS(_xlfn._xlws.FILTER(
   DRG_Status!$A$2:$A$100000,
   (DRG_Status!$E$2:$E$100000=S_Curve_Data!F32) *
   (DRG_Status!$B$2:$B$100000=S_Curve_Data!$F$1)
)),0)/$G$1</f>
        <v>0</v>
      </c>
      <c r="J32" s="23" cm="1">
        <f t="array" ref="J32">IFERROR(ROWS(_xlfn._xlws.FILTER(
   DRG_Status!$A$2:$A$100000,
   (DRG_Status!$F$2:$F$100000=S_Curve_Data!F32) *
   (DRG_Status!$B$2:$B$100000=S_Curve_Data!$F$1)
)),0)/$G$1</f>
        <v>0</v>
      </c>
      <c r="M32" s="17">
        <f>Mappings!B31</f>
        <v>45866</v>
      </c>
      <c r="N32" s="23" cm="1">
        <f t="array" ref="N32">IFERROR(ROWS(_xlfn._xlws.FILTER(
   DRG_Status!$A$2:$A$100000,
   (DRG_Status!$C$2:$C$100000=S_Curve_Data!M32) *
   (DRG_Status!$B$2:$B$100000=S_Curve_Data!$M$1)
)),0)/$N$1</f>
        <v>0</v>
      </c>
      <c r="O32" s="23" cm="1">
        <f t="array" ref="O32">IFERROR(ROWS(_xlfn._xlws.FILTER(
   DRG_Status!$A$2:$A$100000,
   (DRG_Status!$D$2:$D$100000=S_Curve_Data!M32) *
   (DRG_Status!$B$2:$B$100000=S_Curve_Data!$M$1)
)),0)/$N$1</f>
        <v>0</v>
      </c>
      <c r="P32" s="23" cm="1">
        <f t="array" ref="P32">IFERROR(ROWS(_xlfn._xlws.FILTER(
   DRG_Status!$A$2:$A$100000,
   (DRG_Status!$E$2:$E$100000=S_Curve_Data!M32) *
   (DRG_Status!$B$2:$B$100000=S_Curve_Data!$M$1)
)),0)/$N$1</f>
        <v>0</v>
      </c>
      <c r="Q32" s="23" cm="1">
        <f t="array" ref="Q32">IFERROR(ROWS(_xlfn._xlws.FILTER(
   DRG_Status!$A$2:$A$100000,
   (DRG_Status!$F$2:$F$100000=S_Curve_Data!M32) *
   (DRG_Status!$B$2:$B$100000=S_Curve_Data!$M$1)
)),0)/$N$1</f>
        <v>0</v>
      </c>
      <c r="T32" s="17">
        <f>Mappings!B31</f>
        <v>45866</v>
      </c>
      <c r="U32" s="23" t="e" cm="1">
        <f t="array" ref="U32">IFERROR(ROWS(_xlfn._xlws.FILTER(
   DRG_Status!$A$2:$A$100000,
   (DRG_Status!$C$2:$C$100000=S_Curve_Data!T32) *
   (DRG_Status!$B$2:$B$100000=S_Curve_Data!$T$1)
)),0)/$U$1</f>
        <v>#N/A</v>
      </c>
      <c r="V32" s="23" t="e" cm="1">
        <f t="array" ref="V32">IFERROR(ROWS(_xlfn._xlws.FILTER(
   DRG_Status!$A$2:$A$100000,
   (DRG_Status!$D$2:$D$100000=S_Curve_Data!T32) *
   (DRG_Status!$B$2:$B$100000=S_Curve_Data!$T$1)
)),0)/$U$1</f>
        <v>#N/A</v>
      </c>
      <c r="W32" s="23" t="e" cm="1">
        <f t="array" ref="W32">IFERROR(ROWS(_xlfn._xlws.FILTER(
   DRG_Status!$A$2:$A$100000,
   (DRG_Status!$E$2:$E$100000=S_Curve_Data!T32) *
   (DRG_Status!$B$2:$B$100000=S_Curve_Data!$T$1)
)),0)/$U$1</f>
        <v>#N/A</v>
      </c>
      <c r="X32" s="23" t="e" cm="1">
        <f t="array" ref="X32">IFERROR(ROWS(_xlfn._xlws.FILTER(
   DRG_Status!$A$2:$A$100000,
   (DRG_Status!$F$2:$F$100000=S_Curve_Data!T32) *
   (DRG_Status!$B$2:$B$100000=S_Curve_Data!$T$1)
)),0)/$U$1</f>
        <v>#N/A</v>
      </c>
    </row>
    <row r="33" spans="6:24">
      <c r="F33" s="17">
        <f>Mappings!B32</f>
        <v>45873</v>
      </c>
      <c r="G33" s="23" cm="1">
        <f t="array" ref="G33">IFERROR(ROWS(_xlfn._xlws.FILTER(
   DRG_Status!$A$2:$A$100000,
   (DRG_Status!$C$2:$C$100000=S_Curve_Data!F33) *
   (DRG_Status!$B$2:$B$100000=S_Curve_Data!$F$1)
)),0)/$G$1</f>
        <v>0</v>
      </c>
      <c r="H33" s="23" cm="1">
        <f t="array" ref="H33">IFERROR(ROWS(_xlfn._xlws.FILTER(
   DRG_Status!$A$2:$A$100000,
   (DRG_Status!$D$2:$D$100000=S_Curve_Data!F33) *
   (DRG_Status!$B$2:$B$100000=S_Curve_Data!$F$1)
)),0)/$G$1</f>
        <v>0</v>
      </c>
      <c r="I33" s="23" cm="1">
        <f t="array" ref="I33">IFERROR(ROWS(_xlfn._xlws.FILTER(
   DRG_Status!$A$2:$A$100000,
   (DRG_Status!$E$2:$E$100000=S_Curve_Data!F33) *
   (DRG_Status!$B$2:$B$100000=S_Curve_Data!$F$1)
)),0)/$G$1</f>
        <v>0</v>
      </c>
      <c r="J33" s="23" cm="1">
        <f t="array" ref="J33">IFERROR(ROWS(_xlfn._xlws.FILTER(
   DRG_Status!$A$2:$A$100000,
   (DRG_Status!$F$2:$F$100000=S_Curve_Data!F33) *
   (DRG_Status!$B$2:$B$100000=S_Curve_Data!$F$1)
)),0)/$G$1</f>
        <v>0</v>
      </c>
      <c r="M33" s="17">
        <f>Mappings!B32</f>
        <v>45873</v>
      </c>
      <c r="N33" s="23" cm="1">
        <f t="array" ref="N33">IFERROR(ROWS(_xlfn._xlws.FILTER(
   DRG_Status!$A$2:$A$100000,
   (DRG_Status!$C$2:$C$100000=S_Curve_Data!M33) *
   (DRG_Status!$B$2:$B$100000=S_Curve_Data!$M$1)
)),0)/$N$1</f>
        <v>0</v>
      </c>
      <c r="O33" s="23" cm="1">
        <f t="array" ref="O33">IFERROR(ROWS(_xlfn._xlws.FILTER(
   DRG_Status!$A$2:$A$100000,
   (DRG_Status!$D$2:$D$100000=S_Curve_Data!M33) *
   (DRG_Status!$B$2:$B$100000=S_Curve_Data!$M$1)
)),0)/$N$1</f>
        <v>0</v>
      </c>
      <c r="P33" s="23" cm="1">
        <f t="array" ref="P33">IFERROR(ROWS(_xlfn._xlws.FILTER(
   DRG_Status!$A$2:$A$100000,
   (DRG_Status!$E$2:$E$100000=S_Curve_Data!M33) *
   (DRG_Status!$B$2:$B$100000=S_Curve_Data!$M$1)
)),0)/$N$1</f>
        <v>0</v>
      </c>
      <c r="Q33" s="23" cm="1">
        <f t="array" ref="Q33">IFERROR(ROWS(_xlfn._xlws.FILTER(
   DRG_Status!$A$2:$A$100000,
   (DRG_Status!$F$2:$F$100000=S_Curve_Data!M33) *
   (DRG_Status!$B$2:$B$100000=S_Curve_Data!$M$1)
)),0)/$N$1</f>
        <v>0</v>
      </c>
      <c r="T33" s="17">
        <f>Mappings!B32</f>
        <v>45873</v>
      </c>
      <c r="U33" s="23" t="e" cm="1">
        <f t="array" ref="U33">IFERROR(ROWS(_xlfn._xlws.FILTER(
   DRG_Status!$A$2:$A$100000,
   (DRG_Status!$C$2:$C$100000=S_Curve_Data!T33) *
   (DRG_Status!$B$2:$B$100000=S_Curve_Data!$T$1)
)),0)/$U$1</f>
        <v>#N/A</v>
      </c>
      <c r="V33" s="23" t="e" cm="1">
        <f t="array" ref="V33">IFERROR(ROWS(_xlfn._xlws.FILTER(
   DRG_Status!$A$2:$A$100000,
   (DRG_Status!$D$2:$D$100000=S_Curve_Data!T33) *
   (DRG_Status!$B$2:$B$100000=S_Curve_Data!$T$1)
)),0)/$U$1</f>
        <v>#N/A</v>
      </c>
      <c r="W33" s="23" t="e" cm="1">
        <f t="array" ref="W33">IFERROR(ROWS(_xlfn._xlws.FILTER(
   DRG_Status!$A$2:$A$100000,
   (DRG_Status!$E$2:$E$100000=S_Curve_Data!T33) *
   (DRG_Status!$B$2:$B$100000=S_Curve_Data!$T$1)
)),0)/$U$1</f>
        <v>#N/A</v>
      </c>
      <c r="X33" s="23" t="e" cm="1">
        <f t="array" ref="X33">IFERROR(ROWS(_xlfn._xlws.FILTER(
   DRG_Status!$A$2:$A$100000,
   (DRG_Status!$F$2:$F$100000=S_Curve_Data!T33) *
   (DRG_Status!$B$2:$B$100000=S_Curve_Data!$T$1)
)),0)/$U$1</f>
        <v>#N/A</v>
      </c>
    </row>
    <row r="34" spans="6:24">
      <c r="F34" s="17">
        <f>Mappings!B33</f>
        <v>45880</v>
      </c>
      <c r="G34" s="23" cm="1">
        <f t="array" ref="G34">IFERROR(ROWS(_xlfn._xlws.FILTER(
   DRG_Status!$A$2:$A$100000,
   (DRG_Status!$C$2:$C$100000=S_Curve_Data!F34) *
   (DRG_Status!$B$2:$B$100000=S_Curve_Data!$F$1)
)),0)/$G$1</f>
        <v>0</v>
      </c>
      <c r="H34" s="23" cm="1">
        <f t="array" ref="H34">IFERROR(ROWS(_xlfn._xlws.FILTER(
   DRG_Status!$A$2:$A$100000,
   (DRG_Status!$D$2:$D$100000=S_Curve_Data!F34) *
   (DRG_Status!$B$2:$B$100000=S_Curve_Data!$F$1)
)),0)/$G$1</f>
        <v>0</v>
      </c>
      <c r="I34" s="23" cm="1">
        <f t="array" ref="I34">IFERROR(ROWS(_xlfn._xlws.FILTER(
   DRG_Status!$A$2:$A$100000,
   (DRG_Status!$E$2:$E$100000=S_Curve_Data!F34) *
   (DRG_Status!$B$2:$B$100000=S_Curve_Data!$F$1)
)),0)/$G$1</f>
        <v>0</v>
      </c>
      <c r="J34" s="23" cm="1">
        <f t="array" ref="J34">IFERROR(ROWS(_xlfn._xlws.FILTER(
   DRG_Status!$A$2:$A$100000,
   (DRG_Status!$F$2:$F$100000=S_Curve_Data!F34) *
   (DRG_Status!$B$2:$B$100000=S_Curve_Data!$F$1)
)),0)/$G$1</f>
        <v>0</v>
      </c>
      <c r="M34" s="17">
        <f>Mappings!B33</f>
        <v>45880</v>
      </c>
      <c r="N34" s="23" cm="1">
        <f t="array" ref="N34">IFERROR(ROWS(_xlfn._xlws.FILTER(
   DRG_Status!$A$2:$A$100000,
   (DRG_Status!$C$2:$C$100000=S_Curve_Data!M34) *
   (DRG_Status!$B$2:$B$100000=S_Curve_Data!$M$1)
)),0)/$N$1</f>
        <v>0</v>
      </c>
      <c r="O34" s="23" cm="1">
        <f t="array" ref="O34">IFERROR(ROWS(_xlfn._xlws.FILTER(
   DRG_Status!$A$2:$A$100000,
   (DRG_Status!$D$2:$D$100000=S_Curve_Data!M34) *
   (DRG_Status!$B$2:$B$100000=S_Curve_Data!$M$1)
)),0)/$N$1</f>
        <v>0</v>
      </c>
      <c r="P34" s="23" cm="1">
        <f t="array" ref="P34">IFERROR(ROWS(_xlfn._xlws.FILTER(
   DRG_Status!$A$2:$A$100000,
   (DRG_Status!$E$2:$E$100000=S_Curve_Data!M34) *
   (DRG_Status!$B$2:$B$100000=S_Curve_Data!$M$1)
)),0)/$N$1</f>
        <v>0</v>
      </c>
      <c r="Q34" s="23" cm="1">
        <f t="array" ref="Q34">IFERROR(ROWS(_xlfn._xlws.FILTER(
   DRG_Status!$A$2:$A$100000,
   (DRG_Status!$F$2:$F$100000=S_Curve_Data!M34) *
   (DRG_Status!$B$2:$B$100000=S_Curve_Data!$M$1)
)),0)/$N$1</f>
        <v>0</v>
      </c>
      <c r="T34" s="17">
        <f>Mappings!B33</f>
        <v>45880</v>
      </c>
      <c r="U34" s="23" t="e" cm="1">
        <f t="array" ref="U34">IFERROR(ROWS(_xlfn._xlws.FILTER(
   DRG_Status!$A$2:$A$100000,
   (DRG_Status!$C$2:$C$100000=S_Curve_Data!T34) *
   (DRG_Status!$B$2:$B$100000=S_Curve_Data!$T$1)
)),0)/$U$1</f>
        <v>#N/A</v>
      </c>
      <c r="V34" s="23" t="e" cm="1">
        <f t="array" ref="V34">IFERROR(ROWS(_xlfn._xlws.FILTER(
   DRG_Status!$A$2:$A$100000,
   (DRG_Status!$D$2:$D$100000=S_Curve_Data!T34) *
   (DRG_Status!$B$2:$B$100000=S_Curve_Data!$T$1)
)),0)/$U$1</f>
        <v>#N/A</v>
      </c>
      <c r="W34" s="23" t="e" cm="1">
        <f t="array" ref="W34">IFERROR(ROWS(_xlfn._xlws.FILTER(
   DRG_Status!$A$2:$A$100000,
   (DRG_Status!$E$2:$E$100000=S_Curve_Data!T34) *
   (DRG_Status!$B$2:$B$100000=S_Curve_Data!$T$1)
)),0)/$U$1</f>
        <v>#N/A</v>
      </c>
      <c r="X34" s="23" t="e" cm="1">
        <f t="array" ref="X34">IFERROR(ROWS(_xlfn._xlws.FILTER(
   DRG_Status!$A$2:$A$100000,
   (DRG_Status!$F$2:$F$100000=S_Curve_Data!T34) *
   (DRG_Status!$B$2:$B$100000=S_Curve_Data!$T$1)
)),0)/$U$1</f>
        <v>#N/A</v>
      </c>
    </row>
    <row r="35" spans="6:24">
      <c r="F35" s="17">
        <f>Mappings!B34</f>
        <v>45887</v>
      </c>
      <c r="G35" s="23" cm="1">
        <f t="array" ref="G35">IFERROR(ROWS(_xlfn._xlws.FILTER(
   DRG_Status!$A$2:$A$100000,
   (DRG_Status!$C$2:$C$100000=S_Curve_Data!F35) *
   (DRG_Status!$B$2:$B$100000=S_Curve_Data!$F$1)
)),0)/$G$1</f>
        <v>0</v>
      </c>
      <c r="H35" s="23" cm="1">
        <f t="array" ref="H35">IFERROR(ROWS(_xlfn._xlws.FILTER(
   DRG_Status!$A$2:$A$100000,
   (DRG_Status!$D$2:$D$100000=S_Curve_Data!F35) *
   (DRG_Status!$B$2:$B$100000=S_Curve_Data!$F$1)
)),0)/$G$1</f>
        <v>0</v>
      </c>
      <c r="I35" s="23" cm="1">
        <f t="array" ref="I35">IFERROR(ROWS(_xlfn._xlws.FILTER(
   DRG_Status!$A$2:$A$100000,
   (DRG_Status!$E$2:$E$100000=S_Curve_Data!F35) *
   (DRG_Status!$B$2:$B$100000=S_Curve_Data!$F$1)
)),0)/$G$1</f>
        <v>0</v>
      </c>
      <c r="J35" s="23" cm="1">
        <f t="array" ref="J35">IFERROR(ROWS(_xlfn._xlws.FILTER(
   DRG_Status!$A$2:$A$100000,
   (DRG_Status!$F$2:$F$100000=S_Curve_Data!F35) *
   (DRG_Status!$B$2:$B$100000=S_Curve_Data!$F$1)
)),0)/$G$1</f>
        <v>0</v>
      </c>
      <c r="M35" s="17">
        <f>Mappings!B34</f>
        <v>45887</v>
      </c>
      <c r="N35" s="23" cm="1">
        <f t="array" ref="N35">IFERROR(ROWS(_xlfn._xlws.FILTER(
   DRG_Status!$A$2:$A$100000,
   (DRG_Status!$C$2:$C$100000=S_Curve_Data!M35) *
   (DRG_Status!$B$2:$B$100000=S_Curve_Data!$M$1)
)),0)/$N$1</f>
        <v>0</v>
      </c>
      <c r="O35" s="23" cm="1">
        <f t="array" ref="O35">IFERROR(ROWS(_xlfn._xlws.FILTER(
   DRG_Status!$A$2:$A$100000,
   (DRG_Status!$D$2:$D$100000=S_Curve_Data!M35) *
   (DRG_Status!$B$2:$B$100000=S_Curve_Data!$M$1)
)),0)/$N$1</f>
        <v>0</v>
      </c>
      <c r="P35" s="23" cm="1">
        <f t="array" ref="P35">IFERROR(ROWS(_xlfn._xlws.FILTER(
   DRG_Status!$A$2:$A$100000,
   (DRG_Status!$E$2:$E$100000=S_Curve_Data!M35) *
   (DRG_Status!$B$2:$B$100000=S_Curve_Data!$M$1)
)),0)/$N$1</f>
        <v>0</v>
      </c>
      <c r="Q35" s="23" cm="1">
        <f t="array" ref="Q35">IFERROR(ROWS(_xlfn._xlws.FILTER(
   DRG_Status!$A$2:$A$100000,
   (DRG_Status!$F$2:$F$100000=S_Curve_Data!M35) *
   (DRG_Status!$B$2:$B$100000=S_Curve_Data!$M$1)
)),0)/$N$1</f>
        <v>0</v>
      </c>
      <c r="T35" s="17">
        <f>Mappings!B34</f>
        <v>45887</v>
      </c>
      <c r="U35" s="23" t="e" cm="1">
        <f t="array" ref="U35">IFERROR(ROWS(_xlfn._xlws.FILTER(
   DRG_Status!$A$2:$A$100000,
   (DRG_Status!$C$2:$C$100000=S_Curve_Data!T35) *
   (DRG_Status!$B$2:$B$100000=S_Curve_Data!$T$1)
)),0)/$U$1</f>
        <v>#N/A</v>
      </c>
      <c r="V35" s="23" t="e" cm="1">
        <f t="array" ref="V35">IFERROR(ROWS(_xlfn._xlws.FILTER(
   DRG_Status!$A$2:$A$100000,
   (DRG_Status!$D$2:$D$100000=S_Curve_Data!T35) *
   (DRG_Status!$B$2:$B$100000=S_Curve_Data!$T$1)
)),0)/$U$1</f>
        <v>#N/A</v>
      </c>
      <c r="W35" s="23" t="e" cm="1">
        <f t="array" ref="W35">IFERROR(ROWS(_xlfn._xlws.FILTER(
   DRG_Status!$A$2:$A$100000,
   (DRG_Status!$E$2:$E$100000=S_Curve_Data!T35) *
   (DRG_Status!$B$2:$B$100000=S_Curve_Data!$T$1)
)),0)/$U$1</f>
        <v>#N/A</v>
      </c>
      <c r="X35" s="23" t="e" cm="1">
        <f t="array" ref="X35">IFERROR(ROWS(_xlfn._xlws.FILTER(
   DRG_Status!$A$2:$A$100000,
   (DRG_Status!$F$2:$F$100000=S_Curve_Data!T35) *
   (DRG_Status!$B$2:$B$100000=S_Curve_Data!$T$1)
)),0)/$U$1</f>
        <v>#N/A</v>
      </c>
    </row>
    <row r="36" spans="6:24">
      <c r="F36" s="17">
        <f>Mappings!B35</f>
        <v>45894</v>
      </c>
      <c r="G36" s="23" cm="1">
        <f t="array" ref="G36">IFERROR(ROWS(_xlfn._xlws.FILTER(
   DRG_Status!$A$2:$A$100000,
   (DRG_Status!$C$2:$C$100000=S_Curve_Data!F36) *
   (DRG_Status!$B$2:$B$100000=S_Curve_Data!$F$1)
)),0)/$G$1</f>
        <v>0</v>
      </c>
      <c r="H36" s="23" cm="1">
        <f t="array" ref="H36">IFERROR(ROWS(_xlfn._xlws.FILTER(
   DRG_Status!$A$2:$A$100000,
   (DRG_Status!$D$2:$D$100000=S_Curve_Data!F36) *
   (DRG_Status!$B$2:$B$100000=S_Curve_Data!$F$1)
)),0)/$G$1</f>
        <v>0</v>
      </c>
      <c r="I36" s="23" cm="1">
        <f t="array" ref="I36">IFERROR(ROWS(_xlfn._xlws.FILTER(
   DRG_Status!$A$2:$A$100000,
   (DRG_Status!$E$2:$E$100000=S_Curve_Data!F36) *
   (DRG_Status!$B$2:$B$100000=S_Curve_Data!$F$1)
)),0)/$G$1</f>
        <v>0</v>
      </c>
      <c r="J36" s="23" cm="1">
        <f t="array" ref="J36">IFERROR(ROWS(_xlfn._xlws.FILTER(
   DRG_Status!$A$2:$A$100000,
   (DRG_Status!$F$2:$F$100000=S_Curve_Data!F36) *
   (DRG_Status!$B$2:$B$100000=S_Curve_Data!$F$1)
)),0)/$G$1</f>
        <v>0</v>
      </c>
      <c r="M36" s="17">
        <f>Mappings!B35</f>
        <v>45894</v>
      </c>
      <c r="N36" s="23" cm="1">
        <f t="array" ref="N36">IFERROR(ROWS(_xlfn._xlws.FILTER(
   DRG_Status!$A$2:$A$100000,
   (DRG_Status!$C$2:$C$100000=S_Curve_Data!M36) *
   (DRG_Status!$B$2:$B$100000=S_Curve_Data!$M$1)
)),0)/$N$1</f>
        <v>0</v>
      </c>
      <c r="O36" s="23" cm="1">
        <f t="array" ref="O36">IFERROR(ROWS(_xlfn._xlws.FILTER(
   DRG_Status!$A$2:$A$100000,
   (DRG_Status!$D$2:$D$100000=S_Curve_Data!M36) *
   (DRG_Status!$B$2:$B$100000=S_Curve_Data!$M$1)
)),0)/$N$1</f>
        <v>0</v>
      </c>
      <c r="P36" s="23" cm="1">
        <f t="array" ref="P36">IFERROR(ROWS(_xlfn._xlws.FILTER(
   DRG_Status!$A$2:$A$100000,
   (DRG_Status!$E$2:$E$100000=S_Curve_Data!M36) *
   (DRG_Status!$B$2:$B$100000=S_Curve_Data!$M$1)
)),0)/$N$1</f>
        <v>0</v>
      </c>
      <c r="Q36" s="23" cm="1">
        <f t="array" ref="Q36">IFERROR(ROWS(_xlfn._xlws.FILTER(
   DRG_Status!$A$2:$A$100000,
   (DRG_Status!$F$2:$F$100000=S_Curve_Data!M36) *
   (DRG_Status!$B$2:$B$100000=S_Curve_Data!$M$1)
)),0)/$N$1</f>
        <v>0</v>
      </c>
      <c r="T36" s="17">
        <f>Mappings!B35</f>
        <v>45894</v>
      </c>
      <c r="U36" s="23" t="e" cm="1">
        <f t="array" ref="U36">IFERROR(ROWS(_xlfn._xlws.FILTER(
   DRG_Status!$A$2:$A$100000,
   (DRG_Status!$C$2:$C$100000=S_Curve_Data!T36) *
   (DRG_Status!$B$2:$B$100000=S_Curve_Data!$T$1)
)),0)/$U$1</f>
        <v>#N/A</v>
      </c>
      <c r="V36" s="23" t="e" cm="1">
        <f t="array" ref="V36">IFERROR(ROWS(_xlfn._xlws.FILTER(
   DRG_Status!$A$2:$A$100000,
   (DRG_Status!$D$2:$D$100000=S_Curve_Data!T36) *
   (DRG_Status!$B$2:$B$100000=S_Curve_Data!$T$1)
)),0)/$U$1</f>
        <v>#N/A</v>
      </c>
      <c r="W36" s="23" t="e" cm="1">
        <f t="array" ref="W36">IFERROR(ROWS(_xlfn._xlws.FILTER(
   DRG_Status!$A$2:$A$100000,
   (DRG_Status!$E$2:$E$100000=S_Curve_Data!T36) *
   (DRG_Status!$B$2:$B$100000=S_Curve_Data!$T$1)
)),0)/$U$1</f>
        <v>#N/A</v>
      </c>
      <c r="X36" s="23" t="e" cm="1">
        <f t="array" ref="X36">IFERROR(ROWS(_xlfn._xlws.FILTER(
   DRG_Status!$A$2:$A$100000,
   (DRG_Status!$F$2:$F$100000=S_Curve_Data!T36) *
   (DRG_Status!$B$2:$B$100000=S_Curve_Data!$T$1)
)),0)/$U$1</f>
        <v>#N/A</v>
      </c>
    </row>
    <row r="37" spans="6:24">
      <c r="F37" s="17">
        <f>Mappings!B36</f>
        <v>45901</v>
      </c>
      <c r="G37" s="23" cm="1">
        <f t="array" ref="G37">IFERROR(ROWS(_xlfn._xlws.FILTER(
   DRG_Status!$A$2:$A$100000,
   (DRG_Status!$C$2:$C$100000=S_Curve_Data!F37) *
   (DRG_Status!$B$2:$B$100000=S_Curve_Data!$F$1)
)),0)/$G$1</f>
        <v>0</v>
      </c>
      <c r="H37" s="23" cm="1">
        <f t="array" ref="H37">IFERROR(ROWS(_xlfn._xlws.FILTER(
   DRG_Status!$A$2:$A$100000,
   (DRG_Status!$D$2:$D$100000=S_Curve_Data!F37) *
   (DRG_Status!$B$2:$B$100000=S_Curve_Data!$F$1)
)),0)/$G$1</f>
        <v>0</v>
      </c>
      <c r="I37" s="23" cm="1">
        <f t="array" ref="I37">IFERROR(ROWS(_xlfn._xlws.FILTER(
   DRG_Status!$A$2:$A$100000,
   (DRG_Status!$E$2:$E$100000=S_Curve_Data!F37) *
   (DRG_Status!$B$2:$B$100000=S_Curve_Data!$F$1)
)),0)/$G$1</f>
        <v>0</v>
      </c>
      <c r="J37" s="23" cm="1">
        <f t="array" ref="J37">IFERROR(ROWS(_xlfn._xlws.FILTER(
   DRG_Status!$A$2:$A$100000,
   (DRG_Status!$F$2:$F$100000=S_Curve_Data!F37) *
   (DRG_Status!$B$2:$B$100000=S_Curve_Data!$F$1)
)),0)/$G$1</f>
        <v>0</v>
      </c>
      <c r="M37" s="17">
        <f>Mappings!B36</f>
        <v>45901</v>
      </c>
      <c r="N37" s="23" cm="1">
        <f t="array" ref="N37">IFERROR(ROWS(_xlfn._xlws.FILTER(
   DRG_Status!$A$2:$A$100000,
   (DRG_Status!$C$2:$C$100000=S_Curve_Data!M37) *
   (DRG_Status!$B$2:$B$100000=S_Curve_Data!$M$1)
)),0)/$N$1</f>
        <v>0</v>
      </c>
      <c r="O37" s="23" cm="1">
        <f t="array" ref="O37">IFERROR(ROWS(_xlfn._xlws.FILTER(
   DRG_Status!$A$2:$A$100000,
   (DRG_Status!$D$2:$D$100000=S_Curve_Data!M37) *
   (DRG_Status!$B$2:$B$100000=S_Curve_Data!$M$1)
)),0)/$N$1</f>
        <v>0</v>
      </c>
      <c r="P37" s="23" cm="1">
        <f t="array" ref="P37">IFERROR(ROWS(_xlfn._xlws.FILTER(
   DRG_Status!$A$2:$A$100000,
   (DRG_Status!$E$2:$E$100000=S_Curve_Data!M37) *
   (DRG_Status!$B$2:$B$100000=S_Curve_Data!$M$1)
)),0)/$N$1</f>
        <v>0</v>
      </c>
      <c r="Q37" s="23" cm="1">
        <f t="array" ref="Q37">IFERROR(ROWS(_xlfn._xlws.FILTER(
   DRG_Status!$A$2:$A$100000,
   (DRG_Status!$F$2:$F$100000=S_Curve_Data!M37) *
   (DRG_Status!$B$2:$B$100000=S_Curve_Data!$M$1)
)),0)/$N$1</f>
        <v>0</v>
      </c>
      <c r="T37" s="17">
        <f>Mappings!B36</f>
        <v>45901</v>
      </c>
      <c r="U37" s="23" t="e" cm="1">
        <f t="array" ref="U37">IFERROR(ROWS(_xlfn._xlws.FILTER(
   DRG_Status!$A$2:$A$100000,
   (DRG_Status!$C$2:$C$100000=S_Curve_Data!T37) *
   (DRG_Status!$B$2:$B$100000=S_Curve_Data!$T$1)
)),0)/$U$1</f>
        <v>#N/A</v>
      </c>
      <c r="V37" s="23" t="e" cm="1">
        <f t="array" ref="V37">IFERROR(ROWS(_xlfn._xlws.FILTER(
   DRG_Status!$A$2:$A$100000,
   (DRG_Status!$D$2:$D$100000=S_Curve_Data!T37) *
   (DRG_Status!$B$2:$B$100000=S_Curve_Data!$T$1)
)),0)/$U$1</f>
        <v>#N/A</v>
      </c>
      <c r="W37" s="23" t="e" cm="1">
        <f t="array" ref="W37">IFERROR(ROWS(_xlfn._xlws.FILTER(
   DRG_Status!$A$2:$A$100000,
   (DRG_Status!$E$2:$E$100000=S_Curve_Data!T37) *
   (DRG_Status!$B$2:$B$100000=S_Curve_Data!$T$1)
)),0)/$U$1</f>
        <v>#N/A</v>
      </c>
      <c r="X37" s="23" t="e" cm="1">
        <f t="array" ref="X37">IFERROR(ROWS(_xlfn._xlws.FILTER(
   DRG_Status!$A$2:$A$100000,
   (DRG_Status!$F$2:$F$100000=S_Curve_Data!T37) *
   (DRG_Status!$B$2:$B$100000=S_Curve_Data!$T$1)
)),0)/$U$1</f>
        <v>#N/A</v>
      </c>
    </row>
    <row r="38" spans="6:24">
      <c r="F38" s="17">
        <f>Mappings!B37</f>
        <v>45908</v>
      </c>
      <c r="G38" s="23" cm="1">
        <f t="array" ref="G38">IFERROR(ROWS(_xlfn._xlws.FILTER(
   DRG_Status!$A$2:$A$100000,
   (DRG_Status!$C$2:$C$100000=S_Curve_Data!F38) *
   (DRG_Status!$B$2:$B$100000=S_Curve_Data!$F$1)
)),0)/$G$1</f>
        <v>0</v>
      </c>
      <c r="H38" s="23" cm="1">
        <f t="array" ref="H38">IFERROR(ROWS(_xlfn._xlws.FILTER(
   DRG_Status!$A$2:$A$100000,
   (DRG_Status!$D$2:$D$100000=S_Curve_Data!F38) *
   (DRG_Status!$B$2:$B$100000=S_Curve_Data!$F$1)
)),0)/$G$1</f>
        <v>0</v>
      </c>
      <c r="I38" s="23" cm="1">
        <f t="array" ref="I38">IFERROR(ROWS(_xlfn._xlws.FILTER(
   DRG_Status!$A$2:$A$100000,
   (DRG_Status!$E$2:$E$100000=S_Curve_Data!F38) *
   (DRG_Status!$B$2:$B$100000=S_Curve_Data!$F$1)
)),0)/$G$1</f>
        <v>0</v>
      </c>
      <c r="J38" s="23" cm="1">
        <f t="array" ref="J38">IFERROR(ROWS(_xlfn._xlws.FILTER(
   DRG_Status!$A$2:$A$100000,
   (DRG_Status!$F$2:$F$100000=S_Curve_Data!F38) *
   (DRG_Status!$B$2:$B$100000=S_Curve_Data!$F$1)
)),0)/$G$1</f>
        <v>0</v>
      </c>
      <c r="M38" s="17">
        <f>Mappings!B37</f>
        <v>45908</v>
      </c>
      <c r="N38" s="23" cm="1">
        <f t="array" ref="N38">IFERROR(ROWS(_xlfn._xlws.FILTER(
   DRG_Status!$A$2:$A$100000,
   (DRG_Status!$C$2:$C$100000=S_Curve_Data!M38) *
   (DRG_Status!$B$2:$B$100000=S_Curve_Data!$M$1)
)),0)/$N$1</f>
        <v>0</v>
      </c>
      <c r="O38" s="23" cm="1">
        <f t="array" ref="O38">IFERROR(ROWS(_xlfn._xlws.FILTER(
   DRG_Status!$A$2:$A$100000,
   (DRG_Status!$D$2:$D$100000=S_Curve_Data!M38) *
   (DRG_Status!$B$2:$B$100000=S_Curve_Data!$M$1)
)),0)/$N$1</f>
        <v>0</v>
      </c>
      <c r="P38" s="23" cm="1">
        <f t="array" ref="P38">IFERROR(ROWS(_xlfn._xlws.FILTER(
   DRG_Status!$A$2:$A$100000,
   (DRG_Status!$E$2:$E$100000=S_Curve_Data!M38) *
   (DRG_Status!$B$2:$B$100000=S_Curve_Data!$M$1)
)),0)/$N$1</f>
        <v>0</v>
      </c>
      <c r="Q38" s="23" cm="1">
        <f t="array" ref="Q38">IFERROR(ROWS(_xlfn._xlws.FILTER(
   DRG_Status!$A$2:$A$100000,
   (DRG_Status!$F$2:$F$100000=S_Curve_Data!M38) *
   (DRG_Status!$B$2:$B$100000=S_Curve_Data!$M$1)
)),0)/$N$1</f>
        <v>0</v>
      </c>
      <c r="T38" s="17">
        <f>Mappings!B37</f>
        <v>45908</v>
      </c>
      <c r="U38" s="23" t="e" cm="1">
        <f t="array" ref="U38">IFERROR(ROWS(_xlfn._xlws.FILTER(
   DRG_Status!$A$2:$A$100000,
   (DRG_Status!$C$2:$C$100000=S_Curve_Data!T38) *
   (DRG_Status!$B$2:$B$100000=S_Curve_Data!$T$1)
)),0)/$U$1</f>
        <v>#N/A</v>
      </c>
      <c r="V38" s="23" t="e" cm="1">
        <f t="array" ref="V38">IFERROR(ROWS(_xlfn._xlws.FILTER(
   DRG_Status!$A$2:$A$100000,
   (DRG_Status!$D$2:$D$100000=S_Curve_Data!T38) *
   (DRG_Status!$B$2:$B$100000=S_Curve_Data!$T$1)
)),0)/$U$1</f>
        <v>#N/A</v>
      </c>
      <c r="W38" s="23" t="e" cm="1">
        <f t="array" ref="W38">IFERROR(ROWS(_xlfn._xlws.FILTER(
   DRG_Status!$A$2:$A$100000,
   (DRG_Status!$E$2:$E$100000=S_Curve_Data!T38) *
   (DRG_Status!$B$2:$B$100000=S_Curve_Data!$T$1)
)),0)/$U$1</f>
        <v>#N/A</v>
      </c>
      <c r="X38" s="23" t="e" cm="1">
        <f t="array" ref="X38">IFERROR(ROWS(_xlfn._xlws.FILTER(
   DRG_Status!$A$2:$A$100000,
   (DRG_Status!$F$2:$F$100000=S_Curve_Data!T38) *
   (DRG_Status!$B$2:$B$100000=S_Curve_Data!$T$1)
)),0)/$U$1</f>
        <v>#N/A</v>
      </c>
    </row>
    <row r="39" spans="6:24">
      <c r="F39" s="17">
        <f>Mappings!B38</f>
        <v>45915</v>
      </c>
      <c r="G39" s="23" cm="1">
        <f t="array" ref="G39">IFERROR(ROWS(_xlfn._xlws.FILTER(
   DRG_Status!$A$2:$A$100000,
   (DRG_Status!$C$2:$C$100000=S_Curve_Data!F39) *
   (DRG_Status!$B$2:$B$100000=S_Curve_Data!$F$1)
)),0)/$G$1</f>
        <v>0</v>
      </c>
      <c r="H39" s="23" cm="1">
        <f t="array" ref="H39">IFERROR(ROWS(_xlfn._xlws.FILTER(
   DRG_Status!$A$2:$A$100000,
   (DRG_Status!$D$2:$D$100000=S_Curve_Data!F39) *
   (DRG_Status!$B$2:$B$100000=S_Curve_Data!$F$1)
)),0)/$G$1</f>
        <v>0</v>
      </c>
      <c r="I39" s="23" cm="1">
        <f t="array" ref="I39">IFERROR(ROWS(_xlfn._xlws.FILTER(
   DRG_Status!$A$2:$A$100000,
   (DRG_Status!$E$2:$E$100000=S_Curve_Data!F39) *
   (DRG_Status!$B$2:$B$100000=S_Curve_Data!$F$1)
)),0)/$G$1</f>
        <v>0</v>
      </c>
      <c r="J39" s="23" cm="1">
        <f t="array" ref="J39">IFERROR(ROWS(_xlfn._xlws.FILTER(
   DRG_Status!$A$2:$A$100000,
   (DRG_Status!$F$2:$F$100000=S_Curve_Data!F39) *
   (DRG_Status!$B$2:$B$100000=S_Curve_Data!$F$1)
)),0)/$G$1</f>
        <v>0</v>
      </c>
      <c r="M39" s="17">
        <f>Mappings!B38</f>
        <v>45915</v>
      </c>
      <c r="N39" s="23" cm="1">
        <f t="array" ref="N39">IFERROR(ROWS(_xlfn._xlws.FILTER(
   DRG_Status!$A$2:$A$100000,
   (DRG_Status!$C$2:$C$100000=S_Curve_Data!M39) *
   (DRG_Status!$B$2:$B$100000=S_Curve_Data!$M$1)
)),0)/$N$1</f>
        <v>0</v>
      </c>
      <c r="O39" s="23" cm="1">
        <f t="array" ref="O39">IFERROR(ROWS(_xlfn._xlws.FILTER(
   DRG_Status!$A$2:$A$100000,
   (DRG_Status!$D$2:$D$100000=S_Curve_Data!M39) *
   (DRG_Status!$B$2:$B$100000=S_Curve_Data!$M$1)
)),0)/$N$1</f>
        <v>0</v>
      </c>
      <c r="P39" s="23" cm="1">
        <f t="array" ref="P39">IFERROR(ROWS(_xlfn._xlws.FILTER(
   DRG_Status!$A$2:$A$100000,
   (DRG_Status!$E$2:$E$100000=S_Curve_Data!M39) *
   (DRG_Status!$B$2:$B$100000=S_Curve_Data!$M$1)
)),0)/$N$1</f>
        <v>0</v>
      </c>
      <c r="Q39" s="23" cm="1">
        <f t="array" ref="Q39">IFERROR(ROWS(_xlfn._xlws.FILTER(
   DRG_Status!$A$2:$A$100000,
   (DRG_Status!$F$2:$F$100000=S_Curve_Data!M39) *
   (DRG_Status!$B$2:$B$100000=S_Curve_Data!$M$1)
)),0)/$N$1</f>
        <v>0</v>
      </c>
      <c r="T39" s="17">
        <f>Mappings!B38</f>
        <v>45915</v>
      </c>
      <c r="U39" s="23" t="e" cm="1">
        <f t="array" ref="U39">IFERROR(ROWS(_xlfn._xlws.FILTER(
   DRG_Status!$A$2:$A$100000,
   (DRG_Status!$C$2:$C$100000=S_Curve_Data!T39) *
   (DRG_Status!$B$2:$B$100000=S_Curve_Data!$T$1)
)),0)/$U$1</f>
        <v>#N/A</v>
      </c>
      <c r="V39" s="23" t="e" cm="1">
        <f t="array" ref="V39">IFERROR(ROWS(_xlfn._xlws.FILTER(
   DRG_Status!$A$2:$A$100000,
   (DRG_Status!$D$2:$D$100000=S_Curve_Data!T39) *
   (DRG_Status!$B$2:$B$100000=S_Curve_Data!$T$1)
)),0)/$U$1</f>
        <v>#N/A</v>
      </c>
      <c r="W39" s="23" t="e" cm="1">
        <f t="array" ref="W39">IFERROR(ROWS(_xlfn._xlws.FILTER(
   DRG_Status!$A$2:$A$100000,
   (DRG_Status!$E$2:$E$100000=S_Curve_Data!T39) *
   (DRG_Status!$B$2:$B$100000=S_Curve_Data!$T$1)
)),0)/$U$1</f>
        <v>#N/A</v>
      </c>
      <c r="X39" s="23" t="e" cm="1">
        <f t="array" ref="X39">IFERROR(ROWS(_xlfn._xlws.FILTER(
   DRG_Status!$A$2:$A$100000,
   (DRG_Status!$F$2:$F$100000=S_Curve_Data!T39) *
   (DRG_Status!$B$2:$B$100000=S_Curve_Data!$T$1)
)),0)/$U$1</f>
        <v>#N/A</v>
      </c>
    </row>
    <row r="40" spans="6:24">
      <c r="F40" s="17">
        <f>Mappings!B39</f>
        <v>45922</v>
      </c>
      <c r="G40" s="23" cm="1">
        <f t="array" ref="G40">IFERROR(ROWS(_xlfn._xlws.FILTER(
   DRG_Status!$A$2:$A$100000,
   (DRG_Status!$C$2:$C$100000=S_Curve_Data!F40) *
   (DRG_Status!$B$2:$B$100000=S_Curve_Data!$F$1)
)),0)/$G$1</f>
        <v>0</v>
      </c>
      <c r="H40" s="23" cm="1">
        <f t="array" ref="H40">IFERROR(ROWS(_xlfn._xlws.FILTER(
   DRG_Status!$A$2:$A$100000,
   (DRG_Status!$D$2:$D$100000=S_Curve_Data!F40) *
   (DRG_Status!$B$2:$B$100000=S_Curve_Data!$F$1)
)),0)/$G$1</f>
        <v>0</v>
      </c>
      <c r="I40" s="23" cm="1">
        <f t="array" ref="I40">IFERROR(ROWS(_xlfn._xlws.FILTER(
   DRG_Status!$A$2:$A$100000,
   (DRG_Status!$E$2:$E$100000=S_Curve_Data!F40) *
   (DRG_Status!$B$2:$B$100000=S_Curve_Data!$F$1)
)),0)/$G$1</f>
        <v>0</v>
      </c>
      <c r="J40" s="23" cm="1">
        <f t="array" ref="J40">IFERROR(ROWS(_xlfn._xlws.FILTER(
   DRG_Status!$A$2:$A$100000,
   (DRG_Status!$F$2:$F$100000=S_Curve_Data!F40) *
   (DRG_Status!$B$2:$B$100000=S_Curve_Data!$F$1)
)),0)/$G$1</f>
        <v>0</v>
      </c>
      <c r="M40" s="17">
        <f>Mappings!B39</f>
        <v>45922</v>
      </c>
      <c r="N40" s="23" cm="1">
        <f t="array" ref="N40">IFERROR(ROWS(_xlfn._xlws.FILTER(
   DRG_Status!$A$2:$A$100000,
   (DRG_Status!$C$2:$C$100000=S_Curve_Data!M40) *
   (DRG_Status!$B$2:$B$100000=S_Curve_Data!$M$1)
)),0)/$N$1</f>
        <v>0</v>
      </c>
      <c r="O40" s="23" cm="1">
        <f t="array" ref="O40">IFERROR(ROWS(_xlfn._xlws.FILTER(
   DRG_Status!$A$2:$A$100000,
   (DRG_Status!$D$2:$D$100000=S_Curve_Data!M40) *
   (DRG_Status!$B$2:$B$100000=S_Curve_Data!$M$1)
)),0)/$N$1</f>
        <v>0</v>
      </c>
      <c r="P40" s="23" cm="1">
        <f t="array" ref="P40">IFERROR(ROWS(_xlfn._xlws.FILTER(
   DRG_Status!$A$2:$A$100000,
   (DRG_Status!$E$2:$E$100000=S_Curve_Data!M40) *
   (DRG_Status!$B$2:$B$100000=S_Curve_Data!$M$1)
)),0)/$N$1</f>
        <v>0</v>
      </c>
      <c r="Q40" s="23" cm="1">
        <f t="array" ref="Q40">IFERROR(ROWS(_xlfn._xlws.FILTER(
   DRG_Status!$A$2:$A$100000,
   (DRG_Status!$F$2:$F$100000=S_Curve_Data!M40) *
   (DRG_Status!$B$2:$B$100000=S_Curve_Data!$M$1)
)),0)/$N$1</f>
        <v>0</v>
      </c>
      <c r="T40" s="17">
        <f>Mappings!B39</f>
        <v>45922</v>
      </c>
      <c r="U40" s="23" t="e" cm="1">
        <f t="array" ref="U40">IFERROR(ROWS(_xlfn._xlws.FILTER(
   DRG_Status!$A$2:$A$100000,
   (DRG_Status!$C$2:$C$100000=S_Curve_Data!T40) *
   (DRG_Status!$B$2:$B$100000=S_Curve_Data!$T$1)
)),0)/$U$1</f>
        <v>#N/A</v>
      </c>
      <c r="V40" s="23" t="e" cm="1">
        <f t="array" ref="V40">IFERROR(ROWS(_xlfn._xlws.FILTER(
   DRG_Status!$A$2:$A$100000,
   (DRG_Status!$D$2:$D$100000=S_Curve_Data!T40) *
   (DRG_Status!$B$2:$B$100000=S_Curve_Data!$T$1)
)),0)/$U$1</f>
        <v>#N/A</v>
      </c>
      <c r="W40" s="23" t="e" cm="1">
        <f t="array" ref="W40">IFERROR(ROWS(_xlfn._xlws.FILTER(
   DRG_Status!$A$2:$A$100000,
   (DRG_Status!$E$2:$E$100000=S_Curve_Data!T40) *
   (DRG_Status!$B$2:$B$100000=S_Curve_Data!$T$1)
)),0)/$U$1</f>
        <v>#N/A</v>
      </c>
      <c r="X40" s="23" t="e" cm="1">
        <f t="array" ref="X40">IFERROR(ROWS(_xlfn._xlws.FILTER(
   DRG_Status!$A$2:$A$100000,
   (DRG_Status!$F$2:$F$100000=S_Curve_Data!T40) *
   (DRG_Status!$B$2:$B$100000=S_Curve_Data!$T$1)
)),0)/$U$1</f>
        <v>#N/A</v>
      </c>
    </row>
    <row r="41" spans="6:24">
      <c r="F41" s="17">
        <f>Mappings!B40</f>
        <v>45929</v>
      </c>
      <c r="G41" s="23" cm="1">
        <f t="array" ref="G41">IFERROR(ROWS(_xlfn._xlws.FILTER(
   DRG_Status!$A$2:$A$100000,
   (DRG_Status!$C$2:$C$100000=S_Curve_Data!F41) *
   (DRG_Status!$B$2:$B$100000=S_Curve_Data!$F$1)
)),0)/$G$1</f>
        <v>0</v>
      </c>
      <c r="H41" s="23" cm="1">
        <f t="array" ref="H41">IFERROR(ROWS(_xlfn._xlws.FILTER(
   DRG_Status!$A$2:$A$100000,
   (DRG_Status!$D$2:$D$100000=S_Curve_Data!F41) *
   (DRG_Status!$B$2:$B$100000=S_Curve_Data!$F$1)
)),0)/$G$1</f>
        <v>0</v>
      </c>
      <c r="I41" s="23" cm="1">
        <f t="array" ref="I41">IFERROR(ROWS(_xlfn._xlws.FILTER(
   DRG_Status!$A$2:$A$100000,
   (DRG_Status!$E$2:$E$100000=S_Curve_Data!F41) *
   (DRG_Status!$B$2:$B$100000=S_Curve_Data!$F$1)
)),0)/$G$1</f>
        <v>0</v>
      </c>
      <c r="J41" s="23" cm="1">
        <f t="array" ref="J41">IFERROR(ROWS(_xlfn._xlws.FILTER(
   DRG_Status!$A$2:$A$100000,
   (DRG_Status!$F$2:$F$100000=S_Curve_Data!F41) *
   (DRG_Status!$B$2:$B$100000=S_Curve_Data!$F$1)
)),0)/$G$1</f>
        <v>0</v>
      </c>
      <c r="M41" s="17">
        <f>Mappings!B40</f>
        <v>45929</v>
      </c>
      <c r="N41" s="23" cm="1">
        <f t="array" ref="N41">IFERROR(ROWS(_xlfn._xlws.FILTER(
   DRG_Status!$A$2:$A$100000,
   (DRG_Status!$C$2:$C$100000=S_Curve_Data!M41) *
   (DRG_Status!$B$2:$B$100000=S_Curve_Data!$M$1)
)),0)/$N$1</f>
        <v>0</v>
      </c>
      <c r="O41" s="23" cm="1">
        <f t="array" ref="O41">IFERROR(ROWS(_xlfn._xlws.FILTER(
   DRG_Status!$A$2:$A$100000,
   (DRG_Status!$D$2:$D$100000=S_Curve_Data!M41) *
   (DRG_Status!$B$2:$B$100000=S_Curve_Data!$M$1)
)),0)/$N$1</f>
        <v>0</v>
      </c>
      <c r="P41" s="23" cm="1">
        <f t="array" ref="P41">IFERROR(ROWS(_xlfn._xlws.FILTER(
   DRG_Status!$A$2:$A$100000,
   (DRG_Status!$E$2:$E$100000=S_Curve_Data!M41) *
   (DRG_Status!$B$2:$B$100000=S_Curve_Data!$M$1)
)),0)/$N$1</f>
        <v>0</v>
      </c>
      <c r="Q41" s="23" cm="1">
        <f t="array" ref="Q41">IFERROR(ROWS(_xlfn._xlws.FILTER(
   DRG_Status!$A$2:$A$100000,
   (DRG_Status!$F$2:$F$100000=S_Curve_Data!M41) *
   (DRG_Status!$B$2:$B$100000=S_Curve_Data!$M$1)
)),0)/$N$1</f>
        <v>0</v>
      </c>
      <c r="T41" s="17">
        <f>Mappings!B40</f>
        <v>45929</v>
      </c>
      <c r="U41" s="23" t="e" cm="1">
        <f t="array" ref="U41">IFERROR(ROWS(_xlfn._xlws.FILTER(
   DRG_Status!$A$2:$A$100000,
   (DRG_Status!$C$2:$C$100000=S_Curve_Data!T41) *
   (DRG_Status!$B$2:$B$100000=S_Curve_Data!$T$1)
)),0)/$U$1</f>
        <v>#N/A</v>
      </c>
      <c r="V41" s="23" t="e" cm="1">
        <f t="array" ref="V41">IFERROR(ROWS(_xlfn._xlws.FILTER(
   DRG_Status!$A$2:$A$100000,
   (DRG_Status!$D$2:$D$100000=S_Curve_Data!T41) *
   (DRG_Status!$B$2:$B$100000=S_Curve_Data!$T$1)
)),0)/$U$1</f>
        <v>#N/A</v>
      </c>
      <c r="W41" s="23" t="e" cm="1">
        <f t="array" ref="W41">IFERROR(ROWS(_xlfn._xlws.FILTER(
   DRG_Status!$A$2:$A$100000,
   (DRG_Status!$E$2:$E$100000=S_Curve_Data!T41) *
   (DRG_Status!$B$2:$B$100000=S_Curve_Data!$T$1)
)),0)/$U$1</f>
        <v>#N/A</v>
      </c>
      <c r="X41" s="23" t="e" cm="1">
        <f t="array" ref="X41">IFERROR(ROWS(_xlfn._xlws.FILTER(
   DRG_Status!$A$2:$A$100000,
   (DRG_Status!$F$2:$F$100000=S_Curve_Data!T41) *
   (DRG_Status!$B$2:$B$100000=S_Curve_Data!$T$1)
)),0)/$U$1</f>
        <v>#N/A</v>
      </c>
    </row>
    <row r="42" spans="6:24">
      <c r="F42" s="17">
        <f>Mappings!B41</f>
        <v>45936</v>
      </c>
      <c r="G42" s="23" cm="1">
        <f t="array" ref="G42">IFERROR(ROWS(_xlfn._xlws.FILTER(
   DRG_Status!$A$2:$A$100000,
   (DRG_Status!$C$2:$C$100000=S_Curve_Data!F42) *
   (DRG_Status!$B$2:$B$100000=S_Curve_Data!$F$1)
)),0)/$G$1</f>
        <v>0</v>
      </c>
      <c r="H42" s="23" cm="1">
        <f t="array" ref="H42">IFERROR(ROWS(_xlfn._xlws.FILTER(
   DRG_Status!$A$2:$A$100000,
   (DRG_Status!$D$2:$D$100000=S_Curve_Data!F42) *
   (DRG_Status!$B$2:$B$100000=S_Curve_Data!$F$1)
)),0)/$G$1</f>
        <v>0</v>
      </c>
      <c r="I42" s="23" cm="1">
        <f t="array" ref="I42">IFERROR(ROWS(_xlfn._xlws.FILTER(
   DRG_Status!$A$2:$A$100000,
   (DRG_Status!$E$2:$E$100000=S_Curve_Data!F42) *
   (DRG_Status!$B$2:$B$100000=S_Curve_Data!$F$1)
)),0)/$G$1</f>
        <v>0</v>
      </c>
      <c r="J42" s="23" cm="1">
        <f t="array" ref="J42">IFERROR(ROWS(_xlfn._xlws.FILTER(
   DRG_Status!$A$2:$A$100000,
   (DRG_Status!$F$2:$F$100000=S_Curve_Data!F42) *
   (DRG_Status!$B$2:$B$100000=S_Curve_Data!$F$1)
)),0)/$G$1</f>
        <v>0</v>
      </c>
      <c r="M42" s="17">
        <f>Mappings!B41</f>
        <v>45936</v>
      </c>
      <c r="N42" s="23" cm="1">
        <f t="array" ref="N42">IFERROR(ROWS(_xlfn._xlws.FILTER(
   DRG_Status!$A$2:$A$100000,
   (DRG_Status!$C$2:$C$100000=S_Curve_Data!M42) *
   (DRG_Status!$B$2:$B$100000=S_Curve_Data!$M$1)
)),0)/$N$1</f>
        <v>0</v>
      </c>
      <c r="O42" s="23" cm="1">
        <f t="array" ref="O42">IFERROR(ROWS(_xlfn._xlws.FILTER(
   DRG_Status!$A$2:$A$100000,
   (DRG_Status!$D$2:$D$100000=S_Curve_Data!M42) *
   (DRG_Status!$B$2:$B$100000=S_Curve_Data!$M$1)
)),0)/$N$1</f>
        <v>0</v>
      </c>
      <c r="P42" s="23" cm="1">
        <f t="array" ref="P42">IFERROR(ROWS(_xlfn._xlws.FILTER(
   DRG_Status!$A$2:$A$100000,
   (DRG_Status!$E$2:$E$100000=S_Curve_Data!M42) *
   (DRG_Status!$B$2:$B$100000=S_Curve_Data!$M$1)
)),0)/$N$1</f>
        <v>0</v>
      </c>
      <c r="Q42" s="23" cm="1">
        <f t="array" ref="Q42">IFERROR(ROWS(_xlfn._xlws.FILTER(
   DRG_Status!$A$2:$A$100000,
   (DRG_Status!$F$2:$F$100000=S_Curve_Data!M42) *
   (DRG_Status!$B$2:$B$100000=S_Curve_Data!$M$1)
)),0)/$N$1</f>
        <v>0</v>
      </c>
      <c r="T42" s="17">
        <f>Mappings!B41</f>
        <v>45936</v>
      </c>
      <c r="U42" s="23" t="e" cm="1">
        <f t="array" ref="U42">IFERROR(ROWS(_xlfn._xlws.FILTER(
   DRG_Status!$A$2:$A$100000,
   (DRG_Status!$C$2:$C$100000=S_Curve_Data!T42) *
   (DRG_Status!$B$2:$B$100000=S_Curve_Data!$T$1)
)),0)/$U$1</f>
        <v>#N/A</v>
      </c>
      <c r="V42" s="23" t="e" cm="1">
        <f t="array" ref="V42">IFERROR(ROWS(_xlfn._xlws.FILTER(
   DRG_Status!$A$2:$A$100000,
   (DRG_Status!$D$2:$D$100000=S_Curve_Data!T42) *
   (DRG_Status!$B$2:$B$100000=S_Curve_Data!$T$1)
)),0)/$U$1</f>
        <v>#N/A</v>
      </c>
      <c r="W42" s="23" t="e" cm="1">
        <f t="array" ref="W42">IFERROR(ROWS(_xlfn._xlws.FILTER(
   DRG_Status!$A$2:$A$100000,
   (DRG_Status!$E$2:$E$100000=S_Curve_Data!T42) *
   (DRG_Status!$B$2:$B$100000=S_Curve_Data!$T$1)
)),0)/$U$1</f>
        <v>#N/A</v>
      </c>
      <c r="X42" s="23" t="e" cm="1">
        <f t="array" ref="X42">IFERROR(ROWS(_xlfn._xlws.FILTER(
   DRG_Status!$A$2:$A$100000,
   (DRG_Status!$F$2:$F$100000=S_Curve_Data!T42) *
   (DRG_Status!$B$2:$B$100000=S_Curve_Data!$T$1)
)),0)/$U$1</f>
        <v>#N/A</v>
      </c>
    </row>
    <row r="43" spans="6:24">
      <c r="F43" s="17">
        <f>Mappings!B42</f>
        <v>45943</v>
      </c>
      <c r="G43" s="23" cm="1">
        <f t="array" ref="G43">IFERROR(ROWS(_xlfn._xlws.FILTER(
   DRG_Status!$A$2:$A$100000,
   (DRG_Status!$C$2:$C$100000=S_Curve_Data!F43) *
   (DRG_Status!$B$2:$B$100000=S_Curve_Data!$F$1)
)),0)/$G$1</f>
        <v>0</v>
      </c>
      <c r="H43" s="23" cm="1">
        <f t="array" ref="H43">IFERROR(ROWS(_xlfn._xlws.FILTER(
   DRG_Status!$A$2:$A$100000,
   (DRG_Status!$D$2:$D$100000=S_Curve_Data!F43) *
   (DRG_Status!$B$2:$B$100000=S_Curve_Data!$F$1)
)),0)/$G$1</f>
        <v>0</v>
      </c>
      <c r="I43" s="23" cm="1">
        <f t="array" ref="I43">IFERROR(ROWS(_xlfn._xlws.FILTER(
   DRG_Status!$A$2:$A$100000,
   (DRG_Status!$E$2:$E$100000=S_Curve_Data!F43) *
   (DRG_Status!$B$2:$B$100000=S_Curve_Data!$F$1)
)),0)/$G$1</f>
        <v>0</v>
      </c>
      <c r="J43" s="23" cm="1">
        <f t="array" ref="J43">IFERROR(ROWS(_xlfn._xlws.FILTER(
   DRG_Status!$A$2:$A$100000,
   (DRG_Status!$F$2:$F$100000=S_Curve_Data!F43) *
   (DRG_Status!$B$2:$B$100000=S_Curve_Data!$F$1)
)),0)/$G$1</f>
        <v>0</v>
      </c>
      <c r="M43" s="17">
        <f>Mappings!B42</f>
        <v>45943</v>
      </c>
      <c r="N43" s="23" cm="1">
        <f t="array" ref="N43">IFERROR(ROWS(_xlfn._xlws.FILTER(
   DRG_Status!$A$2:$A$100000,
   (DRG_Status!$C$2:$C$100000=S_Curve_Data!M43) *
   (DRG_Status!$B$2:$B$100000=S_Curve_Data!$M$1)
)),0)/$N$1</f>
        <v>0</v>
      </c>
      <c r="O43" s="23" cm="1">
        <f t="array" ref="O43">IFERROR(ROWS(_xlfn._xlws.FILTER(
   DRG_Status!$A$2:$A$100000,
   (DRG_Status!$D$2:$D$100000=S_Curve_Data!M43) *
   (DRG_Status!$B$2:$B$100000=S_Curve_Data!$M$1)
)),0)/$N$1</f>
        <v>0</v>
      </c>
      <c r="P43" s="23" cm="1">
        <f t="array" ref="P43">IFERROR(ROWS(_xlfn._xlws.FILTER(
   DRG_Status!$A$2:$A$100000,
   (DRG_Status!$E$2:$E$100000=S_Curve_Data!M43) *
   (DRG_Status!$B$2:$B$100000=S_Curve_Data!$M$1)
)),0)/$N$1</f>
        <v>0</v>
      </c>
      <c r="Q43" s="23" cm="1">
        <f t="array" ref="Q43">IFERROR(ROWS(_xlfn._xlws.FILTER(
   DRG_Status!$A$2:$A$100000,
   (DRG_Status!$F$2:$F$100000=S_Curve_Data!M43) *
   (DRG_Status!$B$2:$B$100000=S_Curve_Data!$M$1)
)),0)/$N$1</f>
        <v>0</v>
      </c>
      <c r="T43" s="17">
        <f>Mappings!B42</f>
        <v>45943</v>
      </c>
      <c r="U43" s="23" t="e" cm="1">
        <f t="array" ref="U43">IFERROR(ROWS(_xlfn._xlws.FILTER(
   DRG_Status!$A$2:$A$100000,
   (DRG_Status!$C$2:$C$100000=S_Curve_Data!T43) *
   (DRG_Status!$B$2:$B$100000=S_Curve_Data!$T$1)
)),0)/$U$1</f>
        <v>#N/A</v>
      </c>
      <c r="V43" s="23" t="e" cm="1">
        <f t="array" ref="V43">IFERROR(ROWS(_xlfn._xlws.FILTER(
   DRG_Status!$A$2:$A$100000,
   (DRG_Status!$D$2:$D$100000=S_Curve_Data!T43) *
   (DRG_Status!$B$2:$B$100000=S_Curve_Data!$T$1)
)),0)/$U$1</f>
        <v>#N/A</v>
      </c>
      <c r="W43" s="23" t="e" cm="1">
        <f t="array" ref="W43">IFERROR(ROWS(_xlfn._xlws.FILTER(
   DRG_Status!$A$2:$A$100000,
   (DRG_Status!$E$2:$E$100000=S_Curve_Data!T43) *
   (DRG_Status!$B$2:$B$100000=S_Curve_Data!$T$1)
)),0)/$U$1</f>
        <v>#N/A</v>
      </c>
      <c r="X43" s="23" t="e" cm="1">
        <f t="array" ref="X43">IFERROR(ROWS(_xlfn._xlws.FILTER(
   DRG_Status!$A$2:$A$100000,
   (DRG_Status!$F$2:$F$100000=S_Curve_Data!T43) *
   (DRG_Status!$B$2:$B$100000=S_Curve_Data!$T$1)
)),0)/$U$1</f>
        <v>#N/A</v>
      </c>
    </row>
    <row r="44" spans="6:24">
      <c r="F44" s="17">
        <f>Mappings!B43</f>
        <v>45950</v>
      </c>
      <c r="G44" s="23" cm="1">
        <f t="array" ref="G44">IFERROR(ROWS(_xlfn._xlws.FILTER(
   DRG_Status!$A$2:$A$100000,
   (DRG_Status!$C$2:$C$100000=S_Curve_Data!F44) *
   (DRG_Status!$B$2:$B$100000=S_Curve_Data!$F$1)
)),0)/$G$1</f>
        <v>0</v>
      </c>
      <c r="H44" s="23" cm="1">
        <f t="array" ref="H44">IFERROR(ROWS(_xlfn._xlws.FILTER(
   DRG_Status!$A$2:$A$100000,
   (DRG_Status!$D$2:$D$100000=S_Curve_Data!F44) *
   (DRG_Status!$B$2:$B$100000=S_Curve_Data!$F$1)
)),0)/$G$1</f>
        <v>0</v>
      </c>
      <c r="I44" s="23" cm="1">
        <f t="array" ref="I44">IFERROR(ROWS(_xlfn._xlws.FILTER(
   DRG_Status!$A$2:$A$100000,
   (DRG_Status!$E$2:$E$100000=S_Curve_Data!F44) *
   (DRG_Status!$B$2:$B$100000=S_Curve_Data!$F$1)
)),0)/$G$1</f>
        <v>0</v>
      </c>
      <c r="J44" s="23" cm="1">
        <f t="array" ref="J44">IFERROR(ROWS(_xlfn._xlws.FILTER(
   DRG_Status!$A$2:$A$100000,
   (DRG_Status!$F$2:$F$100000=S_Curve_Data!F44) *
   (DRG_Status!$B$2:$B$100000=S_Curve_Data!$F$1)
)),0)/$G$1</f>
        <v>0</v>
      </c>
      <c r="M44" s="17">
        <f>Mappings!B43</f>
        <v>45950</v>
      </c>
      <c r="N44" s="23" cm="1">
        <f t="array" ref="N44">IFERROR(ROWS(_xlfn._xlws.FILTER(
   DRG_Status!$A$2:$A$100000,
   (DRG_Status!$C$2:$C$100000=S_Curve_Data!M44) *
   (DRG_Status!$B$2:$B$100000=S_Curve_Data!$M$1)
)),0)/$N$1</f>
        <v>0</v>
      </c>
      <c r="O44" s="23" cm="1">
        <f t="array" ref="O44">IFERROR(ROWS(_xlfn._xlws.FILTER(
   DRG_Status!$A$2:$A$100000,
   (DRG_Status!$D$2:$D$100000=S_Curve_Data!M44) *
   (DRG_Status!$B$2:$B$100000=S_Curve_Data!$M$1)
)),0)/$N$1</f>
        <v>0</v>
      </c>
      <c r="P44" s="23" cm="1">
        <f t="array" ref="P44">IFERROR(ROWS(_xlfn._xlws.FILTER(
   DRG_Status!$A$2:$A$100000,
   (DRG_Status!$E$2:$E$100000=S_Curve_Data!M44) *
   (DRG_Status!$B$2:$B$100000=S_Curve_Data!$M$1)
)),0)/$N$1</f>
        <v>0</v>
      </c>
      <c r="Q44" s="23" cm="1">
        <f t="array" ref="Q44">IFERROR(ROWS(_xlfn._xlws.FILTER(
   DRG_Status!$A$2:$A$100000,
   (DRG_Status!$F$2:$F$100000=S_Curve_Data!M44) *
   (DRG_Status!$B$2:$B$100000=S_Curve_Data!$M$1)
)),0)/$N$1</f>
        <v>0</v>
      </c>
      <c r="T44" s="17">
        <f>Mappings!B43</f>
        <v>45950</v>
      </c>
      <c r="U44" s="23" t="e" cm="1">
        <f t="array" ref="U44">IFERROR(ROWS(_xlfn._xlws.FILTER(
   DRG_Status!$A$2:$A$100000,
   (DRG_Status!$C$2:$C$100000=S_Curve_Data!T44) *
   (DRG_Status!$B$2:$B$100000=S_Curve_Data!$T$1)
)),0)/$U$1</f>
        <v>#N/A</v>
      </c>
      <c r="V44" s="23" t="e" cm="1">
        <f t="array" ref="V44">IFERROR(ROWS(_xlfn._xlws.FILTER(
   DRG_Status!$A$2:$A$100000,
   (DRG_Status!$D$2:$D$100000=S_Curve_Data!T44) *
   (DRG_Status!$B$2:$B$100000=S_Curve_Data!$T$1)
)),0)/$U$1</f>
        <v>#N/A</v>
      </c>
      <c r="W44" s="23" t="e" cm="1">
        <f t="array" ref="W44">IFERROR(ROWS(_xlfn._xlws.FILTER(
   DRG_Status!$A$2:$A$100000,
   (DRG_Status!$E$2:$E$100000=S_Curve_Data!T44) *
   (DRG_Status!$B$2:$B$100000=S_Curve_Data!$T$1)
)),0)/$U$1</f>
        <v>#N/A</v>
      </c>
      <c r="X44" s="23" t="e" cm="1">
        <f t="array" ref="X44">IFERROR(ROWS(_xlfn._xlws.FILTER(
   DRG_Status!$A$2:$A$100000,
   (DRG_Status!$F$2:$F$100000=S_Curve_Data!T44) *
   (DRG_Status!$B$2:$B$100000=S_Curve_Data!$T$1)
)),0)/$U$1</f>
        <v>#N/A</v>
      </c>
    </row>
    <row r="45" spans="6:24">
      <c r="F45" s="17">
        <f>Mappings!B44</f>
        <v>45957</v>
      </c>
      <c r="G45" s="23" cm="1">
        <f t="array" ref="G45">IFERROR(ROWS(_xlfn._xlws.FILTER(
   DRG_Status!$A$2:$A$100000,
   (DRG_Status!$C$2:$C$100000=S_Curve_Data!F45) *
   (DRG_Status!$B$2:$B$100000=S_Curve_Data!$F$1)
)),0)/$G$1</f>
        <v>0</v>
      </c>
      <c r="H45" s="23" cm="1">
        <f t="array" ref="H45">IFERROR(ROWS(_xlfn._xlws.FILTER(
   DRG_Status!$A$2:$A$100000,
   (DRG_Status!$D$2:$D$100000=S_Curve_Data!F45) *
   (DRG_Status!$B$2:$B$100000=S_Curve_Data!$F$1)
)),0)/$G$1</f>
        <v>0</v>
      </c>
      <c r="I45" s="23" cm="1">
        <f t="array" ref="I45">IFERROR(ROWS(_xlfn._xlws.FILTER(
   DRG_Status!$A$2:$A$100000,
   (DRG_Status!$E$2:$E$100000=S_Curve_Data!F45) *
   (DRG_Status!$B$2:$B$100000=S_Curve_Data!$F$1)
)),0)/$G$1</f>
        <v>0</v>
      </c>
      <c r="J45" s="23" cm="1">
        <f t="array" ref="J45">IFERROR(ROWS(_xlfn._xlws.FILTER(
   DRG_Status!$A$2:$A$100000,
   (DRG_Status!$F$2:$F$100000=S_Curve_Data!F45) *
   (DRG_Status!$B$2:$B$100000=S_Curve_Data!$F$1)
)),0)/$G$1</f>
        <v>0</v>
      </c>
      <c r="M45" s="17">
        <f>Mappings!B44</f>
        <v>45957</v>
      </c>
      <c r="N45" s="23" cm="1">
        <f t="array" ref="N45">IFERROR(ROWS(_xlfn._xlws.FILTER(
   DRG_Status!$A$2:$A$100000,
   (DRG_Status!$C$2:$C$100000=S_Curve_Data!M45) *
   (DRG_Status!$B$2:$B$100000=S_Curve_Data!$M$1)
)),0)/$N$1</f>
        <v>0</v>
      </c>
      <c r="O45" s="23" cm="1">
        <f t="array" ref="O45">IFERROR(ROWS(_xlfn._xlws.FILTER(
   DRG_Status!$A$2:$A$100000,
   (DRG_Status!$D$2:$D$100000=S_Curve_Data!M45) *
   (DRG_Status!$B$2:$B$100000=S_Curve_Data!$M$1)
)),0)/$N$1</f>
        <v>0</v>
      </c>
      <c r="P45" s="23" cm="1">
        <f t="array" ref="P45">IFERROR(ROWS(_xlfn._xlws.FILTER(
   DRG_Status!$A$2:$A$100000,
   (DRG_Status!$E$2:$E$100000=S_Curve_Data!M45) *
   (DRG_Status!$B$2:$B$100000=S_Curve_Data!$M$1)
)),0)/$N$1</f>
        <v>0</v>
      </c>
      <c r="Q45" s="23" cm="1">
        <f t="array" ref="Q45">IFERROR(ROWS(_xlfn._xlws.FILTER(
   DRG_Status!$A$2:$A$100000,
   (DRG_Status!$F$2:$F$100000=S_Curve_Data!M45) *
   (DRG_Status!$B$2:$B$100000=S_Curve_Data!$M$1)
)),0)/$N$1</f>
        <v>0</v>
      </c>
      <c r="T45" s="17">
        <f>Mappings!B44</f>
        <v>45957</v>
      </c>
      <c r="U45" s="23" t="e" cm="1">
        <f t="array" ref="U45">IFERROR(ROWS(_xlfn._xlws.FILTER(
   DRG_Status!$A$2:$A$100000,
   (DRG_Status!$C$2:$C$100000=S_Curve_Data!T45) *
   (DRG_Status!$B$2:$B$100000=S_Curve_Data!$T$1)
)),0)/$U$1</f>
        <v>#N/A</v>
      </c>
      <c r="V45" s="23" t="e" cm="1">
        <f t="array" ref="V45">IFERROR(ROWS(_xlfn._xlws.FILTER(
   DRG_Status!$A$2:$A$100000,
   (DRG_Status!$D$2:$D$100000=S_Curve_Data!T45) *
   (DRG_Status!$B$2:$B$100000=S_Curve_Data!$T$1)
)),0)/$U$1</f>
        <v>#N/A</v>
      </c>
      <c r="W45" s="23" t="e" cm="1">
        <f t="array" ref="W45">IFERROR(ROWS(_xlfn._xlws.FILTER(
   DRG_Status!$A$2:$A$100000,
   (DRG_Status!$E$2:$E$100000=S_Curve_Data!T45) *
   (DRG_Status!$B$2:$B$100000=S_Curve_Data!$T$1)
)),0)/$U$1</f>
        <v>#N/A</v>
      </c>
      <c r="X45" s="23" t="e" cm="1">
        <f t="array" ref="X45">IFERROR(ROWS(_xlfn._xlws.FILTER(
   DRG_Status!$A$2:$A$100000,
   (DRG_Status!$F$2:$F$100000=S_Curve_Data!T45) *
   (DRG_Status!$B$2:$B$100000=S_Curve_Data!$T$1)
)),0)/$U$1</f>
        <v>#N/A</v>
      </c>
    </row>
    <row r="46" spans="6:24">
      <c r="F46" s="17">
        <f>Mappings!B45</f>
        <v>45964</v>
      </c>
      <c r="G46" s="23" cm="1">
        <f t="array" ref="G46">IFERROR(ROWS(_xlfn._xlws.FILTER(
   DRG_Status!$A$2:$A$100000,
   (DRG_Status!$C$2:$C$100000=S_Curve_Data!F46) *
   (DRG_Status!$B$2:$B$100000=S_Curve_Data!$F$1)
)),0)/$G$1</f>
        <v>0</v>
      </c>
      <c r="H46" s="23" cm="1">
        <f t="array" ref="H46">IFERROR(ROWS(_xlfn._xlws.FILTER(
   DRG_Status!$A$2:$A$100000,
   (DRG_Status!$D$2:$D$100000=S_Curve_Data!F46) *
   (DRG_Status!$B$2:$B$100000=S_Curve_Data!$F$1)
)),0)/$G$1</f>
        <v>0</v>
      </c>
      <c r="I46" s="23" cm="1">
        <f t="array" ref="I46">IFERROR(ROWS(_xlfn._xlws.FILTER(
   DRG_Status!$A$2:$A$100000,
   (DRG_Status!$E$2:$E$100000=S_Curve_Data!F46) *
   (DRG_Status!$B$2:$B$100000=S_Curve_Data!$F$1)
)),0)/$G$1</f>
        <v>0</v>
      </c>
      <c r="J46" s="23" cm="1">
        <f t="array" ref="J46">IFERROR(ROWS(_xlfn._xlws.FILTER(
   DRG_Status!$A$2:$A$100000,
   (DRG_Status!$F$2:$F$100000=S_Curve_Data!F46) *
   (DRG_Status!$B$2:$B$100000=S_Curve_Data!$F$1)
)),0)/$G$1</f>
        <v>0</v>
      </c>
      <c r="M46" s="17">
        <f>Mappings!B45</f>
        <v>45964</v>
      </c>
      <c r="N46" s="23" cm="1">
        <f t="array" ref="N46">IFERROR(ROWS(_xlfn._xlws.FILTER(
   DRG_Status!$A$2:$A$100000,
   (DRG_Status!$C$2:$C$100000=S_Curve_Data!M46) *
   (DRG_Status!$B$2:$B$100000=S_Curve_Data!$M$1)
)),0)/$N$1</f>
        <v>0</v>
      </c>
      <c r="O46" s="23" cm="1">
        <f t="array" ref="O46">IFERROR(ROWS(_xlfn._xlws.FILTER(
   DRG_Status!$A$2:$A$100000,
   (DRG_Status!$D$2:$D$100000=S_Curve_Data!M46) *
   (DRG_Status!$B$2:$B$100000=S_Curve_Data!$M$1)
)),0)/$N$1</f>
        <v>0</v>
      </c>
      <c r="P46" s="23" cm="1">
        <f t="array" ref="P46">IFERROR(ROWS(_xlfn._xlws.FILTER(
   DRG_Status!$A$2:$A$100000,
   (DRG_Status!$E$2:$E$100000=S_Curve_Data!M46) *
   (DRG_Status!$B$2:$B$100000=S_Curve_Data!$M$1)
)),0)/$N$1</f>
        <v>0</v>
      </c>
      <c r="Q46" s="23" cm="1">
        <f t="array" ref="Q46">IFERROR(ROWS(_xlfn._xlws.FILTER(
   DRG_Status!$A$2:$A$100000,
   (DRG_Status!$F$2:$F$100000=S_Curve_Data!M46) *
   (DRG_Status!$B$2:$B$100000=S_Curve_Data!$M$1)
)),0)/$N$1</f>
        <v>0</v>
      </c>
      <c r="T46" s="17">
        <f>Mappings!B45</f>
        <v>45964</v>
      </c>
      <c r="U46" s="23" t="e" cm="1">
        <f t="array" ref="U46">IFERROR(ROWS(_xlfn._xlws.FILTER(
   DRG_Status!$A$2:$A$100000,
   (DRG_Status!$C$2:$C$100000=S_Curve_Data!T46) *
   (DRG_Status!$B$2:$B$100000=S_Curve_Data!$T$1)
)),0)/$U$1</f>
        <v>#N/A</v>
      </c>
      <c r="V46" s="23" t="e" cm="1">
        <f t="array" ref="V46">IFERROR(ROWS(_xlfn._xlws.FILTER(
   DRG_Status!$A$2:$A$100000,
   (DRG_Status!$D$2:$D$100000=S_Curve_Data!T46) *
   (DRG_Status!$B$2:$B$100000=S_Curve_Data!$T$1)
)),0)/$U$1</f>
        <v>#N/A</v>
      </c>
      <c r="W46" s="23" t="e" cm="1">
        <f t="array" ref="W46">IFERROR(ROWS(_xlfn._xlws.FILTER(
   DRG_Status!$A$2:$A$100000,
   (DRG_Status!$E$2:$E$100000=S_Curve_Data!T46) *
   (DRG_Status!$B$2:$B$100000=S_Curve_Data!$T$1)
)),0)/$U$1</f>
        <v>#N/A</v>
      </c>
      <c r="X46" s="23" t="e" cm="1">
        <f t="array" ref="X46">IFERROR(ROWS(_xlfn._xlws.FILTER(
   DRG_Status!$A$2:$A$100000,
   (DRG_Status!$F$2:$F$100000=S_Curve_Data!T46) *
   (DRG_Status!$B$2:$B$100000=S_Curve_Data!$T$1)
)),0)/$U$1</f>
        <v>#N/A</v>
      </c>
    </row>
    <row r="47" spans="6:24">
      <c r="F47" s="17">
        <f>Mappings!B46</f>
        <v>45971</v>
      </c>
      <c r="G47" s="23" cm="1">
        <f t="array" ref="G47">IFERROR(ROWS(_xlfn._xlws.FILTER(
   DRG_Status!$A$2:$A$100000,
   (DRG_Status!$C$2:$C$100000=S_Curve_Data!F47) *
   (DRG_Status!$B$2:$B$100000=S_Curve_Data!$F$1)
)),0)/$G$1</f>
        <v>0</v>
      </c>
      <c r="H47" s="23" cm="1">
        <f t="array" ref="H47">IFERROR(ROWS(_xlfn._xlws.FILTER(
   DRG_Status!$A$2:$A$100000,
   (DRG_Status!$D$2:$D$100000=S_Curve_Data!F47) *
   (DRG_Status!$B$2:$B$100000=S_Curve_Data!$F$1)
)),0)/$G$1</f>
        <v>0</v>
      </c>
      <c r="I47" s="23" cm="1">
        <f t="array" ref="I47">IFERROR(ROWS(_xlfn._xlws.FILTER(
   DRG_Status!$A$2:$A$100000,
   (DRG_Status!$E$2:$E$100000=S_Curve_Data!F47) *
   (DRG_Status!$B$2:$B$100000=S_Curve_Data!$F$1)
)),0)/$G$1</f>
        <v>0</v>
      </c>
      <c r="J47" s="23" cm="1">
        <f t="array" ref="J47">IFERROR(ROWS(_xlfn._xlws.FILTER(
   DRG_Status!$A$2:$A$100000,
   (DRG_Status!$F$2:$F$100000=S_Curve_Data!F47) *
   (DRG_Status!$B$2:$B$100000=S_Curve_Data!$F$1)
)),0)/$G$1</f>
        <v>0</v>
      </c>
      <c r="M47" s="17">
        <f>Mappings!B46</f>
        <v>45971</v>
      </c>
      <c r="N47" s="23" cm="1">
        <f t="array" ref="N47">IFERROR(ROWS(_xlfn._xlws.FILTER(
   DRG_Status!$A$2:$A$100000,
   (DRG_Status!$C$2:$C$100000=S_Curve_Data!M47) *
   (DRG_Status!$B$2:$B$100000=S_Curve_Data!$M$1)
)),0)/$N$1</f>
        <v>0</v>
      </c>
      <c r="O47" s="23" cm="1">
        <f t="array" ref="O47">IFERROR(ROWS(_xlfn._xlws.FILTER(
   DRG_Status!$A$2:$A$100000,
   (DRG_Status!$D$2:$D$100000=S_Curve_Data!M47) *
   (DRG_Status!$B$2:$B$100000=S_Curve_Data!$M$1)
)),0)/$N$1</f>
        <v>0</v>
      </c>
      <c r="P47" s="23" cm="1">
        <f t="array" ref="P47">IFERROR(ROWS(_xlfn._xlws.FILTER(
   DRG_Status!$A$2:$A$100000,
   (DRG_Status!$E$2:$E$100000=S_Curve_Data!M47) *
   (DRG_Status!$B$2:$B$100000=S_Curve_Data!$M$1)
)),0)/$N$1</f>
        <v>0</v>
      </c>
      <c r="Q47" s="23" cm="1">
        <f t="array" ref="Q47">IFERROR(ROWS(_xlfn._xlws.FILTER(
   DRG_Status!$A$2:$A$100000,
   (DRG_Status!$F$2:$F$100000=S_Curve_Data!M47) *
   (DRG_Status!$B$2:$B$100000=S_Curve_Data!$M$1)
)),0)/$N$1</f>
        <v>0</v>
      </c>
      <c r="T47" s="17">
        <f>Mappings!B46</f>
        <v>45971</v>
      </c>
      <c r="U47" s="23" t="e" cm="1">
        <f t="array" ref="U47">IFERROR(ROWS(_xlfn._xlws.FILTER(
   DRG_Status!$A$2:$A$100000,
   (DRG_Status!$C$2:$C$100000=S_Curve_Data!T47) *
   (DRG_Status!$B$2:$B$100000=S_Curve_Data!$T$1)
)),0)/$U$1</f>
        <v>#N/A</v>
      </c>
      <c r="V47" s="23" t="e" cm="1">
        <f t="array" ref="V47">IFERROR(ROWS(_xlfn._xlws.FILTER(
   DRG_Status!$A$2:$A$100000,
   (DRG_Status!$D$2:$D$100000=S_Curve_Data!T47) *
   (DRG_Status!$B$2:$B$100000=S_Curve_Data!$T$1)
)),0)/$U$1</f>
        <v>#N/A</v>
      </c>
      <c r="W47" s="23" t="e" cm="1">
        <f t="array" ref="W47">IFERROR(ROWS(_xlfn._xlws.FILTER(
   DRG_Status!$A$2:$A$100000,
   (DRG_Status!$E$2:$E$100000=S_Curve_Data!T47) *
   (DRG_Status!$B$2:$B$100000=S_Curve_Data!$T$1)
)),0)/$U$1</f>
        <v>#N/A</v>
      </c>
      <c r="X47" s="23" t="e" cm="1">
        <f t="array" ref="X47">IFERROR(ROWS(_xlfn._xlws.FILTER(
   DRG_Status!$A$2:$A$100000,
   (DRG_Status!$F$2:$F$100000=S_Curve_Data!T47) *
   (DRG_Status!$B$2:$B$100000=S_Curve_Data!$T$1)
)),0)/$U$1</f>
        <v>#N/A</v>
      </c>
    </row>
    <row r="48" spans="6:24">
      <c r="F48" s="17">
        <f>Mappings!B47</f>
        <v>45978</v>
      </c>
      <c r="G48" s="23" cm="1">
        <f t="array" ref="G48">IFERROR(ROWS(_xlfn._xlws.FILTER(
   DRG_Status!$A$2:$A$100000,
   (DRG_Status!$C$2:$C$100000=S_Curve_Data!F48) *
   (DRG_Status!$B$2:$B$100000=S_Curve_Data!$F$1)
)),0)/$G$1</f>
        <v>0</v>
      </c>
      <c r="H48" s="23" cm="1">
        <f t="array" ref="H48">IFERROR(ROWS(_xlfn._xlws.FILTER(
   DRG_Status!$A$2:$A$100000,
   (DRG_Status!$D$2:$D$100000=S_Curve_Data!F48) *
   (DRG_Status!$B$2:$B$100000=S_Curve_Data!$F$1)
)),0)/$G$1</f>
        <v>0</v>
      </c>
      <c r="I48" s="23" cm="1">
        <f t="array" ref="I48">IFERROR(ROWS(_xlfn._xlws.FILTER(
   DRG_Status!$A$2:$A$100000,
   (DRG_Status!$E$2:$E$100000=S_Curve_Data!F48) *
   (DRG_Status!$B$2:$B$100000=S_Curve_Data!$F$1)
)),0)/$G$1</f>
        <v>0</v>
      </c>
      <c r="J48" s="23" cm="1">
        <f t="array" ref="J48">IFERROR(ROWS(_xlfn._xlws.FILTER(
   DRG_Status!$A$2:$A$100000,
   (DRG_Status!$F$2:$F$100000=S_Curve_Data!F48) *
   (DRG_Status!$B$2:$B$100000=S_Curve_Data!$F$1)
)),0)/$G$1</f>
        <v>0</v>
      </c>
      <c r="M48" s="17">
        <f>Mappings!B47</f>
        <v>45978</v>
      </c>
      <c r="N48" s="23" cm="1">
        <f t="array" ref="N48">IFERROR(ROWS(_xlfn._xlws.FILTER(
   DRG_Status!$A$2:$A$100000,
   (DRG_Status!$C$2:$C$100000=S_Curve_Data!M48) *
   (DRG_Status!$B$2:$B$100000=S_Curve_Data!$M$1)
)),0)/$N$1</f>
        <v>0</v>
      </c>
      <c r="O48" s="23" cm="1">
        <f t="array" ref="O48">IFERROR(ROWS(_xlfn._xlws.FILTER(
   DRG_Status!$A$2:$A$100000,
   (DRG_Status!$D$2:$D$100000=S_Curve_Data!M48) *
   (DRG_Status!$B$2:$B$100000=S_Curve_Data!$M$1)
)),0)/$N$1</f>
        <v>0</v>
      </c>
      <c r="P48" s="23" cm="1">
        <f t="array" ref="P48">IFERROR(ROWS(_xlfn._xlws.FILTER(
   DRG_Status!$A$2:$A$100000,
   (DRG_Status!$E$2:$E$100000=S_Curve_Data!M48) *
   (DRG_Status!$B$2:$B$100000=S_Curve_Data!$M$1)
)),0)/$N$1</f>
        <v>0</v>
      </c>
      <c r="Q48" s="23" cm="1">
        <f t="array" ref="Q48">IFERROR(ROWS(_xlfn._xlws.FILTER(
   DRG_Status!$A$2:$A$100000,
   (DRG_Status!$F$2:$F$100000=S_Curve_Data!M48) *
   (DRG_Status!$B$2:$B$100000=S_Curve_Data!$M$1)
)),0)/$N$1</f>
        <v>0</v>
      </c>
      <c r="T48" s="17">
        <f>Mappings!B47</f>
        <v>45978</v>
      </c>
      <c r="U48" s="23" t="e" cm="1">
        <f t="array" ref="U48">IFERROR(ROWS(_xlfn._xlws.FILTER(
   DRG_Status!$A$2:$A$100000,
   (DRG_Status!$C$2:$C$100000=S_Curve_Data!T48) *
   (DRG_Status!$B$2:$B$100000=S_Curve_Data!$T$1)
)),0)/$U$1</f>
        <v>#N/A</v>
      </c>
      <c r="V48" s="23" t="e" cm="1">
        <f t="array" ref="V48">IFERROR(ROWS(_xlfn._xlws.FILTER(
   DRG_Status!$A$2:$A$100000,
   (DRG_Status!$D$2:$D$100000=S_Curve_Data!T48) *
   (DRG_Status!$B$2:$B$100000=S_Curve_Data!$T$1)
)),0)/$U$1</f>
        <v>#N/A</v>
      </c>
      <c r="W48" s="23" t="e" cm="1">
        <f t="array" ref="W48">IFERROR(ROWS(_xlfn._xlws.FILTER(
   DRG_Status!$A$2:$A$100000,
   (DRG_Status!$E$2:$E$100000=S_Curve_Data!T48) *
   (DRG_Status!$B$2:$B$100000=S_Curve_Data!$T$1)
)),0)/$U$1</f>
        <v>#N/A</v>
      </c>
      <c r="X48" s="23" t="e" cm="1">
        <f t="array" ref="X48">IFERROR(ROWS(_xlfn._xlws.FILTER(
   DRG_Status!$A$2:$A$100000,
   (DRG_Status!$F$2:$F$100000=S_Curve_Data!T48) *
   (DRG_Status!$B$2:$B$100000=S_Curve_Data!$T$1)
)),0)/$U$1</f>
        <v>#N/A</v>
      </c>
    </row>
    <row r="49" spans="6:24">
      <c r="F49" s="17">
        <f>Mappings!B48</f>
        <v>45985</v>
      </c>
      <c r="G49" s="23" cm="1">
        <f t="array" ref="G49">IFERROR(ROWS(_xlfn._xlws.FILTER(
   DRG_Status!$A$2:$A$100000,
   (DRG_Status!$C$2:$C$100000=S_Curve_Data!F49) *
   (DRG_Status!$B$2:$B$100000=S_Curve_Data!$F$1)
)),0)/$G$1</f>
        <v>0</v>
      </c>
      <c r="H49" s="23" cm="1">
        <f t="array" ref="H49">IFERROR(ROWS(_xlfn._xlws.FILTER(
   DRG_Status!$A$2:$A$100000,
   (DRG_Status!$D$2:$D$100000=S_Curve_Data!F49) *
   (DRG_Status!$B$2:$B$100000=S_Curve_Data!$F$1)
)),0)/$G$1</f>
        <v>0</v>
      </c>
      <c r="I49" s="23" cm="1">
        <f t="array" ref="I49">IFERROR(ROWS(_xlfn._xlws.FILTER(
   DRG_Status!$A$2:$A$100000,
   (DRG_Status!$E$2:$E$100000=S_Curve_Data!F49) *
   (DRG_Status!$B$2:$B$100000=S_Curve_Data!$F$1)
)),0)/$G$1</f>
        <v>0</v>
      </c>
      <c r="J49" s="23" cm="1">
        <f t="array" ref="J49">IFERROR(ROWS(_xlfn._xlws.FILTER(
   DRG_Status!$A$2:$A$100000,
   (DRG_Status!$F$2:$F$100000=S_Curve_Data!F49) *
   (DRG_Status!$B$2:$B$100000=S_Curve_Data!$F$1)
)),0)/$G$1</f>
        <v>0</v>
      </c>
      <c r="M49" s="17">
        <f>Mappings!B48</f>
        <v>45985</v>
      </c>
      <c r="N49" s="23" cm="1">
        <f t="array" ref="N49">IFERROR(ROWS(_xlfn._xlws.FILTER(
   DRG_Status!$A$2:$A$100000,
   (DRG_Status!$C$2:$C$100000=S_Curve_Data!M49) *
   (DRG_Status!$B$2:$B$100000=S_Curve_Data!$M$1)
)),0)/$N$1</f>
        <v>0</v>
      </c>
      <c r="O49" s="23" cm="1">
        <f t="array" ref="O49">IFERROR(ROWS(_xlfn._xlws.FILTER(
   DRG_Status!$A$2:$A$100000,
   (DRG_Status!$D$2:$D$100000=S_Curve_Data!M49) *
   (DRG_Status!$B$2:$B$100000=S_Curve_Data!$M$1)
)),0)/$N$1</f>
        <v>0</v>
      </c>
      <c r="P49" s="23" cm="1">
        <f t="array" ref="P49">IFERROR(ROWS(_xlfn._xlws.FILTER(
   DRG_Status!$A$2:$A$100000,
   (DRG_Status!$E$2:$E$100000=S_Curve_Data!M49) *
   (DRG_Status!$B$2:$B$100000=S_Curve_Data!$M$1)
)),0)/$N$1</f>
        <v>0</v>
      </c>
      <c r="Q49" s="23" cm="1">
        <f t="array" ref="Q49">IFERROR(ROWS(_xlfn._xlws.FILTER(
   DRG_Status!$A$2:$A$100000,
   (DRG_Status!$F$2:$F$100000=S_Curve_Data!M49) *
   (DRG_Status!$B$2:$B$100000=S_Curve_Data!$M$1)
)),0)/$N$1</f>
        <v>0</v>
      </c>
      <c r="T49" s="17">
        <f>Mappings!B48</f>
        <v>45985</v>
      </c>
      <c r="U49" s="23" t="e" cm="1">
        <f t="array" ref="U49">IFERROR(ROWS(_xlfn._xlws.FILTER(
   DRG_Status!$A$2:$A$100000,
   (DRG_Status!$C$2:$C$100000=S_Curve_Data!T49) *
   (DRG_Status!$B$2:$B$100000=S_Curve_Data!$T$1)
)),0)/$U$1</f>
        <v>#N/A</v>
      </c>
      <c r="V49" s="23" t="e" cm="1">
        <f t="array" ref="V49">IFERROR(ROWS(_xlfn._xlws.FILTER(
   DRG_Status!$A$2:$A$100000,
   (DRG_Status!$D$2:$D$100000=S_Curve_Data!T49) *
   (DRG_Status!$B$2:$B$100000=S_Curve_Data!$T$1)
)),0)/$U$1</f>
        <v>#N/A</v>
      </c>
      <c r="W49" s="23" t="e" cm="1">
        <f t="array" ref="W49">IFERROR(ROWS(_xlfn._xlws.FILTER(
   DRG_Status!$A$2:$A$100000,
   (DRG_Status!$E$2:$E$100000=S_Curve_Data!T49) *
   (DRG_Status!$B$2:$B$100000=S_Curve_Data!$T$1)
)),0)/$U$1</f>
        <v>#N/A</v>
      </c>
      <c r="X49" s="23" t="e" cm="1">
        <f t="array" ref="X49">IFERROR(ROWS(_xlfn._xlws.FILTER(
   DRG_Status!$A$2:$A$100000,
   (DRG_Status!$F$2:$F$100000=S_Curve_Data!T49) *
   (DRG_Status!$B$2:$B$100000=S_Curve_Data!$T$1)
)),0)/$U$1</f>
        <v>#N/A</v>
      </c>
    </row>
    <row r="50" spans="6:24">
      <c r="F50" s="17">
        <f>Mappings!B49</f>
        <v>45992</v>
      </c>
      <c r="G50" s="23" cm="1">
        <f t="array" ref="G50">IFERROR(ROWS(_xlfn._xlws.FILTER(
   DRG_Status!$A$2:$A$100000,
   (DRG_Status!$C$2:$C$100000=S_Curve_Data!F50) *
   (DRG_Status!$B$2:$B$100000=S_Curve_Data!$F$1)
)),0)/$G$1</f>
        <v>0</v>
      </c>
      <c r="H50" s="23" cm="1">
        <f t="array" ref="H50">IFERROR(ROWS(_xlfn._xlws.FILTER(
   DRG_Status!$A$2:$A$100000,
   (DRG_Status!$D$2:$D$100000=S_Curve_Data!F50) *
   (DRG_Status!$B$2:$B$100000=S_Curve_Data!$F$1)
)),0)/$G$1</f>
        <v>0</v>
      </c>
      <c r="I50" s="23" cm="1">
        <f t="array" ref="I50">IFERROR(ROWS(_xlfn._xlws.FILTER(
   DRG_Status!$A$2:$A$100000,
   (DRG_Status!$E$2:$E$100000=S_Curve_Data!F50) *
   (DRG_Status!$B$2:$B$100000=S_Curve_Data!$F$1)
)),0)/$G$1</f>
        <v>0</v>
      </c>
      <c r="J50" s="23" cm="1">
        <f t="array" ref="J50">IFERROR(ROWS(_xlfn._xlws.FILTER(
   DRG_Status!$A$2:$A$100000,
   (DRG_Status!$F$2:$F$100000=S_Curve_Data!F50) *
   (DRG_Status!$B$2:$B$100000=S_Curve_Data!$F$1)
)),0)/$G$1</f>
        <v>0</v>
      </c>
      <c r="M50" s="17">
        <f>Mappings!B49</f>
        <v>45992</v>
      </c>
      <c r="N50" s="23" cm="1">
        <f t="array" ref="N50">IFERROR(ROWS(_xlfn._xlws.FILTER(
   DRG_Status!$A$2:$A$100000,
   (DRG_Status!$C$2:$C$100000=S_Curve_Data!M50) *
   (DRG_Status!$B$2:$B$100000=S_Curve_Data!$M$1)
)),0)/$N$1</f>
        <v>0</v>
      </c>
      <c r="O50" s="23" cm="1">
        <f t="array" ref="O50">IFERROR(ROWS(_xlfn._xlws.FILTER(
   DRG_Status!$A$2:$A$100000,
   (DRG_Status!$D$2:$D$100000=S_Curve_Data!M50) *
   (DRG_Status!$B$2:$B$100000=S_Curve_Data!$M$1)
)),0)/$N$1</f>
        <v>0</v>
      </c>
      <c r="P50" s="23" cm="1">
        <f t="array" ref="P50">IFERROR(ROWS(_xlfn._xlws.FILTER(
   DRG_Status!$A$2:$A$100000,
   (DRG_Status!$E$2:$E$100000=S_Curve_Data!M50) *
   (DRG_Status!$B$2:$B$100000=S_Curve_Data!$M$1)
)),0)/$N$1</f>
        <v>0</v>
      </c>
      <c r="Q50" s="23" cm="1">
        <f t="array" ref="Q50">IFERROR(ROWS(_xlfn._xlws.FILTER(
   DRG_Status!$A$2:$A$100000,
   (DRG_Status!$F$2:$F$100000=S_Curve_Data!M50) *
   (DRG_Status!$B$2:$B$100000=S_Curve_Data!$M$1)
)),0)/$N$1</f>
        <v>0</v>
      </c>
      <c r="T50" s="17">
        <f>Mappings!B49</f>
        <v>45992</v>
      </c>
      <c r="U50" s="23" t="e" cm="1">
        <f t="array" ref="U50">IFERROR(ROWS(_xlfn._xlws.FILTER(
   DRG_Status!$A$2:$A$100000,
   (DRG_Status!$C$2:$C$100000=S_Curve_Data!T50) *
   (DRG_Status!$B$2:$B$100000=S_Curve_Data!$T$1)
)),0)/$U$1</f>
        <v>#N/A</v>
      </c>
      <c r="V50" s="23" t="e" cm="1">
        <f t="array" ref="V50">IFERROR(ROWS(_xlfn._xlws.FILTER(
   DRG_Status!$A$2:$A$100000,
   (DRG_Status!$D$2:$D$100000=S_Curve_Data!T50) *
   (DRG_Status!$B$2:$B$100000=S_Curve_Data!$T$1)
)),0)/$U$1</f>
        <v>#N/A</v>
      </c>
      <c r="W50" s="23" t="e" cm="1">
        <f t="array" ref="W50">IFERROR(ROWS(_xlfn._xlws.FILTER(
   DRG_Status!$A$2:$A$100000,
   (DRG_Status!$E$2:$E$100000=S_Curve_Data!T50) *
   (DRG_Status!$B$2:$B$100000=S_Curve_Data!$T$1)
)),0)/$U$1</f>
        <v>#N/A</v>
      </c>
      <c r="X50" s="23" t="e" cm="1">
        <f t="array" ref="X50">IFERROR(ROWS(_xlfn._xlws.FILTER(
   DRG_Status!$A$2:$A$100000,
   (DRG_Status!$F$2:$F$100000=S_Curve_Data!T50) *
   (DRG_Status!$B$2:$B$100000=S_Curve_Data!$T$1)
)),0)/$U$1</f>
        <v>#N/A</v>
      </c>
    </row>
    <row r="51" spans="6:24">
      <c r="F51" s="17">
        <f>Mappings!B50</f>
        <v>45999</v>
      </c>
      <c r="G51" s="23" cm="1">
        <f t="array" ref="G51">IFERROR(ROWS(_xlfn._xlws.FILTER(
   DRG_Status!$A$2:$A$100000,
   (DRG_Status!$C$2:$C$100000=S_Curve_Data!F51) *
   (DRG_Status!$B$2:$B$100000=S_Curve_Data!$F$1)
)),0)/$G$1</f>
        <v>0</v>
      </c>
      <c r="H51" s="23" cm="1">
        <f t="array" ref="H51">IFERROR(ROWS(_xlfn._xlws.FILTER(
   DRG_Status!$A$2:$A$100000,
   (DRG_Status!$D$2:$D$100000=S_Curve_Data!F51) *
   (DRG_Status!$B$2:$B$100000=S_Curve_Data!$F$1)
)),0)/$G$1</f>
        <v>0</v>
      </c>
      <c r="I51" s="23" cm="1">
        <f t="array" ref="I51">IFERROR(ROWS(_xlfn._xlws.FILTER(
   DRG_Status!$A$2:$A$100000,
   (DRG_Status!$E$2:$E$100000=S_Curve_Data!F51) *
   (DRG_Status!$B$2:$B$100000=S_Curve_Data!$F$1)
)),0)/$G$1</f>
        <v>0</v>
      </c>
      <c r="J51" s="23" cm="1">
        <f t="array" ref="J51">IFERROR(ROWS(_xlfn._xlws.FILTER(
   DRG_Status!$A$2:$A$100000,
   (DRG_Status!$F$2:$F$100000=S_Curve_Data!F51) *
   (DRG_Status!$B$2:$B$100000=S_Curve_Data!$F$1)
)),0)/$G$1</f>
        <v>0</v>
      </c>
      <c r="M51" s="17">
        <f>Mappings!B50</f>
        <v>45999</v>
      </c>
      <c r="N51" s="23" cm="1">
        <f t="array" ref="N51">IFERROR(ROWS(_xlfn._xlws.FILTER(
   DRG_Status!$A$2:$A$100000,
   (DRG_Status!$C$2:$C$100000=S_Curve_Data!M51) *
   (DRG_Status!$B$2:$B$100000=S_Curve_Data!$M$1)
)),0)/$N$1</f>
        <v>0</v>
      </c>
      <c r="O51" s="23" cm="1">
        <f t="array" ref="O51">IFERROR(ROWS(_xlfn._xlws.FILTER(
   DRG_Status!$A$2:$A$100000,
   (DRG_Status!$D$2:$D$100000=S_Curve_Data!M51) *
   (DRG_Status!$B$2:$B$100000=S_Curve_Data!$M$1)
)),0)/$N$1</f>
        <v>0</v>
      </c>
      <c r="P51" s="23" cm="1">
        <f t="array" ref="P51">IFERROR(ROWS(_xlfn._xlws.FILTER(
   DRG_Status!$A$2:$A$100000,
   (DRG_Status!$E$2:$E$100000=S_Curve_Data!M51) *
   (DRG_Status!$B$2:$B$100000=S_Curve_Data!$M$1)
)),0)/$N$1</f>
        <v>0</v>
      </c>
      <c r="Q51" s="23" cm="1">
        <f t="array" ref="Q51">IFERROR(ROWS(_xlfn._xlws.FILTER(
   DRG_Status!$A$2:$A$100000,
   (DRG_Status!$F$2:$F$100000=S_Curve_Data!M51) *
   (DRG_Status!$B$2:$B$100000=S_Curve_Data!$M$1)
)),0)/$N$1</f>
        <v>0</v>
      </c>
      <c r="T51" s="17">
        <f>Mappings!B50</f>
        <v>45999</v>
      </c>
      <c r="U51" s="23" t="e" cm="1">
        <f t="array" ref="U51">IFERROR(ROWS(_xlfn._xlws.FILTER(
   DRG_Status!$A$2:$A$100000,
   (DRG_Status!$C$2:$C$100000=S_Curve_Data!T51) *
   (DRG_Status!$B$2:$B$100000=S_Curve_Data!$T$1)
)),0)/$U$1</f>
        <v>#N/A</v>
      </c>
      <c r="V51" s="23" t="e" cm="1">
        <f t="array" ref="V51">IFERROR(ROWS(_xlfn._xlws.FILTER(
   DRG_Status!$A$2:$A$100000,
   (DRG_Status!$D$2:$D$100000=S_Curve_Data!T51) *
   (DRG_Status!$B$2:$B$100000=S_Curve_Data!$T$1)
)),0)/$U$1</f>
        <v>#N/A</v>
      </c>
      <c r="W51" s="23" t="e" cm="1">
        <f t="array" ref="W51">IFERROR(ROWS(_xlfn._xlws.FILTER(
   DRG_Status!$A$2:$A$100000,
   (DRG_Status!$E$2:$E$100000=S_Curve_Data!T51) *
   (DRG_Status!$B$2:$B$100000=S_Curve_Data!$T$1)
)),0)/$U$1</f>
        <v>#N/A</v>
      </c>
      <c r="X51" s="23" t="e" cm="1">
        <f t="array" ref="X51">IFERROR(ROWS(_xlfn._xlws.FILTER(
   DRG_Status!$A$2:$A$100000,
   (DRG_Status!$F$2:$F$100000=S_Curve_Data!T51) *
   (DRG_Status!$B$2:$B$100000=S_Curve_Data!$T$1)
)),0)/$U$1</f>
        <v>#N/A</v>
      </c>
    </row>
    <row r="52" spans="6:24">
      <c r="F52" s="17">
        <f>Mappings!B51</f>
        <v>46006</v>
      </c>
      <c r="G52" s="23" cm="1">
        <f t="array" ref="G52">IFERROR(ROWS(_xlfn._xlws.FILTER(
   DRG_Status!$A$2:$A$100000,
   (DRG_Status!$C$2:$C$100000=S_Curve_Data!F52) *
   (DRG_Status!$B$2:$B$100000=S_Curve_Data!$F$1)
)),0)/$G$1</f>
        <v>0</v>
      </c>
      <c r="H52" s="23" cm="1">
        <f t="array" ref="H52">IFERROR(ROWS(_xlfn._xlws.FILTER(
   DRG_Status!$A$2:$A$100000,
   (DRG_Status!$D$2:$D$100000=S_Curve_Data!F52) *
   (DRG_Status!$B$2:$B$100000=S_Curve_Data!$F$1)
)),0)/$G$1</f>
        <v>0</v>
      </c>
      <c r="I52" s="23" cm="1">
        <f t="array" ref="I52">IFERROR(ROWS(_xlfn._xlws.FILTER(
   DRG_Status!$A$2:$A$100000,
   (DRG_Status!$E$2:$E$100000=S_Curve_Data!F52) *
   (DRG_Status!$B$2:$B$100000=S_Curve_Data!$F$1)
)),0)/$G$1</f>
        <v>0</v>
      </c>
      <c r="J52" s="23" cm="1">
        <f t="array" ref="J52">IFERROR(ROWS(_xlfn._xlws.FILTER(
   DRG_Status!$A$2:$A$100000,
   (DRG_Status!$F$2:$F$100000=S_Curve_Data!F52) *
   (DRG_Status!$B$2:$B$100000=S_Curve_Data!$F$1)
)),0)/$G$1</f>
        <v>0</v>
      </c>
      <c r="M52" s="17">
        <f>Mappings!B51</f>
        <v>46006</v>
      </c>
      <c r="N52" s="23" cm="1">
        <f t="array" ref="N52">IFERROR(ROWS(_xlfn._xlws.FILTER(
   DRG_Status!$A$2:$A$100000,
   (DRG_Status!$C$2:$C$100000=S_Curve_Data!M52) *
   (DRG_Status!$B$2:$B$100000=S_Curve_Data!$M$1)
)),0)/$N$1</f>
        <v>0</v>
      </c>
      <c r="O52" s="23" cm="1">
        <f t="array" ref="O52">IFERROR(ROWS(_xlfn._xlws.FILTER(
   DRG_Status!$A$2:$A$100000,
   (DRG_Status!$D$2:$D$100000=S_Curve_Data!M52) *
   (DRG_Status!$B$2:$B$100000=S_Curve_Data!$M$1)
)),0)/$N$1</f>
        <v>0</v>
      </c>
      <c r="P52" s="23" cm="1">
        <f t="array" ref="P52">IFERROR(ROWS(_xlfn._xlws.FILTER(
   DRG_Status!$A$2:$A$100000,
   (DRG_Status!$E$2:$E$100000=S_Curve_Data!M52) *
   (DRG_Status!$B$2:$B$100000=S_Curve_Data!$M$1)
)),0)/$N$1</f>
        <v>0</v>
      </c>
      <c r="Q52" s="23" cm="1">
        <f t="array" ref="Q52">IFERROR(ROWS(_xlfn._xlws.FILTER(
   DRG_Status!$A$2:$A$100000,
   (DRG_Status!$F$2:$F$100000=S_Curve_Data!M52) *
   (DRG_Status!$B$2:$B$100000=S_Curve_Data!$M$1)
)),0)/$N$1</f>
        <v>0</v>
      </c>
      <c r="T52" s="17">
        <f>Mappings!B51</f>
        <v>46006</v>
      </c>
      <c r="U52" s="23" t="e" cm="1">
        <f t="array" ref="U52">IFERROR(ROWS(_xlfn._xlws.FILTER(
   DRG_Status!$A$2:$A$100000,
   (DRG_Status!$C$2:$C$100000=S_Curve_Data!T52) *
   (DRG_Status!$B$2:$B$100000=S_Curve_Data!$T$1)
)),0)/$U$1</f>
        <v>#N/A</v>
      </c>
      <c r="V52" s="23" t="e" cm="1">
        <f t="array" ref="V52">IFERROR(ROWS(_xlfn._xlws.FILTER(
   DRG_Status!$A$2:$A$100000,
   (DRG_Status!$D$2:$D$100000=S_Curve_Data!T52) *
   (DRG_Status!$B$2:$B$100000=S_Curve_Data!$T$1)
)),0)/$U$1</f>
        <v>#N/A</v>
      </c>
      <c r="W52" s="23" t="e" cm="1">
        <f t="array" ref="W52">IFERROR(ROWS(_xlfn._xlws.FILTER(
   DRG_Status!$A$2:$A$100000,
   (DRG_Status!$E$2:$E$100000=S_Curve_Data!T52) *
   (DRG_Status!$B$2:$B$100000=S_Curve_Data!$T$1)
)),0)/$U$1</f>
        <v>#N/A</v>
      </c>
      <c r="X52" s="23" t="e" cm="1">
        <f t="array" ref="X52">IFERROR(ROWS(_xlfn._xlws.FILTER(
   DRG_Status!$A$2:$A$100000,
   (DRG_Status!$F$2:$F$100000=S_Curve_Data!T52) *
   (DRG_Status!$B$2:$B$100000=S_Curve_Data!$T$1)
)),0)/$U$1</f>
        <v>#N/A</v>
      </c>
    </row>
    <row r="53" spans="6:24">
      <c r="F53" s="17">
        <f>Mappings!B52</f>
        <v>46013</v>
      </c>
      <c r="G53" s="23" cm="1">
        <f t="array" ref="G53">IFERROR(ROWS(_xlfn._xlws.FILTER(
   DRG_Status!$A$2:$A$100000,
   (DRG_Status!$C$2:$C$100000=S_Curve_Data!F53) *
   (DRG_Status!$B$2:$B$100000=S_Curve_Data!$F$1)
)),0)/$G$1</f>
        <v>0</v>
      </c>
      <c r="H53" s="23" cm="1">
        <f t="array" ref="H53">IFERROR(ROWS(_xlfn._xlws.FILTER(
   DRG_Status!$A$2:$A$100000,
   (DRG_Status!$D$2:$D$100000=S_Curve_Data!F53) *
   (DRG_Status!$B$2:$B$100000=S_Curve_Data!$F$1)
)),0)/$G$1</f>
        <v>6.25E-2</v>
      </c>
      <c r="I53" s="23" cm="1">
        <f t="array" ref="I53">IFERROR(ROWS(_xlfn._xlws.FILTER(
   DRG_Status!$A$2:$A$100000,
   (DRG_Status!$E$2:$E$100000=S_Curve_Data!F53) *
   (DRG_Status!$B$2:$B$100000=S_Curve_Data!$F$1)
)),0)/$G$1</f>
        <v>0</v>
      </c>
      <c r="J53" s="23" cm="1">
        <f t="array" ref="J53">IFERROR(ROWS(_xlfn._xlws.FILTER(
   DRG_Status!$A$2:$A$100000,
   (DRG_Status!$F$2:$F$100000=S_Curve_Data!F53) *
   (DRG_Status!$B$2:$B$100000=S_Curve_Data!$F$1)
)),0)/$G$1</f>
        <v>0</v>
      </c>
      <c r="M53" s="17">
        <f>Mappings!B52</f>
        <v>46013</v>
      </c>
      <c r="N53" s="23" cm="1">
        <f t="array" ref="N53">IFERROR(ROWS(_xlfn._xlws.FILTER(
   DRG_Status!$A$2:$A$100000,
   (DRG_Status!$C$2:$C$100000=S_Curve_Data!M53) *
   (DRG_Status!$B$2:$B$100000=S_Curve_Data!$M$1)
)),0)/$N$1</f>
        <v>0</v>
      </c>
      <c r="O53" s="23" cm="1">
        <f t="array" ref="O53">IFERROR(ROWS(_xlfn._xlws.FILTER(
   DRG_Status!$A$2:$A$100000,
   (DRG_Status!$D$2:$D$100000=S_Curve_Data!M53) *
   (DRG_Status!$B$2:$B$100000=S_Curve_Data!$M$1)
)),0)/$N$1</f>
        <v>0</v>
      </c>
      <c r="P53" s="23" cm="1">
        <f t="array" ref="P53">IFERROR(ROWS(_xlfn._xlws.FILTER(
   DRG_Status!$A$2:$A$100000,
   (DRG_Status!$E$2:$E$100000=S_Curve_Data!M53) *
   (DRG_Status!$B$2:$B$100000=S_Curve_Data!$M$1)
)),0)/$N$1</f>
        <v>0</v>
      </c>
      <c r="Q53" s="23" cm="1">
        <f t="array" ref="Q53">IFERROR(ROWS(_xlfn._xlws.FILTER(
   DRG_Status!$A$2:$A$100000,
   (DRG_Status!$F$2:$F$100000=S_Curve_Data!M53) *
   (DRG_Status!$B$2:$B$100000=S_Curve_Data!$M$1)
)),0)/$N$1</f>
        <v>0</v>
      </c>
      <c r="T53" s="17">
        <f>Mappings!B52</f>
        <v>46013</v>
      </c>
      <c r="U53" s="23" t="e" cm="1">
        <f t="array" ref="U53">IFERROR(ROWS(_xlfn._xlws.FILTER(
   DRG_Status!$A$2:$A$100000,
   (DRG_Status!$C$2:$C$100000=S_Curve_Data!T53) *
   (DRG_Status!$B$2:$B$100000=S_Curve_Data!$T$1)
)),0)/$U$1</f>
        <v>#N/A</v>
      </c>
      <c r="V53" s="23" t="e" cm="1">
        <f t="array" ref="V53">IFERROR(ROWS(_xlfn._xlws.FILTER(
   DRG_Status!$A$2:$A$100000,
   (DRG_Status!$D$2:$D$100000=S_Curve_Data!T53) *
   (DRG_Status!$B$2:$B$100000=S_Curve_Data!$T$1)
)),0)/$U$1</f>
        <v>#N/A</v>
      </c>
      <c r="W53" s="23" t="e" cm="1">
        <f t="array" ref="W53">IFERROR(ROWS(_xlfn._xlws.FILTER(
   DRG_Status!$A$2:$A$100000,
   (DRG_Status!$E$2:$E$100000=S_Curve_Data!T53) *
   (DRG_Status!$B$2:$B$100000=S_Curve_Data!$T$1)
)),0)/$U$1</f>
        <v>#N/A</v>
      </c>
      <c r="X53" s="23" t="e" cm="1">
        <f t="array" ref="X53">IFERROR(ROWS(_xlfn._xlws.FILTER(
   DRG_Status!$A$2:$A$100000,
   (DRG_Status!$F$2:$F$100000=S_Curve_Data!T53) *
   (DRG_Status!$B$2:$B$100000=S_Curve_Data!$T$1)
)),0)/$U$1</f>
        <v>#N/A</v>
      </c>
    </row>
    <row r="54" spans="6:24">
      <c r="F54" s="17">
        <f>Mappings!B53</f>
        <v>46020</v>
      </c>
      <c r="G54" s="23" cm="1">
        <f t="array" ref="G54">IFERROR(ROWS(_xlfn._xlws.FILTER(
   DRG_Status!$A$2:$A$100000,
   (DRG_Status!$C$2:$C$100000=S_Curve_Data!F54) *
   (DRG_Status!$B$2:$B$100000=S_Curve_Data!$F$1)
)),0)/$G$1</f>
        <v>6.25E-2</v>
      </c>
      <c r="H54" s="23" cm="1">
        <f t="array" ref="H54">IFERROR(ROWS(_xlfn._xlws.FILTER(
   DRG_Status!$A$2:$A$100000,
   (DRG_Status!$D$2:$D$100000=S_Curve_Data!F54) *
   (DRG_Status!$B$2:$B$100000=S_Curve_Data!$F$1)
)),0)/$G$1</f>
        <v>0</v>
      </c>
      <c r="I54" s="23" cm="1">
        <f t="array" ref="I54">IFERROR(ROWS(_xlfn._xlws.FILTER(
   DRG_Status!$A$2:$A$100000,
   (DRG_Status!$E$2:$E$100000=S_Curve_Data!F54) *
   (DRG_Status!$B$2:$B$100000=S_Curve_Data!$F$1)
)),0)/$G$1</f>
        <v>0</v>
      </c>
      <c r="J54" s="23" cm="1">
        <f t="array" ref="J54">IFERROR(ROWS(_xlfn._xlws.FILTER(
   DRG_Status!$A$2:$A$100000,
   (DRG_Status!$F$2:$F$100000=S_Curve_Data!F54) *
   (DRG_Status!$B$2:$B$100000=S_Curve_Data!$F$1)
)),0)/$G$1</f>
        <v>6.25E-2</v>
      </c>
      <c r="M54" s="17">
        <f>Mappings!B53</f>
        <v>46020</v>
      </c>
      <c r="N54" s="23" cm="1">
        <f t="array" ref="N54">IFERROR(ROWS(_xlfn._xlws.FILTER(
   DRG_Status!$A$2:$A$100000,
   (DRG_Status!$C$2:$C$100000=S_Curve_Data!M54) *
   (DRG_Status!$B$2:$B$100000=S_Curve_Data!$M$1)
)),0)/$N$1</f>
        <v>0</v>
      </c>
      <c r="O54" s="23" cm="1">
        <f t="array" ref="O54">IFERROR(ROWS(_xlfn._xlws.FILTER(
   DRG_Status!$A$2:$A$100000,
   (DRG_Status!$D$2:$D$100000=S_Curve_Data!M54) *
   (DRG_Status!$B$2:$B$100000=S_Curve_Data!$M$1)
)),0)/$N$1</f>
        <v>0</v>
      </c>
      <c r="P54" s="23" cm="1">
        <f t="array" ref="P54">IFERROR(ROWS(_xlfn._xlws.FILTER(
   DRG_Status!$A$2:$A$100000,
   (DRG_Status!$E$2:$E$100000=S_Curve_Data!M54) *
   (DRG_Status!$B$2:$B$100000=S_Curve_Data!$M$1)
)),0)/$N$1</f>
        <v>0</v>
      </c>
      <c r="Q54" s="23" cm="1">
        <f t="array" ref="Q54">IFERROR(ROWS(_xlfn._xlws.FILTER(
   DRG_Status!$A$2:$A$100000,
   (DRG_Status!$F$2:$F$100000=S_Curve_Data!M54) *
   (DRG_Status!$B$2:$B$100000=S_Curve_Data!$M$1)
)),0)/$N$1</f>
        <v>0</v>
      </c>
      <c r="T54" s="17">
        <f>Mappings!B53</f>
        <v>46020</v>
      </c>
      <c r="U54" s="23" t="e" cm="1">
        <f t="array" ref="U54">IFERROR(ROWS(_xlfn._xlws.FILTER(
   DRG_Status!$A$2:$A$100000,
   (DRG_Status!$C$2:$C$100000=S_Curve_Data!T54) *
   (DRG_Status!$B$2:$B$100000=S_Curve_Data!$T$1)
)),0)/$U$1</f>
        <v>#N/A</v>
      </c>
      <c r="V54" s="23" t="e" cm="1">
        <f t="array" ref="V54">IFERROR(ROWS(_xlfn._xlws.FILTER(
   DRG_Status!$A$2:$A$100000,
   (DRG_Status!$D$2:$D$100000=S_Curve_Data!T54) *
   (DRG_Status!$B$2:$B$100000=S_Curve_Data!$T$1)
)),0)/$U$1</f>
        <v>#N/A</v>
      </c>
      <c r="W54" s="23" t="e" cm="1">
        <f t="array" ref="W54">IFERROR(ROWS(_xlfn._xlws.FILTER(
   DRG_Status!$A$2:$A$100000,
   (DRG_Status!$E$2:$E$100000=S_Curve_Data!T54) *
   (DRG_Status!$B$2:$B$100000=S_Curve_Data!$T$1)
)),0)/$U$1</f>
        <v>#N/A</v>
      </c>
      <c r="X54" s="23" t="e" cm="1">
        <f t="array" ref="X54">IFERROR(ROWS(_xlfn._xlws.FILTER(
   DRG_Status!$A$2:$A$100000,
   (DRG_Status!$F$2:$F$100000=S_Curve_Data!T54) *
   (DRG_Status!$B$2:$B$100000=S_Curve_Data!$T$1)
)),0)/$U$1</f>
        <v>#N/A</v>
      </c>
    </row>
    <row r="55" spans="6:24">
      <c r="F55" s="17">
        <f>Mappings!B54</f>
        <v>46027</v>
      </c>
      <c r="G55" s="23" cm="1">
        <f t="array" ref="G55">IFERROR(ROWS(_xlfn._xlws.FILTER(
   DRG_Status!$A$2:$A$100000,
   (DRG_Status!$C$2:$C$100000=S_Curve_Data!F55) *
   (DRG_Status!$B$2:$B$100000=S_Curve_Data!$F$1)
)),0)/$G$1</f>
        <v>0.25</v>
      </c>
      <c r="H55" s="23" cm="1">
        <f t="array" ref="H55">IFERROR(ROWS(_xlfn._xlws.FILTER(
   DRG_Status!$A$2:$A$100000,
   (DRG_Status!$D$2:$D$100000=S_Curve_Data!F55) *
   (DRG_Status!$B$2:$B$100000=S_Curve_Data!$F$1)
)),0)/$G$1</f>
        <v>0</v>
      </c>
      <c r="I55" s="23" cm="1">
        <f t="array" ref="I55">IFERROR(ROWS(_xlfn._xlws.FILTER(
   DRG_Status!$A$2:$A$100000,
   (DRG_Status!$E$2:$E$100000=S_Curve_Data!F55) *
   (DRG_Status!$B$2:$B$100000=S_Curve_Data!$F$1)
)),0)/$G$1</f>
        <v>6.25E-2</v>
      </c>
      <c r="J55" s="23" cm="1">
        <f t="array" ref="J55">IFERROR(ROWS(_xlfn._xlws.FILTER(
   DRG_Status!$A$2:$A$100000,
   (DRG_Status!$F$2:$F$100000=S_Curve_Data!F55) *
   (DRG_Status!$B$2:$B$100000=S_Curve_Data!$F$1)
)),0)/$G$1</f>
        <v>0</v>
      </c>
      <c r="M55" s="17">
        <f>Mappings!B54</f>
        <v>46027</v>
      </c>
      <c r="N55" s="23" cm="1">
        <f t="array" ref="N55">IFERROR(ROWS(_xlfn._xlws.FILTER(
   DRG_Status!$A$2:$A$100000,
   (DRG_Status!$C$2:$C$100000=S_Curve_Data!M55) *
   (DRG_Status!$B$2:$B$100000=S_Curve_Data!$M$1)
)),0)/$N$1</f>
        <v>0</v>
      </c>
      <c r="O55" s="23" cm="1">
        <f t="array" ref="O55">IFERROR(ROWS(_xlfn._xlws.FILTER(
   DRG_Status!$A$2:$A$100000,
   (DRG_Status!$D$2:$D$100000=S_Curve_Data!M55) *
   (DRG_Status!$B$2:$B$100000=S_Curve_Data!$M$1)
)),0)/$N$1</f>
        <v>0</v>
      </c>
      <c r="P55" s="23" cm="1">
        <f t="array" ref="P55">IFERROR(ROWS(_xlfn._xlws.FILTER(
   DRG_Status!$A$2:$A$100000,
   (DRG_Status!$E$2:$E$100000=S_Curve_Data!M55) *
   (DRG_Status!$B$2:$B$100000=S_Curve_Data!$M$1)
)),0)/$N$1</f>
        <v>0</v>
      </c>
      <c r="Q55" s="23" cm="1">
        <f t="array" ref="Q55">IFERROR(ROWS(_xlfn._xlws.FILTER(
   DRG_Status!$A$2:$A$100000,
   (DRG_Status!$F$2:$F$100000=S_Curve_Data!M55) *
   (DRG_Status!$B$2:$B$100000=S_Curve_Data!$M$1)
)),0)/$N$1</f>
        <v>0</v>
      </c>
      <c r="T55" s="17">
        <f>Mappings!B54</f>
        <v>46027</v>
      </c>
      <c r="U55" s="23" t="e" cm="1">
        <f t="array" ref="U55">IFERROR(ROWS(_xlfn._xlws.FILTER(
   DRG_Status!$A$2:$A$100000,
   (DRG_Status!$C$2:$C$100000=S_Curve_Data!T55) *
   (DRG_Status!$B$2:$B$100000=S_Curve_Data!$T$1)
)),0)/$U$1</f>
        <v>#N/A</v>
      </c>
      <c r="V55" s="23" t="e" cm="1">
        <f t="array" ref="V55">IFERROR(ROWS(_xlfn._xlws.FILTER(
   DRG_Status!$A$2:$A$100000,
   (DRG_Status!$D$2:$D$100000=S_Curve_Data!T55) *
   (DRG_Status!$B$2:$B$100000=S_Curve_Data!$T$1)
)),0)/$U$1</f>
        <v>#N/A</v>
      </c>
      <c r="W55" s="23" t="e" cm="1">
        <f t="array" ref="W55">IFERROR(ROWS(_xlfn._xlws.FILTER(
   DRG_Status!$A$2:$A$100000,
   (DRG_Status!$E$2:$E$100000=S_Curve_Data!T55) *
   (DRG_Status!$B$2:$B$100000=S_Curve_Data!$T$1)
)),0)/$U$1</f>
        <v>#N/A</v>
      </c>
      <c r="X55" s="23" t="e" cm="1">
        <f t="array" ref="X55">IFERROR(ROWS(_xlfn._xlws.FILTER(
   DRG_Status!$A$2:$A$100000,
   (DRG_Status!$F$2:$F$100000=S_Curve_Data!T55) *
   (DRG_Status!$B$2:$B$100000=S_Curve_Data!$T$1)
)),0)/$U$1</f>
        <v>#N/A</v>
      </c>
    </row>
    <row r="56" spans="6:24">
      <c r="F56" s="17">
        <f>Mappings!B55</f>
        <v>46034</v>
      </c>
      <c r="G56" s="23" cm="1">
        <f t="array" ref="G56">IFERROR(ROWS(_xlfn._xlws.FILTER(
   DRG_Status!$A$2:$A$100000,
   (DRG_Status!$C$2:$C$100000=S_Curve_Data!F56) *
   (DRG_Status!$B$2:$B$100000=S_Curve_Data!$F$1)
)),0)/$G$1</f>
        <v>0.125</v>
      </c>
      <c r="H56" s="23" cm="1">
        <f t="array" ref="H56">IFERROR(ROWS(_xlfn._xlws.FILTER(
   DRG_Status!$A$2:$A$100000,
   (DRG_Status!$D$2:$D$100000=S_Curve_Data!F56) *
   (DRG_Status!$B$2:$B$100000=S_Curve_Data!$F$1)
)),0)/$G$1</f>
        <v>0</v>
      </c>
      <c r="I56" s="23" cm="1">
        <f t="array" ref="I56">IFERROR(ROWS(_xlfn._xlws.FILTER(
   DRG_Status!$A$2:$A$100000,
   (DRG_Status!$E$2:$E$100000=S_Curve_Data!F56) *
   (DRG_Status!$B$2:$B$100000=S_Curve_Data!$F$1)
)),0)/$G$1</f>
        <v>0.25</v>
      </c>
      <c r="J56" s="23" cm="1">
        <f t="array" ref="J56">IFERROR(ROWS(_xlfn._xlws.FILTER(
   DRG_Status!$A$2:$A$100000,
   (DRG_Status!$F$2:$F$100000=S_Curve_Data!F56) *
   (DRG_Status!$B$2:$B$100000=S_Curve_Data!$F$1)
)),0)/$G$1</f>
        <v>0</v>
      </c>
      <c r="M56" s="17">
        <f>Mappings!B55</f>
        <v>46034</v>
      </c>
      <c r="N56" s="23" cm="1">
        <f t="array" ref="N56">IFERROR(ROWS(_xlfn._xlws.FILTER(
   DRG_Status!$A$2:$A$100000,
   (DRG_Status!$C$2:$C$100000=S_Curve_Data!M56) *
   (DRG_Status!$B$2:$B$100000=S_Curve_Data!$M$1)
)),0)/$N$1</f>
        <v>0</v>
      </c>
      <c r="O56" s="23" cm="1">
        <f t="array" ref="O56">IFERROR(ROWS(_xlfn._xlws.FILTER(
   DRG_Status!$A$2:$A$100000,
   (DRG_Status!$D$2:$D$100000=S_Curve_Data!M56) *
   (DRG_Status!$B$2:$B$100000=S_Curve_Data!$M$1)
)),0)/$N$1</f>
        <v>0</v>
      </c>
      <c r="P56" s="23" cm="1">
        <f t="array" ref="P56">IFERROR(ROWS(_xlfn._xlws.FILTER(
   DRG_Status!$A$2:$A$100000,
   (DRG_Status!$E$2:$E$100000=S_Curve_Data!M56) *
   (DRG_Status!$B$2:$B$100000=S_Curve_Data!$M$1)
)),0)/$N$1</f>
        <v>0</v>
      </c>
      <c r="Q56" s="23" cm="1">
        <f t="array" ref="Q56">IFERROR(ROWS(_xlfn._xlws.FILTER(
   DRG_Status!$A$2:$A$100000,
   (DRG_Status!$F$2:$F$100000=S_Curve_Data!M56) *
   (DRG_Status!$B$2:$B$100000=S_Curve_Data!$M$1)
)),0)/$N$1</f>
        <v>0</v>
      </c>
      <c r="T56" s="17">
        <f>Mappings!B55</f>
        <v>46034</v>
      </c>
      <c r="U56" s="23" t="e" cm="1">
        <f t="array" ref="U56">IFERROR(ROWS(_xlfn._xlws.FILTER(
   DRG_Status!$A$2:$A$100000,
   (DRG_Status!$C$2:$C$100000=S_Curve_Data!T56) *
   (DRG_Status!$B$2:$B$100000=S_Curve_Data!$T$1)
)),0)/$U$1</f>
        <v>#N/A</v>
      </c>
      <c r="V56" s="23" t="e" cm="1">
        <f t="array" ref="V56">IFERROR(ROWS(_xlfn._xlws.FILTER(
   DRG_Status!$A$2:$A$100000,
   (DRG_Status!$D$2:$D$100000=S_Curve_Data!T56) *
   (DRG_Status!$B$2:$B$100000=S_Curve_Data!$T$1)
)),0)/$U$1</f>
        <v>#N/A</v>
      </c>
      <c r="W56" s="23" t="e" cm="1">
        <f t="array" ref="W56">IFERROR(ROWS(_xlfn._xlws.FILTER(
   DRG_Status!$A$2:$A$100000,
   (DRG_Status!$E$2:$E$100000=S_Curve_Data!T56) *
   (DRG_Status!$B$2:$B$100000=S_Curve_Data!$T$1)
)),0)/$U$1</f>
        <v>#N/A</v>
      </c>
      <c r="X56" s="23" t="e" cm="1">
        <f t="array" ref="X56">IFERROR(ROWS(_xlfn._xlws.FILTER(
   DRG_Status!$A$2:$A$100000,
   (DRG_Status!$F$2:$F$100000=S_Curve_Data!T56) *
   (DRG_Status!$B$2:$B$100000=S_Curve_Data!$T$1)
)),0)/$U$1</f>
        <v>#N/A</v>
      </c>
    </row>
    <row r="57" spans="6:24">
      <c r="F57" s="17">
        <f>Mappings!B56</f>
        <v>46041</v>
      </c>
      <c r="G57" s="23" cm="1">
        <f t="array" ref="G57">IFERROR(ROWS(_xlfn._xlws.FILTER(
   DRG_Status!$A$2:$A$100000,
   (DRG_Status!$C$2:$C$100000=S_Curve_Data!F57) *
   (DRG_Status!$B$2:$B$100000=S_Curve_Data!$F$1)
)),0)/$G$1</f>
        <v>0.125</v>
      </c>
      <c r="H57" s="23" cm="1">
        <f t="array" ref="H57">IFERROR(ROWS(_xlfn._xlws.FILTER(
   DRG_Status!$A$2:$A$100000,
   (DRG_Status!$D$2:$D$100000=S_Curve_Data!F57) *
   (DRG_Status!$B$2:$B$100000=S_Curve_Data!$F$1)
)),0)/$G$1</f>
        <v>0.25</v>
      </c>
      <c r="I57" s="23" cm="1">
        <f t="array" ref="I57">IFERROR(ROWS(_xlfn._xlws.FILTER(
   DRG_Status!$A$2:$A$100000,
   (DRG_Status!$E$2:$E$100000=S_Curve_Data!F57) *
   (DRG_Status!$B$2:$B$100000=S_Curve_Data!$F$1)
)),0)/$G$1</f>
        <v>0.1875</v>
      </c>
      <c r="J57" s="23" cm="1">
        <f t="array" ref="J57">IFERROR(ROWS(_xlfn._xlws.FILTER(
   DRG_Status!$A$2:$A$100000,
   (DRG_Status!$F$2:$F$100000=S_Curve_Data!F57) *
   (DRG_Status!$B$2:$B$100000=S_Curve_Data!$F$1)
)),0)/$G$1</f>
        <v>0</v>
      </c>
      <c r="M57" s="17">
        <f>Mappings!B56</f>
        <v>46041</v>
      </c>
      <c r="N57" s="23" cm="1">
        <f t="array" ref="N57">IFERROR(ROWS(_xlfn._xlws.FILTER(
   DRG_Status!$A$2:$A$100000,
   (DRG_Status!$C$2:$C$100000=S_Curve_Data!M57) *
   (DRG_Status!$B$2:$B$100000=S_Curve_Data!$M$1)
)),0)/$N$1</f>
        <v>0.25</v>
      </c>
      <c r="O57" s="23" cm="1">
        <f t="array" ref="O57">IFERROR(ROWS(_xlfn._xlws.FILTER(
   DRG_Status!$A$2:$A$100000,
   (DRG_Status!$D$2:$D$100000=S_Curve_Data!M57) *
   (DRG_Status!$B$2:$B$100000=S_Curve_Data!$M$1)
)),0)/$N$1</f>
        <v>0</v>
      </c>
      <c r="P57" s="23" cm="1">
        <f t="array" ref="P57">IFERROR(ROWS(_xlfn._xlws.FILTER(
   DRG_Status!$A$2:$A$100000,
   (DRG_Status!$E$2:$E$100000=S_Curve_Data!M57) *
   (DRG_Status!$B$2:$B$100000=S_Curve_Data!$M$1)
)),0)/$N$1</f>
        <v>0</v>
      </c>
      <c r="Q57" s="23" cm="1">
        <f t="array" ref="Q57">IFERROR(ROWS(_xlfn._xlws.FILTER(
   DRG_Status!$A$2:$A$100000,
   (DRG_Status!$F$2:$F$100000=S_Curve_Data!M57) *
   (DRG_Status!$B$2:$B$100000=S_Curve_Data!$M$1)
)),0)/$N$1</f>
        <v>0</v>
      </c>
      <c r="T57" s="17">
        <f>Mappings!B56</f>
        <v>46041</v>
      </c>
      <c r="U57" s="23" t="e" cm="1">
        <f t="array" ref="U57">IFERROR(ROWS(_xlfn._xlws.FILTER(
   DRG_Status!$A$2:$A$100000,
   (DRG_Status!$C$2:$C$100000=S_Curve_Data!T57) *
   (DRG_Status!$B$2:$B$100000=S_Curve_Data!$T$1)
)),0)/$U$1</f>
        <v>#N/A</v>
      </c>
      <c r="V57" s="23" t="e" cm="1">
        <f t="array" ref="V57">IFERROR(ROWS(_xlfn._xlws.FILTER(
   DRG_Status!$A$2:$A$100000,
   (DRG_Status!$D$2:$D$100000=S_Curve_Data!T57) *
   (DRG_Status!$B$2:$B$100000=S_Curve_Data!$T$1)
)),0)/$U$1</f>
        <v>#N/A</v>
      </c>
      <c r="W57" s="23" t="e" cm="1">
        <f t="array" ref="W57">IFERROR(ROWS(_xlfn._xlws.FILTER(
   DRG_Status!$A$2:$A$100000,
   (DRG_Status!$E$2:$E$100000=S_Curve_Data!T57) *
   (DRG_Status!$B$2:$B$100000=S_Curve_Data!$T$1)
)),0)/$U$1</f>
        <v>#N/A</v>
      </c>
      <c r="X57" s="23" t="e" cm="1">
        <f t="array" ref="X57">IFERROR(ROWS(_xlfn._xlws.FILTER(
   DRG_Status!$A$2:$A$100000,
   (DRG_Status!$F$2:$F$100000=S_Curve_Data!T57) *
   (DRG_Status!$B$2:$B$100000=S_Curve_Data!$T$1)
)),0)/$U$1</f>
        <v>#N/A</v>
      </c>
    </row>
    <row r="58" spans="6:24">
      <c r="F58" s="17">
        <f>Mappings!B57</f>
        <v>46048</v>
      </c>
      <c r="G58" s="23" cm="1">
        <f t="array" ref="G58">IFERROR(ROWS(_xlfn._xlws.FILTER(
   DRG_Status!$A$2:$A$100000,
   (DRG_Status!$C$2:$C$100000=S_Curve_Data!F58) *
   (DRG_Status!$B$2:$B$100000=S_Curve_Data!$F$1)
)),0)/$G$1</f>
        <v>0.125</v>
      </c>
      <c r="H58" s="23" cm="1">
        <f t="array" ref="H58">IFERROR(ROWS(_xlfn._xlws.FILTER(
   DRG_Status!$A$2:$A$100000,
   (DRG_Status!$D$2:$D$100000=S_Curve_Data!F58) *
   (DRG_Status!$B$2:$B$100000=S_Curve_Data!$F$1)
)),0)/$G$1</f>
        <v>0</v>
      </c>
      <c r="I58" s="23" cm="1">
        <f t="array" ref="I58">IFERROR(ROWS(_xlfn._xlws.FILTER(
   DRG_Status!$A$2:$A$100000,
   (DRG_Status!$E$2:$E$100000=S_Curve_Data!F58) *
   (DRG_Status!$B$2:$B$100000=S_Curve_Data!$F$1)
)),0)/$G$1</f>
        <v>0.125</v>
      </c>
      <c r="J58" s="23" cm="1">
        <f t="array" ref="J58">IFERROR(ROWS(_xlfn._xlws.FILTER(
   DRG_Status!$A$2:$A$100000,
   (DRG_Status!$F$2:$F$100000=S_Curve_Data!F58) *
   (DRG_Status!$B$2:$B$100000=S_Curve_Data!$F$1)
)),0)/$G$1</f>
        <v>0</v>
      </c>
      <c r="M58" s="17">
        <f>Mappings!B57</f>
        <v>46048</v>
      </c>
      <c r="N58" s="23" cm="1">
        <f t="array" ref="N58">IFERROR(ROWS(_xlfn._xlws.FILTER(
   DRG_Status!$A$2:$A$100000,
   (DRG_Status!$C$2:$C$100000=S_Curve_Data!M58) *
   (DRG_Status!$B$2:$B$100000=S_Curve_Data!$M$1)
)),0)/$N$1</f>
        <v>0.75</v>
      </c>
      <c r="O58" s="23" cm="1">
        <f t="array" ref="O58">IFERROR(ROWS(_xlfn._xlws.FILTER(
   DRG_Status!$A$2:$A$100000,
   (DRG_Status!$D$2:$D$100000=S_Curve_Data!M58) *
   (DRG_Status!$B$2:$B$100000=S_Curve_Data!$M$1)
)),0)/$N$1</f>
        <v>0</v>
      </c>
      <c r="P58" s="23" cm="1">
        <f t="array" ref="P58">IFERROR(ROWS(_xlfn._xlws.FILTER(
   DRG_Status!$A$2:$A$100000,
   (DRG_Status!$E$2:$E$100000=S_Curve_Data!M58) *
   (DRG_Status!$B$2:$B$100000=S_Curve_Data!$M$1)
)),0)/$N$1</f>
        <v>0.5</v>
      </c>
      <c r="Q58" s="23" cm="1">
        <f t="array" ref="Q58">IFERROR(ROWS(_xlfn._xlws.FILTER(
   DRG_Status!$A$2:$A$100000,
   (DRG_Status!$F$2:$F$100000=S_Curve_Data!M58) *
   (DRG_Status!$B$2:$B$100000=S_Curve_Data!$M$1)
)),0)/$N$1</f>
        <v>0</v>
      </c>
      <c r="T58" s="17">
        <f>Mappings!B57</f>
        <v>46048</v>
      </c>
      <c r="U58" s="23" t="e" cm="1">
        <f t="array" ref="U58">IFERROR(ROWS(_xlfn._xlws.FILTER(
   DRG_Status!$A$2:$A$100000,
   (DRG_Status!$C$2:$C$100000=S_Curve_Data!T58) *
   (DRG_Status!$B$2:$B$100000=S_Curve_Data!$T$1)
)),0)/$U$1</f>
        <v>#N/A</v>
      </c>
      <c r="V58" s="23" t="e" cm="1">
        <f t="array" ref="V58">IFERROR(ROWS(_xlfn._xlws.FILTER(
   DRG_Status!$A$2:$A$100000,
   (DRG_Status!$D$2:$D$100000=S_Curve_Data!T58) *
   (DRG_Status!$B$2:$B$100000=S_Curve_Data!$T$1)
)),0)/$U$1</f>
        <v>#N/A</v>
      </c>
      <c r="W58" s="23" t="e" cm="1">
        <f t="array" ref="W58">IFERROR(ROWS(_xlfn._xlws.FILTER(
   DRG_Status!$A$2:$A$100000,
   (DRG_Status!$E$2:$E$100000=S_Curve_Data!T58) *
   (DRG_Status!$B$2:$B$100000=S_Curve_Data!$T$1)
)),0)/$U$1</f>
        <v>#N/A</v>
      </c>
      <c r="X58" s="23" t="e" cm="1">
        <f t="array" ref="X58">IFERROR(ROWS(_xlfn._xlws.FILTER(
   DRG_Status!$A$2:$A$100000,
   (DRG_Status!$F$2:$F$100000=S_Curve_Data!T58) *
   (DRG_Status!$B$2:$B$100000=S_Curve_Data!$T$1)
)),0)/$U$1</f>
        <v>#N/A</v>
      </c>
    </row>
    <row r="59" spans="6:24">
      <c r="F59" s="17">
        <f>Mappings!B58</f>
        <v>46055</v>
      </c>
      <c r="G59" s="23" cm="1">
        <f t="array" ref="G59">IFERROR(ROWS(_xlfn._xlws.FILTER(
   DRG_Status!$A$2:$A$100000,
   (DRG_Status!$C$2:$C$100000=S_Curve_Data!F59) *
   (DRG_Status!$B$2:$B$100000=S_Curve_Data!$F$1)
)),0)/$G$1</f>
        <v>0.1875</v>
      </c>
      <c r="H59" s="23" cm="1">
        <f t="array" ref="H59">IFERROR(ROWS(_xlfn._xlws.FILTER(
   DRG_Status!$A$2:$A$100000,
   (DRG_Status!$D$2:$D$100000=S_Curve_Data!F59) *
   (DRG_Status!$B$2:$B$100000=S_Curve_Data!$F$1)
)),0)/$G$1</f>
        <v>0</v>
      </c>
      <c r="I59" s="23" cm="1">
        <f t="array" ref="I59">IFERROR(ROWS(_xlfn._xlws.FILTER(
   DRG_Status!$A$2:$A$100000,
   (DRG_Status!$E$2:$E$100000=S_Curve_Data!F59) *
   (DRG_Status!$B$2:$B$100000=S_Curve_Data!$F$1)
)),0)/$G$1</f>
        <v>0.125</v>
      </c>
      <c r="J59" s="23" cm="1">
        <f t="array" ref="J59">IFERROR(ROWS(_xlfn._xlws.FILTER(
   DRG_Status!$A$2:$A$100000,
   (DRG_Status!$F$2:$F$100000=S_Curve_Data!F59) *
   (DRG_Status!$B$2:$B$100000=S_Curve_Data!$F$1)
)),0)/$G$1</f>
        <v>0.25</v>
      </c>
      <c r="M59" s="17">
        <f>Mappings!B58</f>
        <v>46055</v>
      </c>
      <c r="N59" s="23" cm="1">
        <f t="array" ref="N59">IFERROR(ROWS(_xlfn._xlws.FILTER(
   DRG_Status!$A$2:$A$100000,
   (DRG_Status!$C$2:$C$100000=S_Curve_Data!M59) *
   (DRG_Status!$B$2:$B$100000=S_Curve_Data!$M$1)
)),0)/$N$1</f>
        <v>0</v>
      </c>
      <c r="O59" s="23" cm="1">
        <f t="array" ref="O59">IFERROR(ROWS(_xlfn._xlws.FILTER(
   DRG_Status!$A$2:$A$100000,
   (DRG_Status!$D$2:$D$100000=S_Curve_Data!M59) *
   (DRG_Status!$B$2:$B$100000=S_Curve_Data!$M$1)
)),0)/$N$1</f>
        <v>0</v>
      </c>
      <c r="P59" s="23" cm="1">
        <f t="array" ref="P59">IFERROR(ROWS(_xlfn._xlws.FILTER(
   DRG_Status!$A$2:$A$100000,
   (DRG_Status!$E$2:$E$100000=S_Curve_Data!M59) *
   (DRG_Status!$B$2:$B$100000=S_Curve_Data!$M$1)
)),0)/$N$1</f>
        <v>0.5</v>
      </c>
      <c r="Q59" s="23" cm="1">
        <f t="array" ref="Q59">IFERROR(ROWS(_xlfn._xlws.FILTER(
   DRG_Status!$A$2:$A$100000,
   (DRG_Status!$F$2:$F$100000=S_Curve_Data!M59) *
   (DRG_Status!$B$2:$B$100000=S_Curve_Data!$M$1)
)),0)/$N$1</f>
        <v>0</v>
      </c>
      <c r="T59" s="17">
        <f>Mappings!B58</f>
        <v>46055</v>
      </c>
      <c r="U59" s="23" t="e" cm="1">
        <f t="array" ref="U59">IFERROR(ROWS(_xlfn._xlws.FILTER(
   DRG_Status!$A$2:$A$100000,
   (DRG_Status!$C$2:$C$100000=S_Curve_Data!T59) *
   (DRG_Status!$B$2:$B$100000=S_Curve_Data!$T$1)
)),0)/$U$1</f>
        <v>#N/A</v>
      </c>
      <c r="V59" s="23" t="e" cm="1">
        <f t="array" ref="V59">IFERROR(ROWS(_xlfn._xlws.FILTER(
   DRG_Status!$A$2:$A$100000,
   (DRG_Status!$D$2:$D$100000=S_Curve_Data!T59) *
   (DRG_Status!$B$2:$B$100000=S_Curve_Data!$T$1)
)),0)/$U$1</f>
        <v>#N/A</v>
      </c>
      <c r="W59" s="23" t="e" cm="1">
        <f t="array" ref="W59">IFERROR(ROWS(_xlfn._xlws.FILTER(
   DRG_Status!$A$2:$A$100000,
   (DRG_Status!$E$2:$E$100000=S_Curve_Data!T59) *
   (DRG_Status!$B$2:$B$100000=S_Curve_Data!$T$1)
)),0)/$U$1</f>
        <v>#N/A</v>
      </c>
      <c r="X59" s="23" t="e" cm="1">
        <f t="array" ref="X59">IFERROR(ROWS(_xlfn._xlws.FILTER(
   DRG_Status!$A$2:$A$100000,
   (DRG_Status!$F$2:$F$100000=S_Curve_Data!T59) *
   (DRG_Status!$B$2:$B$100000=S_Curve_Data!$T$1)
)),0)/$U$1</f>
        <v>#N/A</v>
      </c>
    </row>
    <row r="60" spans="6:24">
      <c r="F60" s="17">
        <f>Mappings!B59</f>
        <v>46062</v>
      </c>
      <c r="G60" s="23" cm="1">
        <f t="array" ref="G60">IFERROR(ROWS(_xlfn._xlws.FILTER(
   DRG_Status!$A$2:$A$100000,
   (DRG_Status!$C$2:$C$100000=S_Curve_Data!F60) *
   (DRG_Status!$B$2:$B$100000=S_Curve_Data!$F$1)
)),0)/$G$1</f>
        <v>0.125</v>
      </c>
      <c r="H60" s="23" cm="1">
        <f t="array" ref="H60">IFERROR(ROWS(_xlfn._xlws.FILTER(
   DRG_Status!$A$2:$A$100000,
   (DRG_Status!$D$2:$D$100000=S_Curve_Data!F60) *
   (DRG_Status!$B$2:$B$100000=S_Curve_Data!$F$1)
)),0)/$G$1</f>
        <v>0</v>
      </c>
      <c r="I60" s="23" cm="1">
        <f t="array" ref="I60">IFERROR(ROWS(_xlfn._xlws.FILTER(
   DRG_Status!$A$2:$A$100000,
   (DRG_Status!$E$2:$E$100000=S_Curve_Data!F60) *
   (DRG_Status!$B$2:$B$100000=S_Curve_Data!$F$1)
)),0)/$G$1</f>
        <v>0.1875</v>
      </c>
      <c r="J60" s="23" cm="1">
        <f t="array" ref="J60">IFERROR(ROWS(_xlfn._xlws.FILTER(
   DRG_Status!$A$2:$A$100000,
   (DRG_Status!$F$2:$F$100000=S_Curve_Data!F60) *
   (DRG_Status!$B$2:$B$100000=S_Curve_Data!$F$1)
)),0)/$G$1</f>
        <v>0</v>
      </c>
      <c r="M60" s="17">
        <f>Mappings!B59</f>
        <v>46062</v>
      </c>
      <c r="N60" s="23" cm="1">
        <f t="array" ref="N60">IFERROR(ROWS(_xlfn._xlws.FILTER(
   DRG_Status!$A$2:$A$100000,
   (DRG_Status!$C$2:$C$100000=S_Curve_Data!M60) *
   (DRG_Status!$B$2:$B$100000=S_Curve_Data!$M$1)
)),0)/$N$1</f>
        <v>0</v>
      </c>
      <c r="O60" s="23" cm="1">
        <f t="array" ref="O60">IFERROR(ROWS(_xlfn._xlws.FILTER(
   DRG_Status!$A$2:$A$100000,
   (DRG_Status!$D$2:$D$100000=S_Curve_Data!M60) *
   (DRG_Status!$B$2:$B$100000=S_Curve_Data!$M$1)
)),0)/$N$1</f>
        <v>0</v>
      </c>
      <c r="P60" s="23" cm="1">
        <f t="array" ref="P60">IFERROR(ROWS(_xlfn._xlws.FILTER(
   DRG_Status!$A$2:$A$100000,
   (DRG_Status!$E$2:$E$100000=S_Curve_Data!M60) *
   (DRG_Status!$B$2:$B$100000=S_Curve_Data!$M$1)
)),0)/$N$1</f>
        <v>0</v>
      </c>
      <c r="Q60" s="23" cm="1">
        <f t="array" ref="Q60">IFERROR(ROWS(_xlfn._xlws.FILTER(
   DRG_Status!$A$2:$A$100000,
   (DRG_Status!$F$2:$F$100000=S_Curve_Data!M60) *
   (DRG_Status!$B$2:$B$100000=S_Curve_Data!$M$1)
)),0)/$N$1</f>
        <v>0</v>
      </c>
      <c r="T60" s="17">
        <f>Mappings!B59</f>
        <v>46062</v>
      </c>
      <c r="U60" s="23" t="e" cm="1">
        <f t="array" ref="U60">IFERROR(ROWS(_xlfn._xlws.FILTER(
   DRG_Status!$A$2:$A$100000,
   (DRG_Status!$C$2:$C$100000=S_Curve_Data!T60) *
   (DRG_Status!$B$2:$B$100000=S_Curve_Data!$T$1)
)),0)/$U$1</f>
        <v>#N/A</v>
      </c>
      <c r="V60" s="23" t="e" cm="1">
        <f t="array" ref="V60">IFERROR(ROWS(_xlfn._xlws.FILTER(
   DRG_Status!$A$2:$A$100000,
   (DRG_Status!$D$2:$D$100000=S_Curve_Data!T60) *
   (DRG_Status!$B$2:$B$100000=S_Curve_Data!$T$1)
)),0)/$U$1</f>
        <v>#N/A</v>
      </c>
      <c r="W60" s="23" t="e" cm="1">
        <f t="array" ref="W60">IFERROR(ROWS(_xlfn._xlws.FILTER(
   DRG_Status!$A$2:$A$100000,
   (DRG_Status!$E$2:$E$100000=S_Curve_Data!T60) *
   (DRG_Status!$B$2:$B$100000=S_Curve_Data!$T$1)
)),0)/$U$1</f>
        <v>#N/A</v>
      </c>
      <c r="X60" s="23" t="e" cm="1">
        <f t="array" ref="X60">IFERROR(ROWS(_xlfn._xlws.FILTER(
   DRG_Status!$A$2:$A$100000,
   (DRG_Status!$F$2:$F$100000=S_Curve_Data!T60) *
   (DRG_Status!$B$2:$B$100000=S_Curve_Data!$T$1)
)),0)/$U$1</f>
        <v>#N/A</v>
      </c>
    </row>
    <row r="61" spans="6:24">
      <c r="F61" s="17">
        <f>Mappings!B60</f>
        <v>46069</v>
      </c>
      <c r="G61" s="23" cm="1">
        <f t="array" ref="G61">IFERROR(ROWS(_xlfn._xlws.FILTER(
   DRG_Status!$A$2:$A$100000,
   (DRG_Status!$C$2:$C$100000=S_Curve_Data!F61) *
   (DRG_Status!$B$2:$B$100000=S_Curve_Data!$F$1)
)),0)/$G$1</f>
        <v>0</v>
      </c>
      <c r="H61" s="23" cm="1">
        <f t="array" ref="H61">IFERROR(ROWS(_xlfn._xlws.FILTER(
   DRG_Status!$A$2:$A$100000,
   (DRG_Status!$D$2:$D$100000=S_Curve_Data!F61) *
   (DRG_Status!$B$2:$B$100000=S_Curve_Data!$F$1)
)),0)/$G$1</f>
        <v>0</v>
      </c>
      <c r="I61" s="23" cm="1">
        <f t="array" ref="I61">IFERROR(ROWS(_xlfn._xlws.FILTER(
   DRG_Status!$A$2:$A$100000,
   (DRG_Status!$E$2:$E$100000=S_Curve_Data!F61) *
   (DRG_Status!$B$2:$B$100000=S_Curve_Data!$F$1)
)),0)/$G$1</f>
        <v>6.25E-2</v>
      </c>
      <c r="J61" s="23" cm="1">
        <f t="array" ref="J61">IFERROR(ROWS(_xlfn._xlws.FILTER(
   DRG_Status!$A$2:$A$100000,
   (DRG_Status!$F$2:$F$100000=S_Curve_Data!F61) *
   (DRG_Status!$B$2:$B$100000=S_Curve_Data!$F$1)
)),0)/$G$1</f>
        <v>0</v>
      </c>
      <c r="M61" s="17">
        <f>Mappings!B60</f>
        <v>46069</v>
      </c>
      <c r="N61" s="23" cm="1">
        <f t="array" ref="N61">IFERROR(ROWS(_xlfn._xlws.FILTER(
   DRG_Status!$A$2:$A$100000,
   (DRG_Status!$C$2:$C$100000=S_Curve_Data!M61) *
   (DRG_Status!$B$2:$B$100000=S_Curve_Data!$M$1)
)),0)/$N$1</f>
        <v>0</v>
      </c>
      <c r="O61" s="23" cm="1">
        <f t="array" ref="O61">IFERROR(ROWS(_xlfn._xlws.FILTER(
   DRG_Status!$A$2:$A$100000,
   (DRG_Status!$D$2:$D$100000=S_Curve_Data!M61) *
   (DRG_Status!$B$2:$B$100000=S_Curve_Data!$M$1)
)),0)/$N$1</f>
        <v>0</v>
      </c>
      <c r="P61" s="23" cm="1">
        <f t="array" ref="P61">IFERROR(ROWS(_xlfn._xlws.FILTER(
   DRG_Status!$A$2:$A$100000,
   (DRG_Status!$E$2:$E$100000=S_Curve_Data!M61) *
   (DRG_Status!$B$2:$B$100000=S_Curve_Data!$M$1)
)),0)/$N$1</f>
        <v>0</v>
      </c>
      <c r="Q61" s="23" cm="1">
        <f t="array" ref="Q61">IFERROR(ROWS(_xlfn._xlws.FILTER(
   DRG_Status!$A$2:$A$100000,
   (DRG_Status!$F$2:$F$100000=S_Curve_Data!M61) *
   (DRG_Status!$B$2:$B$100000=S_Curve_Data!$M$1)
)),0)/$N$1</f>
        <v>0</v>
      </c>
      <c r="T61" s="17">
        <f>Mappings!B60</f>
        <v>46069</v>
      </c>
      <c r="U61" s="23" t="e" cm="1">
        <f t="array" ref="U61">IFERROR(ROWS(_xlfn._xlws.FILTER(
   DRG_Status!$A$2:$A$100000,
   (DRG_Status!$C$2:$C$100000=S_Curve_Data!T61) *
   (DRG_Status!$B$2:$B$100000=S_Curve_Data!$T$1)
)),0)/$U$1</f>
        <v>#N/A</v>
      </c>
      <c r="V61" s="23" t="e" cm="1">
        <f t="array" ref="V61">IFERROR(ROWS(_xlfn._xlws.FILTER(
   DRG_Status!$A$2:$A$100000,
   (DRG_Status!$D$2:$D$100000=S_Curve_Data!T61) *
   (DRG_Status!$B$2:$B$100000=S_Curve_Data!$T$1)
)),0)/$U$1</f>
        <v>#N/A</v>
      </c>
      <c r="W61" s="23" t="e" cm="1">
        <f t="array" ref="W61">IFERROR(ROWS(_xlfn._xlws.FILTER(
   DRG_Status!$A$2:$A$100000,
   (DRG_Status!$E$2:$E$100000=S_Curve_Data!T61) *
   (DRG_Status!$B$2:$B$100000=S_Curve_Data!$T$1)
)),0)/$U$1</f>
        <v>#N/A</v>
      </c>
      <c r="X61" s="23" t="e" cm="1">
        <f t="array" ref="X61">IFERROR(ROWS(_xlfn._xlws.FILTER(
   DRG_Status!$A$2:$A$100000,
   (DRG_Status!$F$2:$F$100000=S_Curve_Data!T61) *
   (DRG_Status!$B$2:$B$100000=S_Curve_Data!$T$1)
)),0)/$U$1</f>
        <v>#N/A</v>
      </c>
    </row>
    <row r="62" spans="6:24">
      <c r="F62" s="17">
        <f>Mappings!B61</f>
        <v>46076</v>
      </c>
      <c r="G62" s="23" cm="1">
        <f t="array" ref="G62">IFERROR(ROWS(_xlfn._xlws.FILTER(
   DRG_Status!$A$2:$A$100000,
   (DRG_Status!$C$2:$C$100000=S_Curve_Data!F62) *
   (DRG_Status!$B$2:$B$100000=S_Curve_Data!$F$1)
)),0)/$G$1</f>
        <v>0</v>
      </c>
      <c r="H62" s="23" cm="1">
        <f t="array" ref="H62">IFERROR(ROWS(_xlfn._xlws.FILTER(
   DRG_Status!$A$2:$A$100000,
   (DRG_Status!$D$2:$D$100000=S_Curve_Data!F62) *
   (DRG_Status!$B$2:$B$100000=S_Curve_Data!$F$1)
)),0)/$G$1</f>
        <v>0</v>
      </c>
      <c r="I62" s="23" cm="1">
        <f t="array" ref="I62">IFERROR(ROWS(_xlfn._xlws.FILTER(
   DRG_Status!$A$2:$A$100000,
   (DRG_Status!$E$2:$E$100000=S_Curve_Data!F62) *
   (DRG_Status!$B$2:$B$100000=S_Curve_Data!$F$1)
)),0)/$G$1</f>
        <v>0</v>
      </c>
      <c r="J62" s="23" cm="1">
        <f t="array" ref="J62">IFERROR(ROWS(_xlfn._xlws.FILTER(
   DRG_Status!$A$2:$A$100000,
   (DRG_Status!$F$2:$F$100000=S_Curve_Data!F62) *
   (DRG_Status!$B$2:$B$100000=S_Curve_Data!$F$1)
)),0)/$G$1</f>
        <v>0</v>
      </c>
      <c r="M62" s="17">
        <f>Mappings!B61</f>
        <v>46076</v>
      </c>
      <c r="N62" s="23" cm="1">
        <f t="array" ref="N62">IFERROR(ROWS(_xlfn._xlws.FILTER(
   DRG_Status!$A$2:$A$100000,
   (DRG_Status!$C$2:$C$100000=S_Curve_Data!M62) *
   (DRG_Status!$B$2:$B$100000=S_Curve_Data!$M$1)
)),0)/$N$1</f>
        <v>0</v>
      </c>
      <c r="O62" s="23" cm="1">
        <f t="array" ref="O62">IFERROR(ROWS(_xlfn._xlws.FILTER(
   DRG_Status!$A$2:$A$100000,
   (DRG_Status!$D$2:$D$100000=S_Curve_Data!M62) *
   (DRG_Status!$B$2:$B$100000=S_Curve_Data!$M$1)
)),0)/$N$1</f>
        <v>0</v>
      </c>
      <c r="P62" s="23" cm="1">
        <f t="array" ref="P62">IFERROR(ROWS(_xlfn._xlws.FILTER(
   DRG_Status!$A$2:$A$100000,
   (DRG_Status!$E$2:$E$100000=S_Curve_Data!M62) *
   (DRG_Status!$B$2:$B$100000=S_Curve_Data!$M$1)
)),0)/$N$1</f>
        <v>0</v>
      </c>
      <c r="Q62" s="23" cm="1">
        <f t="array" ref="Q62">IFERROR(ROWS(_xlfn._xlws.FILTER(
   DRG_Status!$A$2:$A$100000,
   (DRG_Status!$F$2:$F$100000=S_Curve_Data!M62) *
   (DRG_Status!$B$2:$B$100000=S_Curve_Data!$M$1)
)),0)/$N$1</f>
        <v>0</v>
      </c>
      <c r="T62" s="17">
        <f>Mappings!B61</f>
        <v>46076</v>
      </c>
      <c r="U62" s="23" t="e" cm="1">
        <f t="array" ref="U62">IFERROR(ROWS(_xlfn._xlws.FILTER(
   DRG_Status!$A$2:$A$100000,
   (DRG_Status!$C$2:$C$100000=S_Curve_Data!T62) *
   (DRG_Status!$B$2:$B$100000=S_Curve_Data!$T$1)
)),0)/$U$1</f>
        <v>#N/A</v>
      </c>
      <c r="V62" s="23" t="e" cm="1">
        <f t="array" ref="V62">IFERROR(ROWS(_xlfn._xlws.FILTER(
   DRG_Status!$A$2:$A$100000,
   (DRG_Status!$D$2:$D$100000=S_Curve_Data!T62) *
   (DRG_Status!$B$2:$B$100000=S_Curve_Data!$T$1)
)),0)/$U$1</f>
        <v>#N/A</v>
      </c>
      <c r="W62" s="23" t="e" cm="1">
        <f t="array" ref="W62">IFERROR(ROWS(_xlfn._xlws.FILTER(
   DRG_Status!$A$2:$A$100000,
   (DRG_Status!$E$2:$E$100000=S_Curve_Data!T62) *
   (DRG_Status!$B$2:$B$100000=S_Curve_Data!$T$1)
)),0)/$U$1</f>
        <v>#N/A</v>
      </c>
      <c r="X62" s="23" t="e" cm="1">
        <f t="array" ref="X62">IFERROR(ROWS(_xlfn._xlws.FILTER(
   DRG_Status!$A$2:$A$100000,
   (DRG_Status!$F$2:$F$100000=S_Curve_Data!T62) *
   (DRG_Status!$B$2:$B$100000=S_Curve_Data!$T$1)
)),0)/$U$1</f>
        <v>#N/A</v>
      </c>
    </row>
    <row r="63" spans="6:24">
      <c r="F63" s="17">
        <f>Mappings!B62</f>
        <v>46083</v>
      </c>
      <c r="G63" s="23" cm="1">
        <f t="array" ref="G63">IFERROR(ROWS(_xlfn._xlws.FILTER(
   DRG_Status!$A$2:$A$100000,
   (DRG_Status!$C$2:$C$100000=S_Curve_Data!F63) *
   (DRG_Status!$B$2:$B$100000=S_Curve_Data!$F$1)
)),0)/$G$1</f>
        <v>0</v>
      </c>
      <c r="H63" s="23" cm="1">
        <f t="array" ref="H63">IFERROR(ROWS(_xlfn._xlws.FILTER(
   DRG_Status!$A$2:$A$100000,
   (DRG_Status!$D$2:$D$100000=S_Curve_Data!F63) *
   (DRG_Status!$B$2:$B$100000=S_Curve_Data!$F$1)
)),0)/$G$1</f>
        <v>0</v>
      </c>
      <c r="I63" s="23" cm="1">
        <f t="array" ref="I63">IFERROR(ROWS(_xlfn._xlws.FILTER(
   DRG_Status!$A$2:$A$100000,
   (DRG_Status!$E$2:$E$100000=S_Curve_Data!F63) *
   (DRG_Status!$B$2:$B$100000=S_Curve_Data!$F$1)
)),0)/$G$1</f>
        <v>0</v>
      </c>
      <c r="J63" s="23" cm="1">
        <f t="array" ref="J63">IFERROR(ROWS(_xlfn._xlws.FILTER(
   DRG_Status!$A$2:$A$100000,
   (DRG_Status!$F$2:$F$100000=S_Curve_Data!F63) *
   (DRG_Status!$B$2:$B$100000=S_Curve_Data!$F$1)
)),0)/$G$1</f>
        <v>0</v>
      </c>
      <c r="M63" s="17">
        <f>Mappings!B62</f>
        <v>46083</v>
      </c>
      <c r="N63" s="23" cm="1">
        <f t="array" ref="N63">IFERROR(ROWS(_xlfn._xlws.FILTER(
   DRG_Status!$A$2:$A$100000,
   (DRG_Status!$C$2:$C$100000=S_Curve_Data!M63) *
   (DRG_Status!$B$2:$B$100000=S_Curve_Data!$M$1)
)),0)/$N$1</f>
        <v>0</v>
      </c>
      <c r="O63" s="23" cm="1">
        <f t="array" ref="O63">IFERROR(ROWS(_xlfn._xlws.FILTER(
   DRG_Status!$A$2:$A$100000,
   (DRG_Status!$D$2:$D$100000=S_Curve_Data!M63) *
   (DRG_Status!$B$2:$B$100000=S_Curve_Data!$M$1)
)),0)/$N$1</f>
        <v>0</v>
      </c>
      <c r="P63" s="23" cm="1">
        <f t="array" ref="P63">IFERROR(ROWS(_xlfn._xlws.FILTER(
   DRG_Status!$A$2:$A$100000,
   (DRG_Status!$E$2:$E$100000=S_Curve_Data!M63) *
   (DRG_Status!$B$2:$B$100000=S_Curve_Data!$M$1)
)),0)/$N$1</f>
        <v>0</v>
      </c>
      <c r="Q63" s="23" cm="1">
        <f t="array" ref="Q63">IFERROR(ROWS(_xlfn._xlws.FILTER(
   DRG_Status!$A$2:$A$100000,
   (DRG_Status!$F$2:$F$100000=S_Curve_Data!M63) *
   (DRG_Status!$B$2:$B$100000=S_Curve_Data!$M$1)
)),0)/$N$1</f>
        <v>0</v>
      </c>
      <c r="T63" s="17">
        <f>Mappings!B62</f>
        <v>46083</v>
      </c>
      <c r="U63" s="23" t="e" cm="1">
        <f t="array" ref="U63">IFERROR(ROWS(_xlfn._xlws.FILTER(
   DRG_Status!$A$2:$A$100000,
   (DRG_Status!$C$2:$C$100000=S_Curve_Data!T63) *
   (DRG_Status!$B$2:$B$100000=S_Curve_Data!$T$1)
)),0)/$U$1</f>
        <v>#N/A</v>
      </c>
      <c r="V63" s="23" t="e" cm="1">
        <f t="array" ref="V63">IFERROR(ROWS(_xlfn._xlws.FILTER(
   DRG_Status!$A$2:$A$100000,
   (DRG_Status!$D$2:$D$100000=S_Curve_Data!T63) *
   (DRG_Status!$B$2:$B$100000=S_Curve_Data!$T$1)
)),0)/$U$1</f>
        <v>#N/A</v>
      </c>
      <c r="W63" s="23" t="e" cm="1">
        <f t="array" ref="W63">IFERROR(ROWS(_xlfn._xlws.FILTER(
   DRG_Status!$A$2:$A$100000,
   (DRG_Status!$E$2:$E$100000=S_Curve_Data!T63) *
   (DRG_Status!$B$2:$B$100000=S_Curve_Data!$T$1)
)),0)/$U$1</f>
        <v>#N/A</v>
      </c>
      <c r="X63" s="23" t="e" cm="1">
        <f t="array" ref="X63">IFERROR(ROWS(_xlfn._xlws.FILTER(
   DRG_Status!$A$2:$A$100000,
   (DRG_Status!$F$2:$F$100000=S_Curve_Data!T63) *
   (DRG_Status!$B$2:$B$100000=S_Curve_Data!$T$1)
)),0)/$U$1</f>
        <v>#N/A</v>
      </c>
    </row>
    <row r="64" spans="6:24">
      <c r="F64" s="17">
        <f>Mappings!B63</f>
        <v>46090</v>
      </c>
      <c r="G64" s="23" cm="1">
        <f t="array" ref="G64">IFERROR(ROWS(_xlfn._xlws.FILTER(
   DRG_Status!$A$2:$A$100000,
   (DRG_Status!$C$2:$C$100000=S_Curve_Data!F64) *
   (DRG_Status!$B$2:$B$100000=S_Curve_Data!$F$1)
)),0)/$G$1</f>
        <v>0</v>
      </c>
      <c r="H64" s="23" cm="1">
        <f t="array" ref="H64">IFERROR(ROWS(_xlfn._xlws.FILTER(
   DRG_Status!$A$2:$A$100000,
   (DRG_Status!$D$2:$D$100000=S_Curve_Data!F64) *
   (DRG_Status!$B$2:$B$100000=S_Curve_Data!$F$1)
)),0)/$G$1</f>
        <v>0</v>
      </c>
      <c r="I64" s="23" cm="1">
        <f t="array" ref="I64">IFERROR(ROWS(_xlfn._xlws.FILTER(
   DRG_Status!$A$2:$A$100000,
   (DRG_Status!$E$2:$E$100000=S_Curve_Data!F64) *
   (DRG_Status!$B$2:$B$100000=S_Curve_Data!$F$1)
)),0)/$G$1</f>
        <v>0</v>
      </c>
      <c r="J64" s="23" cm="1">
        <f t="array" ref="J64">IFERROR(ROWS(_xlfn._xlws.FILTER(
   DRG_Status!$A$2:$A$100000,
   (DRG_Status!$F$2:$F$100000=S_Curve_Data!F64) *
   (DRG_Status!$B$2:$B$100000=S_Curve_Data!$F$1)
)),0)/$G$1</f>
        <v>0</v>
      </c>
      <c r="M64" s="17">
        <f>Mappings!B63</f>
        <v>46090</v>
      </c>
      <c r="N64" s="23" cm="1">
        <f t="array" ref="N64">IFERROR(ROWS(_xlfn._xlws.FILTER(
   DRG_Status!$A$2:$A$100000,
   (DRG_Status!$C$2:$C$100000=S_Curve_Data!M64) *
   (DRG_Status!$B$2:$B$100000=S_Curve_Data!$M$1)
)),0)/$N$1</f>
        <v>0</v>
      </c>
      <c r="O64" s="23" cm="1">
        <f t="array" ref="O64">IFERROR(ROWS(_xlfn._xlws.FILTER(
   DRG_Status!$A$2:$A$100000,
   (DRG_Status!$D$2:$D$100000=S_Curve_Data!M64) *
   (DRG_Status!$B$2:$B$100000=S_Curve_Data!$M$1)
)),0)/$N$1</f>
        <v>0</v>
      </c>
      <c r="P64" s="23" cm="1">
        <f t="array" ref="P64">IFERROR(ROWS(_xlfn._xlws.FILTER(
   DRG_Status!$A$2:$A$100000,
   (DRG_Status!$E$2:$E$100000=S_Curve_Data!M64) *
   (DRG_Status!$B$2:$B$100000=S_Curve_Data!$M$1)
)),0)/$N$1</f>
        <v>0</v>
      </c>
      <c r="Q64" s="23" cm="1">
        <f t="array" ref="Q64">IFERROR(ROWS(_xlfn._xlws.FILTER(
   DRG_Status!$A$2:$A$100000,
   (DRG_Status!$F$2:$F$100000=S_Curve_Data!M64) *
   (DRG_Status!$B$2:$B$100000=S_Curve_Data!$M$1)
)),0)/$N$1</f>
        <v>0</v>
      </c>
      <c r="T64" s="17">
        <f>Mappings!B63</f>
        <v>46090</v>
      </c>
      <c r="U64" s="23" t="e" cm="1">
        <f t="array" ref="U64">IFERROR(ROWS(_xlfn._xlws.FILTER(
   DRG_Status!$A$2:$A$100000,
   (DRG_Status!$C$2:$C$100000=S_Curve_Data!T64) *
   (DRG_Status!$B$2:$B$100000=S_Curve_Data!$T$1)
)),0)/$U$1</f>
        <v>#N/A</v>
      </c>
      <c r="V64" s="23" t="e" cm="1">
        <f t="array" ref="V64">IFERROR(ROWS(_xlfn._xlws.FILTER(
   DRG_Status!$A$2:$A$100000,
   (DRG_Status!$D$2:$D$100000=S_Curve_Data!T64) *
   (DRG_Status!$B$2:$B$100000=S_Curve_Data!$T$1)
)),0)/$U$1</f>
        <v>#N/A</v>
      </c>
      <c r="W64" s="23" t="e" cm="1">
        <f t="array" ref="W64">IFERROR(ROWS(_xlfn._xlws.FILTER(
   DRG_Status!$A$2:$A$100000,
   (DRG_Status!$E$2:$E$100000=S_Curve_Data!T64) *
   (DRG_Status!$B$2:$B$100000=S_Curve_Data!$T$1)
)),0)/$U$1</f>
        <v>#N/A</v>
      </c>
      <c r="X64" s="23" t="e" cm="1">
        <f t="array" ref="X64">IFERROR(ROWS(_xlfn._xlws.FILTER(
   DRG_Status!$A$2:$A$100000,
   (DRG_Status!$F$2:$F$100000=S_Curve_Data!T64) *
   (DRG_Status!$B$2:$B$100000=S_Curve_Data!$T$1)
)),0)/$U$1</f>
        <v>#N/A</v>
      </c>
    </row>
    <row r="65" spans="6:24">
      <c r="F65" s="17">
        <f>Mappings!B64</f>
        <v>46097</v>
      </c>
      <c r="G65" s="23" cm="1">
        <f t="array" ref="G65">IFERROR(ROWS(_xlfn._xlws.FILTER(
   DRG_Status!$A$2:$A$100000,
   (DRG_Status!$C$2:$C$100000=S_Curve_Data!F65) *
   (DRG_Status!$B$2:$B$100000=S_Curve_Data!$F$1)
)),0)/$G$1</f>
        <v>0</v>
      </c>
      <c r="H65" s="23" cm="1">
        <f t="array" ref="H65">IFERROR(ROWS(_xlfn._xlws.FILTER(
   DRG_Status!$A$2:$A$100000,
   (DRG_Status!$D$2:$D$100000=S_Curve_Data!F65) *
   (DRG_Status!$B$2:$B$100000=S_Curve_Data!$F$1)
)),0)/$G$1</f>
        <v>0</v>
      </c>
      <c r="I65" s="23" cm="1">
        <f t="array" ref="I65">IFERROR(ROWS(_xlfn._xlws.FILTER(
   DRG_Status!$A$2:$A$100000,
   (DRG_Status!$E$2:$E$100000=S_Curve_Data!F65) *
   (DRG_Status!$B$2:$B$100000=S_Curve_Data!$F$1)
)),0)/$G$1</f>
        <v>0</v>
      </c>
      <c r="J65" s="23" cm="1">
        <f t="array" ref="J65">IFERROR(ROWS(_xlfn._xlws.FILTER(
   DRG_Status!$A$2:$A$100000,
   (DRG_Status!$F$2:$F$100000=S_Curve_Data!F65) *
   (DRG_Status!$B$2:$B$100000=S_Curve_Data!$F$1)
)),0)/$G$1</f>
        <v>0</v>
      </c>
      <c r="M65" s="17">
        <f>Mappings!B64</f>
        <v>46097</v>
      </c>
      <c r="N65" s="23" cm="1">
        <f t="array" ref="N65">IFERROR(ROWS(_xlfn._xlws.FILTER(
   DRG_Status!$A$2:$A$100000,
   (DRG_Status!$C$2:$C$100000=S_Curve_Data!M65) *
   (DRG_Status!$B$2:$B$100000=S_Curve_Data!$M$1)
)),0)/$N$1</f>
        <v>0</v>
      </c>
      <c r="O65" s="23" cm="1">
        <f t="array" ref="O65">IFERROR(ROWS(_xlfn._xlws.FILTER(
   DRG_Status!$A$2:$A$100000,
   (DRG_Status!$D$2:$D$100000=S_Curve_Data!M65) *
   (DRG_Status!$B$2:$B$100000=S_Curve_Data!$M$1)
)),0)/$N$1</f>
        <v>0</v>
      </c>
      <c r="P65" s="23" cm="1">
        <f t="array" ref="P65">IFERROR(ROWS(_xlfn._xlws.FILTER(
   DRG_Status!$A$2:$A$100000,
   (DRG_Status!$E$2:$E$100000=S_Curve_Data!M65) *
   (DRG_Status!$B$2:$B$100000=S_Curve_Data!$M$1)
)),0)/$N$1</f>
        <v>0</v>
      </c>
      <c r="Q65" s="23" cm="1">
        <f t="array" ref="Q65">IFERROR(ROWS(_xlfn._xlws.FILTER(
   DRG_Status!$A$2:$A$100000,
   (DRG_Status!$F$2:$F$100000=S_Curve_Data!M65) *
   (DRG_Status!$B$2:$B$100000=S_Curve_Data!$M$1)
)),0)/$N$1</f>
        <v>0</v>
      </c>
      <c r="T65" s="17">
        <f>Mappings!B64</f>
        <v>46097</v>
      </c>
      <c r="U65" s="23" t="e" cm="1">
        <f t="array" ref="U65">IFERROR(ROWS(_xlfn._xlws.FILTER(
   DRG_Status!$A$2:$A$100000,
   (DRG_Status!$C$2:$C$100000=S_Curve_Data!T65) *
   (DRG_Status!$B$2:$B$100000=S_Curve_Data!$T$1)
)),0)/$U$1</f>
        <v>#N/A</v>
      </c>
      <c r="V65" s="23" t="e" cm="1">
        <f t="array" ref="V65">IFERROR(ROWS(_xlfn._xlws.FILTER(
   DRG_Status!$A$2:$A$100000,
   (DRG_Status!$D$2:$D$100000=S_Curve_Data!T65) *
   (DRG_Status!$B$2:$B$100000=S_Curve_Data!$T$1)
)),0)/$U$1</f>
        <v>#N/A</v>
      </c>
      <c r="W65" s="23" t="e" cm="1">
        <f t="array" ref="W65">IFERROR(ROWS(_xlfn._xlws.FILTER(
   DRG_Status!$A$2:$A$100000,
   (DRG_Status!$E$2:$E$100000=S_Curve_Data!T65) *
   (DRG_Status!$B$2:$B$100000=S_Curve_Data!$T$1)
)),0)/$U$1</f>
        <v>#N/A</v>
      </c>
      <c r="X65" s="23" t="e" cm="1">
        <f t="array" ref="X65">IFERROR(ROWS(_xlfn._xlws.FILTER(
   DRG_Status!$A$2:$A$100000,
   (DRG_Status!$F$2:$F$100000=S_Curve_Data!T65) *
   (DRG_Status!$B$2:$B$100000=S_Curve_Data!$T$1)
)),0)/$U$1</f>
        <v>#N/A</v>
      </c>
    </row>
    <row r="66" spans="6:24">
      <c r="F66" s="17">
        <f>Mappings!B65</f>
        <v>46104</v>
      </c>
      <c r="G66" s="23" cm="1">
        <f t="array" ref="G66">IFERROR(ROWS(_xlfn._xlws.FILTER(
   DRG_Status!$A$2:$A$100000,
   (DRG_Status!$C$2:$C$100000=S_Curve_Data!F66) *
   (DRG_Status!$B$2:$B$100000=S_Curve_Data!$F$1)
)),0)/$G$1</f>
        <v>0</v>
      </c>
      <c r="H66" s="23" cm="1">
        <f t="array" ref="H66">IFERROR(ROWS(_xlfn._xlws.FILTER(
   DRG_Status!$A$2:$A$100000,
   (DRG_Status!$D$2:$D$100000=S_Curve_Data!F66) *
   (DRG_Status!$B$2:$B$100000=S_Curve_Data!$F$1)
)),0)/$G$1</f>
        <v>0</v>
      </c>
      <c r="I66" s="23" cm="1">
        <f t="array" ref="I66">IFERROR(ROWS(_xlfn._xlws.FILTER(
   DRG_Status!$A$2:$A$100000,
   (DRG_Status!$E$2:$E$100000=S_Curve_Data!F66) *
   (DRG_Status!$B$2:$B$100000=S_Curve_Data!$F$1)
)),0)/$G$1</f>
        <v>0</v>
      </c>
      <c r="J66" s="23" cm="1">
        <f t="array" ref="J66">IFERROR(ROWS(_xlfn._xlws.FILTER(
   DRG_Status!$A$2:$A$100000,
   (DRG_Status!$F$2:$F$100000=S_Curve_Data!F66) *
   (DRG_Status!$B$2:$B$100000=S_Curve_Data!$F$1)
)),0)/$G$1</f>
        <v>0</v>
      </c>
      <c r="M66" s="17">
        <f>Mappings!B65</f>
        <v>46104</v>
      </c>
      <c r="N66" s="23" cm="1">
        <f t="array" ref="N66">IFERROR(ROWS(_xlfn._xlws.FILTER(
   DRG_Status!$A$2:$A$100000,
   (DRG_Status!$C$2:$C$100000=S_Curve_Data!M66) *
   (DRG_Status!$B$2:$B$100000=S_Curve_Data!$M$1)
)),0)/$N$1</f>
        <v>0</v>
      </c>
      <c r="O66" s="23" cm="1">
        <f t="array" ref="O66">IFERROR(ROWS(_xlfn._xlws.FILTER(
   DRG_Status!$A$2:$A$100000,
   (DRG_Status!$D$2:$D$100000=S_Curve_Data!M66) *
   (DRG_Status!$B$2:$B$100000=S_Curve_Data!$M$1)
)),0)/$N$1</f>
        <v>0</v>
      </c>
      <c r="P66" s="23" cm="1">
        <f t="array" ref="P66">IFERROR(ROWS(_xlfn._xlws.FILTER(
   DRG_Status!$A$2:$A$100000,
   (DRG_Status!$E$2:$E$100000=S_Curve_Data!M66) *
   (DRG_Status!$B$2:$B$100000=S_Curve_Data!$M$1)
)),0)/$N$1</f>
        <v>0</v>
      </c>
      <c r="Q66" s="23" cm="1">
        <f t="array" ref="Q66">IFERROR(ROWS(_xlfn._xlws.FILTER(
   DRG_Status!$A$2:$A$100000,
   (DRG_Status!$F$2:$F$100000=S_Curve_Data!M66) *
   (DRG_Status!$B$2:$B$100000=S_Curve_Data!$M$1)
)),0)/$N$1</f>
        <v>0</v>
      </c>
      <c r="T66" s="17">
        <f>Mappings!B65</f>
        <v>46104</v>
      </c>
      <c r="U66" s="23" t="e" cm="1">
        <f t="array" ref="U66">IFERROR(ROWS(_xlfn._xlws.FILTER(
   DRG_Status!$A$2:$A$100000,
   (DRG_Status!$C$2:$C$100000=S_Curve_Data!T66) *
   (DRG_Status!$B$2:$B$100000=S_Curve_Data!$T$1)
)),0)/$U$1</f>
        <v>#N/A</v>
      </c>
      <c r="V66" s="23" t="e" cm="1">
        <f t="array" ref="V66">IFERROR(ROWS(_xlfn._xlws.FILTER(
   DRG_Status!$A$2:$A$100000,
   (DRG_Status!$D$2:$D$100000=S_Curve_Data!T66) *
   (DRG_Status!$B$2:$B$100000=S_Curve_Data!$T$1)
)),0)/$U$1</f>
        <v>#N/A</v>
      </c>
      <c r="W66" s="23" t="e" cm="1">
        <f t="array" ref="W66">IFERROR(ROWS(_xlfn._xlws.FILTER(
   DRG_Status!$A$2:$A$100000,
   (DRG_Status!$E$2:$E$100000=S_Curve_Data!T66) *
   (DRG_Status!$B$2:$B$100000=S_Curve_Data!$T$1)
)),0)/$U$1</f>
        <v>#N/A</v>
      </c>
      <c r="X66" s="23" t="e" cm="1">
        <f t="array" ref="X66">IFERROR(ROWS(_xlfn._xlws.FILTER(
   DRG_Status!$A$2:$A$100000,
   (DRG_Status!$F$2:$F$100000=S_Curve_Data!T66) *
   (DRG_Status!$B$2:$B$100000=S_Curve_Data!$T$1)
)),0)/$U$1</f>
        <v>#N/A</v>
      </c>
    </row>
    <row r="67" spans="6:24">
      <c r="F67" s="17">
        <f>Mappings!B66</f>
        <v>46111</v>
      </c>
      <c r="G67" s="23" cm="1">
        <f t="array" ref="G67">IFERROR(ROWS(_xlfn._xlws.FILTER(
   DRG_Status!$A$2:$A$100000,
   (DRG_Status!$C$2:$C$100000=S_Curve_Data!F67) *
   (DRG_Status!$B$2:$B$100000=S_Curve_Data!$F$1)
)),0)/$G$1</f>
        <v>0</v>
      </c>
      <c r="H67" s="23" cm="1">
        <f t="array" ref="H67">IFERROR(ROWS(_xlfn._xlws.FILTER(
   DRG_Status!$A$2:$A$100000,
   (DRG_Status!$D$2:$D$100000=S_Curve_Data!F67) *
   (DRG_Status!$B$2:$B$100000=S_Curve_Data!$F$1)
)),0)/$G$1</f>
        <v>0</v>
      </c>
      <c r="I67" s="23" cm="1">
        <f t="array" ref="I67">IFERROR(ROWS(_xlfn._xlws.FILTER(
   DRG_Status!$A$2:$A$100000,
   (DRG_Status!$E$2:$E$100000=S_Curve_Data!F67) *
   (DRG_Status!$B$2:$B$100000=S_Curve_Data!$F$1)
)),0)/$G$1</f>
        <v>0</v>
      </c>
      <c r="J67" s="23" cm="1">
        <f t="array" ref="J67">IFERROR(ROWS(_xlfn._xlws.FILTER(
   DRG_Status!$A$2:$A$100000,
   (DRG_Status!$F$2:$F$100000=S_Curve_Data!F67) *
   (DRG_Status!$B$2:$B$100000=S_Curve_Data!$F$1)
)),0)/$G$1</f>
        <v>0</v>
      </c>
      <c r="M67" s="17">
        <f>Mappings!B66</f>
        <v>46111</v>
      </c>
      <c r="N67" s="23" cm="1">
        <f t="array" ref="N67">IFERROR(ROWS(_xlfn._xlws.FILTER(
   DRG_Status!$A$2:$A$100000,
   (DRG_Status!$C$2:$C$100000=S_Curve_Data!M67) *
   (DRG_Status!$B$2:$B$100000=S_Curve_Data!$M$1)
)),0)/$N$1</f>
        <v>0</v>
      </c>
      <c r="O67" s="23" cm="1">
        <f t="array" ref="O67">IFERROR(ROWS(_xlfn._xlws.FILTER(
   DRG_Status!$A$2:$A$100000,
   (DRG_Status!$D$2:$D$100000=S_Curve_Data!M67) *
   (DRG_Status!$B$2:$B$100000=S_Curve_Data!$M$1)
)),0)/$N$1</f>
        <v>0</v>
      </c>
      <c r="P67" s="23" cm="1">
        <f t="array" ref="P67">IFERROR(ROWS(_xlfn._xlws.FILTER(
   DRG_Status!$A$2:$A$100000,
   (DRG_Status!$E$2:$E$100000=S_Curve_Data!M67) *
   (DRG_Status!$B$2:$B$100000=S_Curve_Data!$M$1)
)),0)/$N$1</f>
        <v>0</v>
      </c>
      <c r="Q67" s="23" cm="1">
        <f t="array" ref="Q67">IFERROR(ROWS(_xlfn._xlws.FILTER(
   DRG_Status!$A$2:$A$100000,
   (DRG_Status!$F$2:$F$100000=S_Curve_Data!M67) *
   (DRG_Status!$B$2:$B$100000=S_Curve_Data!$M$1)
)),0)/$N$1</f>
        <v>0</v>
      </c>
      <c r="T67" s="17">
        <f>Mappings!B66</f>
        <v>46111</v>
      </c>
      <c r="U67" s="23" t="e" cm="1">
        <f t="array" ref="U67">IFERROR(ROWS(_xlfn._xlws.FILTER(
   DRG_Status!$A$2:$A$100000,
   (DRG_Status!$C$2:$C$100000=S_Curve_Data!T67) *
   (DRG_Status!$B$2:$B$100000=S_Curve_Data!$T$1)
)),0)/$U$1</f>
        <v>#N/A</v>
      </c>
      <c r="V67" s="23" t="e" cm="1">
        <f t="array" ref="V67">IFERROR(ROWS(_xlfn._xlws.FILTER(
   DRG_Status!$A$2:$A$100000,
   (DRG_Status!$D$2:$D$100000=S_Curve_Data!T67) *
   (DRG_Status!$B$2:$B$100000=S_Curve_Data!$T$1)
)),0)/$U$1</f>
        <v>#N/A</v>
      </c>
      <c r="W67" s="23" t="e" cm="1">
        <f t="array" ref="W67">IFERROR(ROWS(_xlfn._xlws.FILTER(
   DRG_Status!$A$2:$A$100000,
   (DRG_Status!$E$2:$E$100000=S_Curve_Data!T67) *
   (DRG_Status!$B$2:$B$100000=S_Curve_Data!$T$1)
)),0)/$U$1</f>
        <v>#N/A</v>
      </c>
      <c r="X67" s="23" t="e" cm="1">
        <f t="array" ref="X67">IFERROR(ROWS(_xlfn._xlws.FILTER(
   DRG_Status!$A$2:$A$100000,
   (DRG_Status!$F$2:$F$100000=S_Curve_Data!T67) *
   (DRG_Status!$B$2:$B$100000=S_Curve_Data!$T$1)
)),0)/$U$1</f>
        <v>#N/A</v>
      </c>
    </row>
    <row r="68" spans="6:24">
      <c r="F68" s="17">
        <f>Mappings!B67</f>
        <v>46118</v>
      </c>
      <c r="G68" s="23" cm="1">
        <f t="array" ref="G68">IFERROR(ROWS(_xlfn._xlws.FILTER(
   DRG_Status!$A$2:$A$100000,
   (DRG_Status!$C$2:$C$100000=S_Curve_Data!F68) *
   (DRG_Status!$B$2:$B$100000=S_Curve_Data!$F$1)
)),0)/$G$1</f>
        <v>0</v>
      </c>
      <c r="H68" s="23" cm="1">
        <f t="array" ref="H68">IFERROR(ROWS(_xlfn._xlws.FILTER(
   DRG_Status!$A$2:$A$100000,
   (DRG_Status!$D$2:$D$100000=S_Curve_Data!F68) *
   (DRG_Status!$B$2:$B$100000=S_Curve_Data!$F$1)
)),0)/$G$1</f>
        <v>0.6875</v>
      </c>
      <c r="I68" s="23" cm="1">
        <f t="array" ref="I68">IFERROR(ROWS(_xlfn._xlws.FILTER(
   DRG_Status!$A$2:$A$100000,
   (DRG_Status!$E$2:$E$100000=S_Curve_Data!F68) *
   (DRG_Status!$B$2:$B$100000=S_Curve_Data!$F$1)
)),0)/$G$1</f>
        <v>0</v>
      </c>
      <c r="J68" s="23" cm="1">
        <f t="array" ref="J68">IFERROR(ROWS(_xlfn._xlws.FILTER(
   DRG_Status!$A$2:$A$100000,
   (DRG_Status!$F$2:$F$100000=S_Curve_Data!F68) *
   (DRG_Status!$B$2:$B$100000=S_Curve_Data!$F$1)
)),0)/$G$1</f>
        <v>0</v>
      </c>
      <c r="M68" s="17">
        <f>Mappings!B67</f>
        <v>46118</v>
      </c>
      <c r="N68" s="23" cm="1">
        <f t="array" ref="N68">IFERROR(ROWS(_xlfn._xlws.FILTER(
   DRG_Status!$A$2:$A$100000,
   (DRG_Status!$C$2:$C$100000=S_Curve_Data!M68) *
   (DRG_Status!$B$2:$B$100000=S_Curve_Data!$M$1)
)),0)/$N$1</f>
        <v>0</v>
      </c>
      <c r="O68" s="23" cm="1">
        <f t="array" ref="O68">IFERROR(ROWS(_xlfn._xlws.FILTER(
   DRG_Status!$A$2:$A$100000,
   (DRG_Status!$D$2:$D$100000=S_Curve_Data!M68) *
   (DRG_Status!$B$2:$B$100000=S_Curve_Data!$M$1)
)),0)/$N$1</f>
        <v>0</v>
      </c>
      <c r="P68" s="23" cm="1">
        <f t="array" ref="P68">IFERROR(ROWS(_xlfn._xlws.FILTER(
   DRG_Status!$A$2:$A$100000,
   (DRG_Status!$E$2:$E$100000=S_Curve_Data!M68) *
   (DRG_Status!$B$2:$B$100000=S_Curve_Data!$M$1)
)),0)/$N$1</f>
        <v>0</v>
      </c>
      <c r="Q68" s="23" cm="1">
        <f t="array" ref="Q68">IFERROR(ROWS(_xlfn._xlws.FILTER(
   DRG_Status!$A$2:$A$100000,
   (DRG_Status!$F$2:$F$100000=S_Curve_Data!M68) *
   (DRG_Status!$B$2:$B$100000=S_Curve_Data!$M$1)
)),0)/$N$1</f>
        <v>0</v>
      </c>
      <c r="T68" s="17">
        <f>Mappings!B67</f>
        <v>46118</v>
      </c>
      <c r="U68" s="23" t="e" cm="1">
        <f t="array" ref="U68">IFERROR(ROWS(_xlfn._xlws.FILTER(
   DRG_Status!$A$2:$A$100000,
   (DRG_Status!$C$2:$C$100000=S_Curve_Data!T68) *
   (DRG_Status!$B$2:$B$100000=S_Curve_Data!$T$1)
)),0)/$U$1</f>
        <v>#N/A</v>
      </c>
      <c r="V68" s="23" t="e" cm="1">
        <f t="array" ref="V68">IFERROR(ROWS(_xlfn._xlws.FILTER(
   DRG_Status!$A$2:$A$100000,
   (DRG_Status!$D$2:$D$100000=S_Curve_Data!T68) *
   (DRG_Status!$B$2:$B$100000=S_Curve_Data!$T$1)
)),0)/$U$1</f>
        <v>#N/A</v>
      </c>
      <c r="W68" s="23" t="e" cm="1">
        <f t="array" ref="W68">IFERROR(ROWS(_xlfn._xlws.FILTER(
   DRG_Status!$A$2:$A$100000,
   (DRG_Status!$E$2:$E$100000=S_Curve_Data!T68) *
   (DRG_Status!$B$2:$B$100000=S_Curve_Data!$T$1)
)),0)/$U$1</f>
        <v>#N/A</v>
      </c>
      <c r="X68" s="23" t="e" cm="1">
        <f t="array" ref="X68">IFERROR(ROWS(_xlfn._xlws.FILTER(
   DRG_Status!$A$2:$A$100000,
   (DRG_Status!$F$2:$F$100000=S_Curve_Data!T68) *
   (DRG_Status!$B$2:$B$100000=S_Curve_Data!$T$1)
)),0)/$U$1</f>
        <v>#N/A</v>
      </c>
    </row>
    <row r="69" spans="6:24">
      <c r="F69" s="17">
        <f>Mappings!B68</f>
        <v>46125</v>
      </c>
      <c r="G69" s="23" cm="1">
        <f t="array" ref="G69">IFERROR(ROWS(_xlfn._xlws.FILTER(
   DRG_Status!$A$2:$A$100000,
   (DRG_Status!$C$2:$C$100000=S_Curve_Data!F69) *
   (DRG_Status!$B$2:$B$100000=S_Curve_Data!$F$1)
)),0)/$G$1</f>
        <v>0</v>
      </c>
      <c r="H69" s="23" cm="1">
        <f t="array" ref="H69">IFERROR(ROWS(_xlfn._xlws.FILTER(
   DRG_Status!$A$2:$A$100000,
   (DRG_Status!$D$2:$D$100000=S_Curve_Data!F69) *
   (DRG_Status!$B$2:$B$100000=S_Curve_Data!$F$1)
)),0)/$G$1</f>
        <v>0</v>
      </c>
      <c r="I69" s="23" cm="1">
        <f t="array" ref="I69">IFERROR(ROWS(_xlfn._xlws.FILTER(
   DRG_Status!$A$2:$A$100000,
   (DRG_Status!$E$2:$E$100000=S_Curve_Data!F69) *
   (DRG_Status!$B$2:$B$100000=S_Curve_Data!$F$1)
)),0)/$G$1</f>
        <v>0</v>
      </c>
      <c r="J69" s="23" cm="1">
        <f t="array" ref="J69">IFERROR(ROWS(_xlfn._xlws.FILTER(
   DRG_Status!$A$2:$A$100000,
   (DRG_Status!$F$2:$F$100000=S_Curve_Data!F69) *
   (DRG_Status!$B$2:$B$100000=S_Curve_Data!$F$1)
)),0)/$G$1</f>
        <v>0</v>
      </c>
      <c r="M69" s="17">
        <f>Mappings!B68</f>
        <v>46125</v>
      </c>
      <c r="N69" s="23" cm="1">
        <f t="array" ref="N69">IFERROR(ROWS(_xlfn._xlws.FILTER(
   DRG_Status!$A$2:$A$100000,
   (DRG_Status!$C$2:$C$100000=S_Curve_Data!M69) *
   (DRG_Status!$B$2:$B$100000=S_Curve_Data!$M$1)
)),0)/$N$1</f>
        <v>0</v>
      </c>
      <c r="O69" s="23" cm="1">
        <f t="array" ref="O69">IFERROR(ROWS(_xlfn._xlws.FILTER(
   DRG_Status!$A$2:$A$100000,
   (DRG_Status!$D$2:$D$100000=S_Curve_Data!M69) *
   (DRG_Status!$B$2:$B$100000=S_Curve_Data!$M$1)
)),0)/$N$1</f>
        <v>0</v>
      </c>
      <c r="P69" s="23" cm="1">
        <f t="array" ref="P69">IFERROR(ROWS(_xlfn._xlws.FILTER(
   DRG_Status!$A$2:$A$100000,
   (DRG_Status!$E$2:$E$100000=S_Curve_Data!M69) *
   (DRG_Status!$B$2:$B$100000=S_Curve_Data!$M$1)
)),0)/$N$1</f>
        <v>0</v>
      </c>
      <c r="Q69" s="23" cm="1">
        <f t="array" ref="Q69">IFERROR(ROWS(_xlfn._xlws.FILTER(
   DRG_Status!$A$2:$A$100000,
   (DRG_Status!$F$2:$F$100000=S_Curve_Data!M69) *
   (DRG_Status!$B$2:$B$100000=S_Curve_Data!$M$1)
)),0)/$N$1</f>
        <v>0</v>
      </c>
      <c r="T69" s="17">
        <f>Mappings!B68</f>
        <v>46125</v>
      </c>
      <c r="U69" s="23" t="e" cm="1">
        <f t="array" ref="U69">IFERROR(ROWS(_xlfn._xlws.FILTER(
   DRG_Status!$A$2:$A$100000,
   (DRG_Status!$C$2:$C$100000=S_Curve_Data!T69) *
   (DRG_Status!$B$2:$B$100000=S_Curve_Data!$T$1)
)),0)/$U$1</f>
        <v>#N/A</v>
      </c>
      <c r="V69" s="23" t="e" cm="1">
        <f t="array" ref="V69">IFERROR(ROWS(_xlfn._xlws.FILTER(
   DRG_Status!$A$2:$A$100000,
   (DRG_Status!$D$2:$D$100000=S_Curve_Data!T69) *
   (DRG_Status!$B$2:$B$100000=S_Curve_Data!$T$1)
)),0)/$U$1</f>
        <v>#N/A</v>
      </c>
      <c r="W69" s="23" t="e" cm="1">
        <f t="array" ref="W69">IFERROR(ROWS(_xlfn._xlws.FILTER(
   DRG_Status!$A$2:$A$100000,
   (DRG_Status!$E$2:$E$100000=S_Curve_Data!T69) *
   (DRG_Status!$B$2:$B$100000=S_Curve_Data!$T$1)
)),0)/$U$1</f>
        <v>#N/A</v>
      </c>
      <c r="X69" s="23" t="e" cm="1">
        <f t="array" ref="X69">IFERROR(ROWS(_xlfn._xlws.FILTER(
   DRG_Status!$A$2:$A$100000,
   (DRG_Status!$F$2:$F$100000=S_Curve_Data!T69) *
   (DRG_Status!$B$2:$B$100000=S_Curve_Data!$T$1)
)),0)/$U$1</f>
        <v>#N/A</v>
      </c>
    </row>
    <row r="70" spans="6:24">
      <c r="F70" s="17">
        <f>Mappings!B69</f>
        <v>46132</v>
      </c>
      <c r="G70" s="23" cm="1">
        <f t="array" ref="G70">IFERROR(ROWS(_xlfn._xlws.FILTER(
   DRG_Status!$A$2:$A$100000,
   (DRG_Status!$C$2:$C$100000=S_Curve_Data!F70) *
   (DRG_Status!$B$2:$B$100000=S_Curve_Data!$F$1)
)),0)/$G$1</f>
        <v>0</v>
      </c>
      <c r="H70" s="23" cm="1">
        <f t="array" ref="H70">IFERROR(ROWS(_xlfn._xlws.FILTER(
   DRG_Status!$A$2:$A$100000,
   (DRG_Status!$D$2:$D$100000=S_Curve_Data!F70) *
   (DRG_Status!$B$2:$B$100000=S_Curve_Data!$F$1)
)),0)/$G$1</f>
        <v>0</v>
      </c>
      <c r="I70" s="23" cm="1">
        <f t="array" ref="I70">IFERROR(ROWS(_xlfn._xlws.FILTER(
   DRG_Status!$A$2:$A$100000,
   (DRG_Status!$E$2:$E$100000=S_Curve_Data!F70) *
   (DRG_Status!$B$2:$B$100000=S_Curve_Data!$F$1)
)),0)/$G$1</f>
        <v>0</v>
      </c>
      <c r="J70" s="23" cm="1">
        <f t="array" ref="J70">IFERROR(ROWS(_xlfn._xlws.FILTER(
   DRG_Status!$A$2:$A$100000,
   (DRG_Status!$F$2:$F$100000=S_Curve_Data!F70) *
   (DRG_Status!$B$2:$B$100000=S_Curve_Data!$F$1)
)),0)/$G$1</f>
        <v>0.6875</v>
      </c>
      <c r="M70" s="17">
        <f>Mappings!B69</f>
        <v>46132</v>
      </c>
      <c r="N70" s="23" cm="1">
        <f t="array" ref="N70">IFERROR(ROWS(_xlfn._xlws.FILTER(
   DRG_Status!$A$2:$A$100000,
   (DRG_Status!$C$2:$C$100000=S_Curve_Data!M70) *
   (DRG_Status!$B$2:$B$100000=S_Curve_Data!$M$1)
)),0)/$N$1</f>
        <v>0</v>
      </c>
      <c r="O70" s="23" cm="1">
        <f t="array" ref="O70">IFERROR(ROWS(_xlfn._xlws.FILTER(
   DRG_Status!$A$2:$A$100000,
   (DRG_Status!$D$2:$D$100000=S_Curve_Data!M70) *
   (DRG_Status!$B$2:$B$100000=S_Curve_Data!$M$1)
)),0)/$N$1</f>
        <v>0</v>
      </c>
      <c r="P70" s="23" cm="1">
        <f t="array" ref="P70">IFERROR(ROWS(_xlfn._xlws.FILTER(
   DRG_Status!$A$2:$A$100000,
   (DRG_Status!$E$2:$E$100000=S_Curve_Data!M70) *
   (DRG_Status!$B$2:$B$100000=S_Curve_Data!$M$1)
)),0)/$N$1</f>
        <v>0</v>
      </c>
      <c r="Q70" s="23" cm="1">
        <f t="array" ref="Q70">IFERROR(ROWS(_xlfn._xlws.FILTER(
   DRG_Status!$A$2:$A$100000,
   (DRG_Status!$F$2:$F$100000=S_Curve_Data!M70) *
   (DRG_Status!$B$2:$B$100000=S_Curve_Data!$M$1)
)),0)/$N$1</f>
        <v>0</v>
      </c>
      <c r="T70" s="17">
        <f>Mappings!B69</f>
        <v>46132</v>
      </c>
      <c r="U70" s="23" t="e" cm="1">
        <f t="array" ref="U70">IFERROR(ROWS(_xlfn._xlws.FILTER(
   DRG_Status!$A$2:$A$100000,
   (DRG_Status!$C$2:$C$100000=S_Curve_Data!T70) *
   (DRG_Status!$B$2:$B$100000=S_Curve_Data!$T$1)
)),0)/$U$1</f>
        <v>#N/A</v>
      </c>
      <c r="V70" s="23" t="e" cm="1">
        <f t="array" ref="V70">IFERROR(ROWS(_xlfn._xlws.FILTER(
   DRG_Status!$A$2:$A$100000,
   (DRG_Status!$D$2:$D$100000=S_Curve_Data!T70) *
   (DRG_Status!$B$2:$B$100000=S_Curve_Data!$T$1)
)),0)/$U$1</f>
        <v>#N/A</v>
      </c>
      <c r="W70" s="23" t="e" cm="1">
        <f t="array" ref="W70">IFERROR(ROWS(_xlfn._xlws.FILTER(
   DRG_Status!$A$2:$A$100000,
   (DRG_Status!$E$2:$E$100000=S_Curve_Data!T70) *
   (DRG_Status!$B$2:$B$100000=S_Curve_Data!$T$1)
)),0)/$U$1</f>
        <v>#N/A</v>
      </c>
      <c r="X70" s="23" t="e" cm="1">
        <f t="array" ref="X70">IFERROR(ROWS(_xlfn._xlws.FILTER(
   DRG_Status!$A$2:$A$100000,
   (DRG_Status!$F$2:$F$100000=S_Curve_Data!T70) *
   (DRG_Status!$B$2:$B$100000=S_Curve_Data!$T$1)
)),0)/$U$1</f>
        <v>#N/A</v>
      </c>
    </row>
    <row r="71" spans="6:24">
      <c r="F71" s="17">
        <f>Mappings!B70</f>
        <v>46139</v>
      </c>
      <c r="G71" s="23" cm="1">
        <f t="array" ref="G71">IFERROR(ROWS(_xlfn._xlws.FILTER(
   DRG_Status!$A$2:$A$100000,
   (DRG_Status!$C$2:$C$100000=S_Curve_Data!F71) *
   (DRG_Status!$B$2:$B$100000=S_Curve_Data!$F$1)
)),0)/$G$1</f>
        <v>0</v>
      </c>
      <c r="H71" s="23" cm="1">
        <f t="array" ref="H71">IFERROR(ROWS(_xlfn._xlws.FILTER(
   DRG_Status!$A$2:$A$100000,
   (DRG_Status!$D$2:$D$100000=S_Curve_Data!F71) *
   (DRG_Status!$B$2:$B$100000=S_Curve_Data!$F$1)
)),0)/$G$1</f>
        <v>0</v>
      </c>
      <c r="I71" s="23" cm="1">
        <f t="array" ref="I71">IFERROR(ROWS(_xlfn._xlws.FILTER(
   DRG_Status!$A$2:$A$100000,
   (DRG_Status!$E$2:$E$100000=S_Curve_Data!F71) *
   (DRG_Status!$B$2:$B$100000=S_Curve_Data!$F$1)
)),0)/$G$1</f>
        <v>0</v>
      </c>
      <c r="J71" s="23" cm="1">
        <f t="array" ref="J71">IFERROR(ROWS(_xlfn._xlws.FILTER(
   DRG_Status!$A$2:$A$100000,
   (DRG_Status!$F$2:$F$100000=S_Curve_Data!F71) *
   (DRG_Status!$B$2:$B$100000=S_Curve_Data!$F$1)
)),0)/$G$1</f>
        <v>0</v>
      </c>
      <c r="M71" s="17">
        <f>Mappings!B70</f>
        <v>46139</v>
      </c>
      <c r="N71" s="23" cm="1">
        <f t="array" ref="N71">IFERROR(ROWS(_xlfn._xlws.FILTER(
   DRG_Status!$A$2:$A$100000,
   (DRG_Status!$C$2:$C$100000=S_Curve_Data!M71) *
   (DRG_Status!$B$2:$B$100000=S_Curve_Data!$M$1)
)),0)/$N$1</f>
        <v>0</v>
      </c>
      <c r="O71" s="23" cm="1">
        <f t="array" ref="O71">IFERROR(ROWS(_xlfn._xlws.FILTER(
   DRG_Status!$A$2:$A$100000,
   (DRG_Status!$D$2:$D$100000=S_Curve_Data!M71) *
   (DRG_Status!$B$2:$B$100000=S_Curve_Data!$M$1)
)),0)/$N$1</f>
        <v>0</v>
      </c>
      <c r="P71" s="23" cm="1">
        <f t="array" ref="P71">IFERROR(ROWS(_xlfn._xlws.FILTER(
   DRG_Status!$A$2:$A$100000,
   (DRG_Status!$E$2:$E$100000=S_Curve_Data!M71) *
   (DRG_Status!$B$2:$B$100000=S_Curve_Data!$M$1)
)),0)/$N$1</f>
        <v>0</v>
      </c>
      <c r="Q71" s="23" cm="1">
        <f t="array" ref="Q71">IFERROR(ROWS(_xlfn._xlws.FILTER(
   DRG_Status!$A$2:$A$100000,
   (DRG_Status!$F$2:$F$100000=S_Curve_Data!M71) *
   (DRG_Status!$B$2:$B$100000=S_Curve_Data!$M$1)
)),0)/$N$1</f>
        <v>0</v>
      </c>
      <c r="T71" s="17">
        <f>Mappings!B70</f>
        <v>46139</v>
      </c>
      <c r="U71" s="23" t="e" cm="1">
        <f t="array" ref="U71">IFERROR(ROWS(_xlfn._xlws.FILTER(
   DRG_Status!$A$2:$A$100000,
   (DRG_Status!$C$2:$C$100000=S_Curve_Data!T71) *
   (DRG_Status!$B$2:$B$100000=S_Curve_Data!$T$1)
)),0)/$U$1</f>
        <v>#N/A</v>
      </c>
      <c r="V71" s="23" t="e" cm="1">
        <f t="array" ref="V71">IFERROR(ROWS(_xlfn._xlws.FILTER(
   DRG_Status!$A$2:$A$100000,
   (DRG_Status!$D$2:$D$100000=S_Curve_Data!T71) *
   (DRG_Status!$B$2:$B$100000=S_Curve_Data!$T$1)
)),0)/$U$1</f>
        <v>#N/A</v>
      </c>
      <c r="W71" s="23" t="e" cm="1">
        <f t="array" ref="W71">IFERROR(ROWS(_xlfn._xlws.FILTER(
   DRG_Status!$A$2:$A$100000,
   (DRG_Status!$E$2:$E$100000=S_Curve_Data!T71) *
   (DRG_Status!$B$2:$B$100000=S_Curve_Data!$T$1)
)),0)/$U$1</f>
        <v>#N/A</v>
      </c>
      <c r="X71" s="23" t="e" cm="1">
        <f t="array" ref="X71">IFERROR(ROWS(_xlfn._xlws.FILTER(
   DRG_Status!$A$2:$A$100000,
   (DRG_Status!$F$2:$F$100000=S_Curve_Data!T71) *
   (DRG_Status!$B$2:$B$100000=S_Curve_Data!$T$1)
)),0)/$U$1</f>
        <v>#N/A</v>
      </c>
    </row>
    <row r="72" spans="6:24">
      <c r="F72" s="17">
        <f>Mappings!B71</f>
        <v>46146</v>
      </c>
      <c r="G72" s="23" cm="1">
        <f t="array" ref="G72">IFERROR(ROWS(_xlfn._xlws.FILTER(
   DRG_Status!$A$2:$A$100000,
   (DRG_Status!$C$2:$C$100000=S_Curve_Data!F72) *
   (DRG_Status!$B$2:$B$100000=S_Curve_Data!$F$1)
)),0)/$G$1</f>
        <v>0</v>
      </c>
      <c r="H72" s="23" cm="1">
        <f t="array" ref="H72">IFERROR(ROWS(_xlfn._xlws.FILTER(
   DRG_Status!$A$2:$A$100000,
   (DRG_Status!$D$2:$D$100000=S_Curve_Data!F72) *
   (DRG_Status!$B$2:$B$100000=S_Curve_Data!$F$1)
)),0)/$G$1</f>
        <v>0</v>
      </c>
      <c r="I72" s="23" cm="1">
        <f t="array" ref="I72">IFERROR(ROWS(_xlfn._xlws.FILTER(
   DRG_Status!$A$2:$A$100000,
   (DRG_Status!$E$2:$E$100000=S_Curve_Data!F72) *
   (DRG_Status!$B$2:$B$100000=S_Curve_Data!$F$1)
)),0)/$G$1</f>
        <v>0</v>
      </c>
      <c r="J72" s="23" cm="1">
        <f t="array" ref="J72">IFERROR(ROWS(_xlfn._xlws.FILTER(
   DRG_Status!$A$2:$A$100000,
   (DRG_Status!$F$2:$F$100000=S_Curve_Data!F72) *
   (DRG_Status!$B$2:$B$100000=S_Curve_Data!$F$1)
)),0)/$G$1</f>
        <v>0</v>
      </c>
      <c r="M72" s="17">
        <f>Mappings!B71</f>
        <v>46146</v>
      </c>
      <c r="N72" s="23" cm="1">
        <f t="array" ref="N72">IFERROR(ROWS(_xlfn._xlws.FILTER(
   DRG_Status!$A$2:$A$100000,
   (DRG_Status!$C$2:$C$100000=S_Curve_Data!M72) *
   (DRG_Status!$B$2:$B$100000=S_Curve_Data!$M$1)
)),0)/$N$1</f>
        <v>0</v>
      </c>
      <c r="O72" s="23" cm="1">
        <f t="array" ref="O72">IFERROR(ROWS(_xlfn._xlws.FILTER(
   DRG_Status!$A$2:$A$100000,
   (DRG_Status!$D$2:$D$100000=S_Curve_Data!M72) *
   (DRG_Status!$B$2:$B$100000=S_Curve_Data!$M$1)
)),0)/$N$1</f>
        <v>0</v>
      </c>
      <c r="P72" s="23" cm="1">
        <f t="array" ref="P72">IFERROR(ROWS(_xlfn._xlws.FILTER(
   DRG_Status!$A$2:$A$100000,
   (DRG_Status!$E$2:$E$100000=S_Curve_Data!M72) *
   (DRG_Status!$B$2:$B$100000=S_Curve_Data!$M$1)
)),0)/$N$1</f>
        <v>0</v>
      </c>
      <c r="Q72" s="23" cm="1">
        <f t="array" ref="Q72">IFERROR(ROWS(_xlfn._xlws.FILTER(
   DRG_Status!$A$2:$A$100000,
   (DRG_Status!$F$2:$F$100000=S_Curve_Data!M72) *
   (DRG_Status!$B$2:$B$100000=S_Curve_Data!$M$1)
)),0)/$N$1</f>
        <v>1</v>
      </c>
      <c r="T72" s="17">
        <f>Mappings!B71</f>
        <v>46146</v>
      </c>
      <c r="U72" s="23" t="e" cm="1">
        <f t="array" ref="U72">IFERROR(ROWS(_xlfn._xlws.FILTER(
   DRG_Status!$A$2:$A$100000,
   (DRG_Status!$C$2:$C$100000=S_Curve_Data!T72) *
   (DRG_Status!$B$2:$B$100000=S_Curve_Data!$T$1)
)),0)/$U$1</f>
        <v>#N/A</v>
      </c>
      <c r="V72" s="23" t="e" cm="1">
        <f t="array" ref="V72">IFERROR(ROWS(_xlfn._xlws.FILTER(
   DRG_Status!$A$2:$A$100000,
   (DRG_Status!$D$2:$D$100000=S_Curve_Data!T72) *
   (DRG_Status!$B$2:$B$100000=S_Curve_Data!$T$1)
)),0)/$U$1</f>
        <v>#N/A</v>
      </c>
      <c r="W72" s="23" t="e" cm="1">
        <f t="array" ref="W72">IFERROR(ROWS(_xlfn._xlws.FILTER(
   DRG_Status!$A$2:$A$100000,
   (DRG_Status!$E$2:$E$100000=S_Curve_Data!T72) *
   (DRG_Status!$B$2:$B$100000=S_Curve_Data!$T$1)
)),0)/$U$1</f>
        <v>#N/A</v>
      </c>
      <c r="X72" s="23" t="e" cm="1">
        <f t="array" ref="X72">IFERROR(ROWS(_xlfn._xlws.FILTER(
   DRG_Status!$A$2:$A$100000,
   (DRG_Status!$F$2:$F$100000=S_Curve_Data!T72) *
   (DRG_Status!$B$2:$B$100000=S_Curve_Data!$T$1)
)),0)/$U$1</f>
        <v>#N/A</v>
      </c>
    </row>
    <row r="73" spans="6:24">
      <c r="F73" s="17">
        <f>Mappings!B72</f>
        <v>46153</v>
      </c>
      <c r="G73" s="23" cm="1">
        <f t="array" ref="G73">IFERROR(ROWS(_xlfn._xlws.FILTER(
   DRG_Status!$A$2:$A$100000,
   (DRG_Status!$C$2:$C$100000=S_Curve_Data!F73) *
   (DRG_Status!$B$2:$B$100000=S_Curve_Data!$F$1)
)),0)/$G$1</f>
        <v>0</v>
      </c>
      <c r="H73" s="23" cm="1">
        <f t="array" ref="H73">IFERROR(ROWS(_xlfn._xlws.FILTER(
   DRG_Status!$A$2:$A$100000,
   (DRG_Status!$D$2:$D$100000=S_Curve_Data!F73) *
   (DRG_Status!$B$2:$B$100000=S_Curve_Data!$F$1)
)),0)/$G$1</f>
        <v>0</v>
      </c>
      <c r="I73" s="23" cm="1">
        <f t="array" ref="I73">IFERROR(ROWS(_xlfn._xlws.FILTER(
   DRG_Status!$A$2:$A$100000,
   (DRG_Status!$E$2:$E$100000=S_Curve_Data!F73) *
   (DRG_Status!$B$2:$B$100000=S_Curve_Data!$F$1)
)),0)/$G$1</f>
        <v>0</v>
      </c>
      <c r="J73" s="23" cm="1">
        <f t="array" ref="J73">IFERROR(ROWS(_xlfn._xlws.FILTER(
   DRG_Status!$A$2:$A$100000,
   (DRG_Status!$F$2:$F$100000=S_Curve_Data!F73) *
   (DRG_Status!$B$2:$B$100000=S_Curve_Data!$F$1)
)),0)/$G$1</f>
        <v>0</v>
      </c>
      <c r="M73" s="17">
        <f>Mappings!B72</f>
        <v>46153</v>
      </c>
      <c r="N73" s="23" cm="1">
        <f t="array" ref="N73">IFERROR(ROWS(_xlfn._xlws.FILTER(
   DRG_Status!$A$2:$A$100000,
   (DRG_Status!$C$2:$C$100000=S_Curve_Data!M73) *
   (DRG_Status!$B$2:$B$100000=S_Curve_Data!$M$1)
)),0)/$N$1</f>
        <v>0</v>
      </c>
      <c r="O73" s="23" cm="1">
        <f t="array" ref="O73">IFERROR(ROWS(_xlfn._xlws.FILTER(
   DRG_Status!$A$2:$A$100000,
   (DRG_Status!$D$2:$D$100000=S_Curve_Data!M73) *
   (DRG_Status!$B$2:$B$100000=S_Curve_Data!$M$1)
)),0)/$N$1</f>
        <v>0</v>
      </c>
      <c r="P73" s="23" cm="1">
        <f t="array" ref="P73">IFERROR(ROWS(_xlfn._xlws.FILTER(
   DRG_Status!$A$2:$A$100000,
   (DRG_Status!$E$2:$E$100000=S_Curve_Data!M73) *
   (DRG_Status!$B$2:$B$100000=S_Curve_Data!$M$1)
)),0)/$N$1</f>
        <v>0</v>
      </c>
      <c r="Q73" s="23" cm="1">
        <f t="array" ref="Q73">IFERROR(ROWS(_xlfn._xlws.FILTER(
   DRG_Status!$A$2:$A$100000,
   (DRG_Status!$F$2:$F$100000=S_Curve_Data!M73) *
   (DRG_Status!$B$2:$B$100000=S_Curve_Data!$M$1)
)),0)/$N$1</f>
        <v>0</v>
      </c>
      <c r="T73" s="17">
        <f>Mappings!B72</f>
        <v>46153</v>
      </c>
      <c r="U73" s="23" t="e" cm="1">
        <f t="array" ref="U73">IFERROR(ROWS(_xlfn._xlws.FILTER(
   DRG_Status!$A$2:$A$100000,
   (DRG_Status!$C$2:$C$100000=S_Curve_Data!T73) *
   (DRG_Status!$B$2:$B$100000=S_Curve_Data!$T$1)
)),0)/$U$1</f>
        <v>#N/A</v>
      </c>
      <c r="V73" s="23" t="e" cm="1">
        <f t="array" ref="V73">IFERROR(ROWS(_xlfn._xlws.FILTER(
   DRG_Status!$A$2:$A$100000,
   (DRG_Status!$D$2:$D$100000=S_Curve_Data!T73) *
   (DRG_Status!$B$2:$B$100000=S_Curve_Data!$T$1)
)),0)/$U$1</f>
        <v>#N/A</v>
      </c>
      <c r="W73" s="23" t="e" cm="1">
        <f t="array" ref="W73">IFERROR(ROWS(_xlfn._xlws.FILTER(
   DRG_Status!$A$2:$A$100000,
   (DRG_Status!$E$2:$E$100000=S_Curve_Data!T73) *
   (DRG_Status!$B$2:$B$100000=S_Curve_Data!$T$1)
)),0)/$U$1</f>
        <v>#N/A</v>
      </c>
      <c r="X73" s="23" t="e" cm="1">
        <f t="array" ref="X73">IFERROR(ROWS(_xlfn._xlws.FILTER(
   DRG_Status!$A$2:$A$100000,
   (DRG_Status!$F$2:$F$100000=S_Curve_Data!T73) *
   (DRG_Status!$B$2:$B$100000=S_Curve_Data!$T$1)
)),0)/$U$1</f>
        <v>#N/A</v>
      </c>
    </row>
    <row r="74" spans="6:24">
      <c r="F74" s="17">
        <f>Mappings!B73</f>
        <v>46160</v>
      </c>
      <c r="G74" s="23" cm="1">
        <f t="array" ref="G74">IFERROR(ROWS(_xlfn._xlws.FILTER(
   DRG_Status!$A$2:$A$100000,
   (DRG_Status!$C$2:$C$100000=S_Curve_Data!F74) *
   (DRG_Status!$B$2:$B$100000=S_Curve_Data!$F$1)
)),0)/$G$1</f>
        <v>0</v>
      </c>
      <c r="H74" s="23" cm="1">
        <f t="array" ref="H74">IFERROR(ROWS(_xlfn._xlws.FILTER(
   DRG_Status!$A$2:$A$100000,
   (DRG_Status!$D$2:$D$100000=S_Curve_Data!F74) *
   (DRG_Status!$B$2:$B$100000=S_Curve_Data!$F$1)
)),0)/$G$1</f>
        <v>0</v>
      </c>
      <c r="I74" s="23" cm="1">
        <f t="array" ref="I74">IFERROR(ROWS(_xlfn._xlws.FILTER(
   DRG_Status!$A$2:$A$100000,
   (DRG_Status!$E$2:$E$100000=S_Curve_Data!F74) *
   (DRG_Status!$B$2:$B$100000=S_Curve_Data!$F$1)
)),0)/$G$1</f>
        <v>0</v>
      </c>
      <c r="J74" s="23" cm="1">
        <f t="array" ref="J74">IFERROR(ROWS(_xlfn._xlws.FILTER(
   DRG_Status!$A$2:$A$100000,
   (DRG_Status!$F$2:$F$100000=S_Curve_Data!F74) *
   (DRG_Status!$B$2:$B$100000=S_Curve_Data!$F$1)
)),0)/$G$1</f>
        <v>0</v>
      </c>
      <c r="M74" s="17">
        <f>Mappings!B73</f>
        <v>46160</v>
      </c>
      <c r="N74" s="23" cm="1">
        <f t="array" ref="N74">IFERROR(ROWS(_xlfn._xlws.FILTER(
   DRG_Status!$A$2:$A$100000,
   (DRG_Status!$C$2:$C$100000=S_Curve_Data!M74) *
   (DRG_Status!$B$2:$B$100000=S_Curve_Data!$M$1)
)),0)/$N$1</f>
        <v>0</v>
      </c>
      <c r="O74" s="23" cm="1">
        <f t="array" ref="O74">IFERROR(ROWS(_xlfn._xlws.FILTER(
   DRG_Status!$A$2:$A$100000,
   (DRG_Status!$D$2:$D$100000=S_Curve_Data!M74) *
   (DRG_Status!$B$2:$B$100000=S_Curve_Data!$M$1)
)),0)/$N$1</f>
        <v>0</v>
      </c>
      <c r="P74" s="23" cm="1">
        <f t="array" ref="P74">IFERROR(ROWS(_xlfn._xlws.FILTER(
   DRG_Status!$A$2:$A$100000,
   (DRG_Status!$E$2:$E$100000=S_Curve_Data!M74) *
   (DRG_Status!$B$2:$B$100000=S_Curve_Data!$M$1)
)),0)/$N$1</f>
        <v>0</v>
      </c>
      <c r="Q74" s="23" cm="1">
        <f t="array" ref="Q74">IFERROR(ROWS(_xlfn._xlws.FILTER(
   DRG_Status!$A$2:$A$100000,
   (DRG_Status!$F$2:$F$100000=S_Curve_Data!M74) *
   (DRG_Status!$B$2:$B$100000=S_Curve_Data!$M$1)
)),0)/$N$1</f>
        <v>0</v>
      </c>
      <c r="T74" s="17">
        <f>Mappings!B73</f>
        <v>46160</v>
      </c>
      <c r="U74" s="23" t="e" cm="1">
        <f t="array" ref="U74">IFERROR(ROWS(_xlfn._xlws.FILTER(
   DRG_Status!$A$2:$A$100000,
   (DRG_Status!$C$2:$C$100000=S_Curve_Data!T74) *
   (DRG_Status!$B$2:$B$100000=S_Curve_Data!$T$1)
)),0)/$U$1</f>
        <v>#N/A</v>
      </c>
      <c r="V74" s="23" t="e" cm="1">
        <f t="array" ref="V74">IFERROR(ROWS(_xlfn._xlws.FILTER(
   DRG_Status!$A$2:$A$100000,
   (DRG_Status!$D$2:$D$100000=S_Curve_Data!T74) *
   (DRG_Status!$B$2:$B$100000=S_Curve_Data!$T$1)
)),0)/$U$1</f>
        <v>#N/A</v>
      </c>
      <c r="W74" s="23" t="e" cm="1">
        <f t="array" ref="W74">IFERROR(ROWS(_xlfn._xlws.FILTER(
   DRG_Status!$A$2:$A$100000,
   (DRG_Status!$E$2:$E$100000=S_Curve_Data!T74) *
   (DRG_Status!$B$2:$B$100000=S_Curve_Data!$T$1)
)),0)/$U$1</f>
        <v>#N/A</v>
      </c>
      <c r="X74" s="23" t="e" cm="1">
        <f t="array" ref="X74">IFERROR(ROWS(_xlfn._xlws.FILTER(
   DRG_Status!$A$2:$A$100000,
   (DRG_Status!$F$2:$F$100000=S_Curve_Data!T74) *
   (DRG_Status!$B$2:$B$100000=S_Curve_Data!$T$1)
)),0)/$U$1</f>
        <v>#N/A</v>
      </c>
    </row>
    <row r="75" spans="6:24">
      <c r="F75" s="17">
        <f>Mappings!B74</f>
        <v>46167</v>
      </c>
      <c r="G75" s="23" cm="1">
        <f t="array" ref="G75">IFERROR(ROWS(_xlfn._xlws.FILTER(
   DRG_Status!$A$2:$A$100000,
   (DRG_Status!$C$2:$C$100000=S_Curve_Data!F75) *
   (DRG_Status!$B$2:$B$100000=S_Curve_Data!$F$1)
)),0)/$G$1</f>
        <v>0</v>
      </c>
      <c r="H75" s="23" cm="1">
        <f t="array" ref="H75">IFERROR(ROWS(_xlfn._xlws.FILTER(
   DRG_Status!$A$2:$A$100000,
   (DRG_Status!$D$2:$D$100000=S_Curve_Data!F75) *
   (DRG_Status!$B$2:$B$100000=S_Curve_Data!$F$1)
)),0)/$G$1</f>
        <v>0</v>
      </c>
      <c r="I75" s="23" cm="1">
        <f t="array" ref="I75">IFERROR(ROWS(_xlfn._xlws.FILTER(
   DRG_Status!$A$2:$A$100000,
   (DRG_Status!$E$2:$E$100000=S_Curve_Data!F75) *
   (DRG_Status!$B$2:$B$100000=S_Curve_Data!$F$1)
)),0)/$G$1</f>
        <v>0</v>
      </c>
      <c r="J75" s="23" cm="1">
        <f t="array" ref="J75">IFERROR(ROWS(_xlfn._xlws.FILTER(
   DRG_Status!$A$2:$A$100000,
   (DRG_Status!$F$2:$F$100000=S_Curve_Data!F75) *
   (DRG_Status!$B$2:$B$100000=S_Curve_Data!$F$1)
)),0)/$G$1</f>
        <v>0</v>
      </c>
      <c r="M75" s="17">
        <f>Mappings!B74</f>
        <v>46167</v>
      </c>
      <c r="N75" s="23" cm="1">
        <f t="array" ref="N75">IFERROR(ROWS(_xlfn._xlws.FILTER(
   DRG_Status!$A$2:$A$100000,
   (DRG_Status!$C$2:$C$100000=S_Curve_Data!M75) *
   (DRG_Status!$B$2:$B$100000=S_Curve_Data!$M$1)
)),0)/$N$1</f>
        <v>0</v>
      </c>
      <c r="O75" s="23" cm="1">
        <f t="array" ref="O75">IFERROR(ROWS(_xlfn._xlws.FILTER(
   DRG_Status!$A$2:$A$100000,
   (DRG_Status!$D$2:$D$100000=S_Curve_Data!M75) *
   (DRG_Status!$B$2:$B$100000=S_Curve_Data!$M$1)
)),0)/$N$1</f>
        <v>0</v>
      </c>
      <c r="P75" s="23" cm="1">
        <f t="array" ref="P75">IFERROR(ROWS(_xlfn._xlws.FILTER(
   DRG_Status!$A$2:$A$100000,
   (DRG_Status!$E$2:$E$100000=S_Curve_Data!M75) *
   (DRG_Status!$B$2:$B$100000=S_Curve_Data!$M$1)
)),0)/$N$1</f>
        <v>0</v>
      </c>
      <c r="Q75" s="23" cm="1">
        <f t="array" ref="Q75">IFERROR(ROWS(_xlfn._xlws.FILTER(
   DRG_Status!$A$2:$A$100000,
   (DRG_Status!$F$2:$F$100000=S_Curve_Data!M75) *
   (DRG_Status!$B$2:$B$100000=S_Curve_Data!$M$1)
)),0)/$N$1</f>
        <v>0</v>
      </c>
      <c r="T75" s="17">
        <f>Mappings!B74</f>
        <v>46167</v>
      </c>
      <c r="U75" s="23" t="e" cm="1">
        <f t="array" ref="U75">IFERROR(ROWS(_xlfn._xlws.FILTER(
   DRG_Status!$A$2:$A$100000,
   (DRG_Status!$C$2:$C$100000=S_Curve_Data!T75) *
   (DRG_Status!$B$2:$B$100000=S_Curve_Data!$T$1)
)),0)/$U$1</f>
        <v>#N/A</v>
      </c>
      <c r="V75" s="23" t="e" cm="1">
        <f t="array" ref="V75">IFERROR(ROWS(_xlfn._xlws.FILTER(
   DRG_Status!$A$2:$A$100000,
   (DRG_Status!$D$2:$D$100000=S_Curve_Data!T75) *
   (DRG_Status!$B$2:$B$100000=S_Curve_Data!$T$1)
)),0)/$U$1</f>
        <v>#N/A</v>
      </c>
      <c r="W75" s="23" t="e" cm="1">
        <f t="array" ref="W75">IFERROR(ROWS(_xlfn._xlws.FILTER(
   DRG_Status!$A$2:$A$100000,
   (DRG_Status!$E$2:$E$100000=S_Curve_Data!T75) *
   (DRG_Status!$B$2:$B$100000=S_Curve_Data!$T$1)
)),0)/$U$1</f>
        <v>#N/A</v>
      </c>
      <c r="X75" s="23" t="e" cm="1">
        <f t="array" ref="X75">IFERROR(ROWS(_xlfn._xlws.FILTER(
   DRG_Status!$A$2:$A$100000,
   (DRG_Status!$F$2:$F$100000=S_Curve_Data!T75) *
   (DRG_Status!$B$2:$B$100000=S_Curve_Data!$T$1)
)),0)/$U$1</f>
        <v>#N/A</v>
      </c>
    </row>
    <row r="76" spans="6:24">
      <c r="F76" s="17">
        <f>Mappings!B75</f>
        <v>46174</v>
      </c>
      <c r="G76" s="23" cm="1">
        <f t="array" ref="G76">IFERROR(ROWS(_xlfn._xlws.FILTER(
   DRG_Status!$A$2:$A$100000,
   (DRG_Status!$C$2:$C$100000=S_Curve_Data!F76) *
   (DRG_Status!$B$2:$B$100000=S_Curve_Data!$F$1)
)),0)/$G$1</f>
        <v>0</v>
      </c>
      <c r="H76" s="23" cm="1">
        <f t="array" ref="H76">IFERROR(ROWS(_xlfn._xlws.FILTER(
   DRG_Status!$A$2:$A$100000,
   (DRG_Status!$D$2:$D$100000=S_Curve_Data!F76) *
   (DRG_Status!$B$2:$B$100000=S_Curve_Data!$F$1)
)),0)/$G$1</f>
        <v>0</v>
      </c>
      <c r="I76" s="23" cm="1">
        <f t="array" ref="I76">IFERROR(ROWS(_xlfn._xlws.FILTER(
   DRG_Status!$A$2:$A$100000,
   (DRG_Status!$E$2:$E$100000=S_Curve_Data!F76) *
   (DRG_Status!$B$2:$B$100000=S_Curve_Data!$F$1)
)),0)/$G$1</f>
        <v>0</v>
      </c>
      <c r="J76" s="23" cm="1">
        <f t="array" ref="J76">IFERROR(ROWS(_xlfn._xlws.FILTER(
   DRG_Status!$A$2:$A$100000,
   (DRG_Status!$F$2:$F$100000=S_Curve_Data!F76) *
   (DRG_Status!$B$2:$B$100000=S_Curve_Data!$F$1)
)),0)/$G$1</f>
        <v>0</v>
      </c>
      <c r="M76" s="17">
        <f>Mappings!B75</f>
        <v>46174</v>
      </c>
      <c r="N76" s="23" cm="1">
        <f t="array" ref="N76">IFERROR(ROWS(_xlfn._xlws.FILTER(
   DRG_Status!$A$2:$A$100000,
   (DRG_Status!$C$2:$C$100000=S_Curve_Data!M76) *
   (DRG_Status!$B$2:$B$100000=S_Curve_Data!$M$1)
)),0)/$N$1</f>
        <v>0</v>
      </c>
      <c r="O76" s="23" cm="1">
        <f t="array" ref="O76">IFERROR(ROWS(_xlfn._xlws.FILTER(
   DRG_Status!$A$2:$A$100000,
   (DRG_Status!$D$2:$D$100000=S_Curve_Data!M76) *
   (DRG_Status!$B$2:$B$100000=S_Curve_Data!$M$1)
)),0)/$N$1</f>
        <v>0</v>
      </c>
      <c r="P76" s="23" cm="1">
        <f t="array" ref="P76">IFERROR(ROWS(_xlfn._xlws.FILTER(
   DRG_Status!$A$2:$A$100000,
   (DRG_Status!$E$2:$E$100000=S_Curve_Data!M76) *
   (DRG_Status!$B$2:$B$100000=S_Curve_Data!$M$1)
)),0)/$N$1</f>
        <v>0</v>
      </c>
      <c r="Q76" s="23" cm="1">
        <f t="array" ref="Q76">IFERROR(ROWS(_xlfn._xlws.FILTER(
   DRG_Status!$A$2:$A$100000,
   (DRG_Status!$F$2:$F$100000=S_Curve_Data!M76) *
   (DRG_Status!$B$2:$B$100000=S_Curve_Data!$M$1)
)),0)/$N$1</f>
        <v>0</v>
      </c>
      <c r="T76" s="17">
        <f>Mappings!B75</f>
        <v>46174</v>
      </c>
      <c r="U76" s="23" t="e" cm="1">
        <f t="array" ref="U76">IFERROR(ROWS(_xlfn._xlws.FILTER(
   DRG_Status!$A$2:$A$100000,
   (DRG_Status!$C$2:$C$100000=S_Curve_Data!T76) *
   (DRG_Status!$B$2:$B$100000=S_Curve_Data!$T$1)
)),0)/$U$1</f>
        <v>#N/A</v>
      </c>
      <c r="V76" s="23" t="e" cm="1">
        <f t="array" ref="V76">IFERROR(ROWS(_xlfn._xlws.FILTER(
   DRG_Status!$A$2:$A$100000,
   (DRG_Status!$D$2:$D$100000=S_Curve_Data!T76) *
   (DRG_Status!$B$2:$B$100000=S_Curve_Data!$T$1)
)),0)/$U$1</f>
        <v>#N/A</v>
      </c>
      <c r="W76" s="23" t="e" cm="1">
        <f t="array" ref="W76">IFERROR(ROWS(_xlfn._xlws.FILTER(
   DRG_Status!$A$2:$A$100000,
   (DRG_Status!$E$2:$E$100000=S_Curve_Data!T76) *
   (DRG_Status!$B$2:$B$100000=S_Curve_Data!$T$1)
)),0)/$U$1</f>
        <v>#N/A</v>
      </c>
      <c r="X76" s="23" t="e" cm="1">
        <f t="array" ref="X76">IFERROR(ROWS(_xlfn._xlws.FILTER(
   DRG_Status!$A$2:$A$100000,
   (DRG_Status!$F$2:$F$100000=S_Curve_Data!T76) *
   (DRG_Status!$B$2:$B$100000=S_Curve_Data!$T$1)
)),0)/$U$1</f>
        <v>#N/A</v>
      </c>
    </row>
    <row r="77" spans="6:24">
      <c r="F77" s="17">
        <f>Mappings!B76</f>
        <v>46181</v>
      </c>
      <c r="G77" s="23" cm="1">
        <f t="array" ref="G77">IFERROR(ROWS(_xlfn._xlws.FILTER(
   DRG_Status!$A$2:$A$100000,
   (DRG_Status!$C$2:$C$100000=S_Curve_Data!F77) *
   (DRG_Status!$B$2:$B$100000=S_Curve_Data!$F$1)
)),0)/$G$1</f>
        <v>0</v>
      </c>
      <c r="H77" s="23" cm="1">
        <f t="array" ref="H77">IFERROR(ROWS(_xlfn._xlws.FILTER(
   DRG_Status!$A$2:$A$100000,
   (DRG_Status!$D$2:$D$100000=S_Curve_Data!F77) *
   (DRG_Status!$B$2:$B$100000=S_Curve_Data!$F$1)
)),0)/$G$1</f>
        <v>0</v>
      </c>
      <c r="I77" s="23" cm="1">
        <f t="array" ref="I77">IFERROR(ROWS(_xlfn._xlws.FILTER(
   DRG_Status!$A$2:$A$100000,
   (DRG_Status!$E$2:$E$100000=S_Curve_Data!F77) *
   (DRG_Status!$B$2:$B$100000=S_Curve_Data!$F$1)
)),0)/$G$1</f>
        <v>0</v>
      </c>
      <c r="J77" s="23" cm="1">
        <f t="array" ref="J77">IFERROR(ROWS(_xlfn._xlws.FILTER(
   DRG_Status!$A$2:$A$100000,
   (DRG_Status!$F$2:$F$100000=S_Curve_Data!F77) *
   (DRG_Status!$B$2:$B$100000=S_Curve_Data!$F$1)
)),0)/$G$1</f>
        <v>0</v>
      </c>
      <c r="M77" s="17">
        <f>Mappings!B76</f>
        <v>46181</v>
      </c>
      <c r="N77" s="23" cm="1">
        <f t="array" ref="N77">IFERROR(ROWS(_xlfn._xlws.FILTER(
   DRG_Status!$A$2:$A$100000,
   (DRG_Status!$C$2:$C$100000=S_Curve_Data!M77) *
   (DRG_Status!$B$2:$B$100000=S_Curve_Data!$M$1)
)),0)/$N$1</f>
        <v>0</v>
      </c>
      <c r="O77" s="23" cm="1">
        <f t="array" ref="O77">IFERROR(ROWS(_xlfn._xlws.FILTER(
   DRG_Status!$A$2:$A$100000,
   (DRG_Status!$D$2:$D$100000=S_Curve_Data!M77) *
   (DRG_Status!$B$2:$B$100000=S_Curve_Data!$M$1)
)),0)/$N$1</f>
        <v>1</v>
      </c>
      <c r="P77" s="23" cm="1">
        <f t="array" ref="P77">IFERROR(ROWS(_xlfn._xlws.FILTER(
   DRG_Status!$A$2:$A$100000,
   (DRG_Status!$E$2:$E$100000=S_Curve_Data!M77) *
   (DRG_Status!$B$2:$B$100000=S_Curve_Data!$M$1)
)),0)/$N$1</f>
        <v>0</v>
      </c>
      <c r="Q77" s="23" cm="1">
        <f t="array" ref="Q77">IFERROR(ROWS(_xlfn._xlws.FILTER(
   DRG_Status!$A$2:$A$100000,
   (DRG_Status!$F$2:$F$100000=S_Curve_Data!M77) *
   (DRG_Status!$B$2:$B$100000=S_Curve_Data!$M$1)
)),0)/$N$1</f>
        <v>0</v>
      </c>
      <c r="T77" s="17">
        <f>Mappings!B76</f>
        <v>46181</v>
      </c>
      <c r="U77" s="23" t="e" cm="1">
        <f t="array" ref="U77">IFERROR(ROWS(_xlfn._xlws.FILTER(
   DRG_Status!$A$2:$A$100000,
   (DRG_Status!$C$2:$C$100000=S_Curve_Data!T77) *
   (DRG_Status!$B$2:$B$100000=S_Curve_Data!$T$1)
)),0)/$U$1</f>
        <v>#N/A</v>
      </c>
      <c r="V77" s="23" t="e" cm="1">
        <f t="array" ref="V77">IFERROR(ROWS(_xlfn._xlws.FILTER(
   DRG_Status!$A$2:$A$100000,
   (DRG_Status!$D$2:$D$100000=S_Curve_Data!T77) *
   (DRG_Status!$B$2:$B$100000=S_Curve_Data!$T$1)
)),0)/$U$1</f>
        <v>#N/A</v>
      </c>
      <c r="W77" s="23" t="e" cm="1">
        <f t="array" ref="W77">IFERROR(ROWS(_xlfn._xlws.FILTER(
   DRG_Status!$A$2:$A$100000,
   (DRG_Status!$E$2:$E$100000=S_Curve_Data!T77) *
   (DRG_Status!$B$2:$B$100000=S_Curve_Data!$T$1)
)),0)/$U$1</f>
        <v>#N/A</v>
      </c>
      <c r="X77" s="23" t="e" cm="1">
        <f t="array" ref="X77">IFERROR(ROWS(_xlfn._xlws.FILTER(
   DRG_Status!$A$2:$A$100000,
   (DRG_Status!$F$2:$F$100000=S_Curve_Data!T77) *
   (DRG_Status!$B$2:$B$100000=S_Curve_Data!$T$1)
)),0)/$U$1</f>
        <v>#N/A</v>
      </c>
    </row>
    <row r="78" spans="6:24">
      <c r="F78" s="17">
        <f>Mappings!B77</f>
        <v>46188</v>
      </c>
      <c r="G78" s="23" cm="1">
        <f t="array" ref="G78">IFERROR(ROWS(_xlfn._xlws.FILTER(
   DRG_Status!$A$2:$A$100000,
   (DRG_Status!$C$2:$C$100000=S_Curve_Data!F78) *
   (DRG_Status!$B$2:$B$100000=S_Curve_Data!$F$1)
)),0)/$G$1</f>
        <v>0</v>
      </c>
      <c r="H78" s="23" cm="1">
        <f t="array" ref="H78">IFERROR(ROWS(_xlfn._xlws.FILTER(
   DRG_Status!$A$2:$A$100000,
   (DRG_Status!$D$2:$D$100000=S_Curve_Data!F78) *
   (DRG_Status!$B$2:$B$100000=S_Curve_Data!$F$1)
)),0)/$G$1</f>
        <v>0</v>
      </c>
      <c r="I78" s="23" cm="1">
        <f t="array" ref="I78">IFERROR(ROWS(_xlfn._xlws.FILTER(
   DRG_Status!$A$2:$A$100000,
   (DRG_Status!$E$2:$E$100000=S_Curve_Data!F78) *
   (DRG_Status!$B$2:$B$100000=S_Curve_Data!$F$1)
)),0)/$G$1</f>
        <v>0</v>
      </c>
      <c r="J78" s="23" cm="1">
        <f t="array" ref="J78">IFERROR(ROWS(_xlfn._xlws.FILTER(
   DRG_Status!$A$2:$A$100000,
   (DRG_Status!$F$2:$F$100000=S_Curve_Data!F78) *
   (DRG_Status!$B$2:$B$100000=S_Curve_Data!$F$1)
)),0)/$G$1</f>
        <v>0</v>
      </c>
      <c r="M78" s="17">
        <f>Mappings!B77</f>
        <v>46188</v>
      </c>
      <c r="N78" s="23" cm="1">
        <f t="array" ref="N78">IFERROR(ROWS(_xlfn._xlws.FILTER(
   DRG_Status!$A$2:$A$100000,
   (DRG_Status!$C$2:$C$100000=S_Curve_Data!M78) *
   (DRG_Status!$B$2:$B$100000=S_Curve_Data!$M$1)
)),0)/$N$1</f>
        <v>0</v>
      </c>
      <c r="O78" s="23" cm="1">
        <f t="array" ref="O78">IFERROR(ROWS(_xlfn._xlws.FILTER(
   DRG_Status!$A$2:$A$100000,
   (DRG_Status!$D$2:$D$100000=S_Curve_Data!M78) *
   (DRG_Status!$B$2:$B$100000=S_Curve_Data!$M$1)
)),0)/$N$1</f>
        <v>0</v>
      </c>
      <c r="P78" s="23" cm="1">
        <f t="array" ref="P78">IFERROR(ROWS(_xlfn._xlws.FILTER(
   DRG_Status!$A$2:$A$100000,
   (DRG_Status!$E$2:$E$100000=S_Curve_Data!M78) *
   (DRG_Status!$B$2:$B$100000=S_Curve_Data!$M$1)
)),0)/$N$1</f>
        <v>0</v>
      </c>
      <c r="Q78" s="23" cm="1">
        <f t="array" ref="Q78">IFERROR(ROWS(_xlfn._xlws.FILTER(
   DRG_Status!$A$2:$A$100000,
   (DRG_Status!$F$2:$F$100000=S_Curve_Data!M78) *
   (DRG_Status!$B$2:$B$100000=S_Curve_Data!$M$1)
)),0)/$N$1</f>
        <v>0</v>
      </c>
      <c r="T78" s="17">
        <f>Mappings!B77</f>
        <v>46188</v>
      </c>
      <c r="U78" s="23" t="e" cm="1">
        <f t="array" ref="U78">IFERROR(ROWS(_xlfn._xlws.FILTER(
   DRG_Status!$A$2:$A$100000,
   (DRG_Status!$C$2:$C$100000=S_Curve_Data!T78) *
   (DRG_Status!$B$2:$B$100000=S_Curve_Data!$T$1)
)),0)/$U$1</f>
        <v>#N/A</v>
      </c>
      <c r="V78" s="23" t="e" cm="1">
        <f t="array" ref="V78">IFERROR(ROWS(_xlfn._xlws.FILTER(
   DRG_Status!$A$2:$A$100000,
   (DRG_Status!$D$2:$D$100000=S_Curve_Data!T78) *
   (DRG_Status!$B$2:$B$100000=S_Curve_Data!$T$1)
)),0)/$U$1</f>
        <v>#N/A</v>
      </c>
      <c r="W78" s="23" t="e" cm="1">
        <f t="array" ref="W78">IFERROR(ROWS(_xlfn._xlws.FILTER(
   DRG_Status!$A$2:$A$100000,
   (DRG_Status!$E$2:$E$100000=S_Curve_Data!T78) *
   (DRG_Status!$B$2:$B$100000=S_Curve_Data!$T$1)
)),0)/$U$1</f>
        <v>#N/A</v>
      </c>
      <c r="X78" s="23" t="e" cm="1">
        <f t="array" ref="X78">IFERROR(ROWS(_xlfn._xlws.FILTER(
   DRG_Status!$A$2:$A$100000,
   (DRG_Status!$F$2:$F$100000=S_Curve_Data!T78) *
   (DRG_Status!$B$2:$B$100000=S_Curve_Data!$T$1)
)),0)/$U$1</f>
        <v>#N/A</v>
      </c>
    </row>
    <row r="79" spans="6:24">
      <c r="F79" s="17">
        <f>Mappings!B78</f>
        <v>46195</v>
      </c>
      <c r="G79" s="23" cm="1">
        <f t="array" ref="G79">IFERROR(ROWS(_xlfn._xlws.FILTER(
   DRG_Status!$A$2:$A$100000,
   (DRG_Status!$C$2:$C$100000=S_Curve_Data!F79) *
   (DRG_Status!$B$2:$B$100000=S_Curve_Data!$F$1)
)),0)/$G$1</f>
        <v>0</v>
      </c>
      <c r="H79" s="23" cm="1">
        <f t="array" ref="H79">IFERROR(ROWS(_xlfn._xlws.FILTER(
   DRG_Status!$A$2:$A$100000,
   (DRG_Status!$D$2:$D$100000=S_Curve_Data!F79) *
   (DRG_Status!$B$2:$B$100000=S_Curve_Data!$F$1)
)),0)/$G$1</f>
        <v>0</v>
      </c>
      <c r="I79" s="23" cm="1">
        <f t="array" ref="I79">IFERROR(ROWS(_xlfn._xlws.FILTER(
   DRG_Status!$A$2:$A$100000,
   (DRG_Status!$E$2:$E$100000=S_Curve_Data!F79) *
   (DRG_Status!$B$2:$B$100000=S_Curve_Data!$F$1)
)),0)/$G$1</f>
        <v>0</v>
      </c>
      <c r="J79" s="23" cm="1">
        <f t="array" ref="J79">IFERROR(ROWS(_xlfn._xlws.FILTER(
   DRG_Status!$A$2:$A$100000,
   (DRG_Status!$F$2:$F$100000=S_Curve_Data!F79) *
   (DRG_Status!$B$2:$B$100000=S_Curve_Data!$F$1)
)),0)/$G$1</f>
        <v>0</v>
      </c>
      <c r="M79" s="17">
        <f>Mappings!B78</f>
        <v>46195</v>
      </c>
      <c r="N79" s="23" cm="1">
        <f t="array" ref="N79">IFERROR(ROWS(_xlfn._xlws.FILTER(
   DRG_Status!$A$2:$A$100000,
   (DRG_Status!$C$2:$C$100000=S_Curve_Data!M79) *
   (DRG_Status!$B$2:$B$100000=S_Curve_Data!$M$1)
)),0)/$N$1</f>
        <v>0</v>
      </c>
      <c r="O79" s="23" cm="1">
        <f t="array" ref="O79">IFERROR(ROWS(_xlfn._xlws.FILTER(
   DRG_Status!$A$2:$A$100000,
   (DRG_Status!$D$2:$D$100000=S_Curve_Data!M79) *
   (DRG_Status!$B$2:$B$100000=S_Curve_Data!$M$1)
)),0)/$N$1</f>
        <v>0</v>
      </c>
      <c r="P79" s="23" cm="1">
        <f t="array" ref="P79">IFERROR(ROWS(_xlfn._xlws.FILTER(
   DRG_Status!$A$2:$A$100000,
   (DRG_Status!$E$2:$E$100000=S_Curve_Data!M79) *
   (DRG_Status!$B$2:$B$100000=S_Curve_Data!$M$1)
)),0)/$N$1</f>
        <v>0</v>
      </c>
      <c r="Q79" s="23" cm="1">
        <f t="array" ref="Q79">IFERROR(ROWS(_xlfn._xlws.FILTER(
   DRG_Status!$A$2:$A$100000,
   (DRG_Status!$F$2:$F$100000=S_Curve_Data!M79) *
   (DRG_Status!$B$2:$B$100000=S_Curve_Data!$M$1)
)),0)/$N$1</f>
        <v>0</v>
      </c>
      <c r="T79" s="17">
        <f>Mappings!B78</f>
        <v>46195</v>
      </c>
      <c r="U79" s="23" t="e" cm="1">
        <f t="array" ref="U79">IFERROR(ROWS(_xlfn._xlws.FILTER(
   DRG_Status!$A$2:$A$100000,
   (DRG_Status!$C$2:$C$100000=S_Curve_Data!T79) *
   (DRG_Status!$B$2:$B$100000=S_Curve_Data!$T$1)
)),0)/$U$1</f>
        <v>#N/A</v>
      </c>
      <c r="V79" s="23" t="e" cm="1">
        <f t="array" ref="V79">IFERROR(ROWS(_xlfn._xlws.FILTER(
   DRG_Status!$A$2:$A$100000,
   (DRG_Status!$D$2:$D$100000=S_Curve_Data!T79) *
   (DRG_Status!$B$2:$B$100000=S_Curve_Data!$T$1)
)),0)/$U$1</f>
        <v>#N/A</v>
      </c>
      <c r="W79" s="23" t="e" cm="1">
        <f t="array" ref="W79">IFERROR(ROWS(_xlfn._xlws.FILTER(
   DRG_Status!$A$2:$A$100000,
   (DRG_Status!$E$2:$E$100000=S_Curve_Data!T79) *
   (DRG_Status!$B$2:$B$100000=S_Curve_Data!$T$1)
)),0)/$U$1</f>
        <v>#N/A</v>
      </c>
      <c r="X79" s="23" t="e" cm="1">
        <f t="array" ref="X79">IFERROR(ROWS(_xlfn._xlws.FILTER(
   DRG_Status!$A$2:$A$100000,
   (DRG_Status!$F$2:$F$100000=S_Curve_Data!T79) *
   (DRG_Status!$B$2:$B$100000=S_Curve_Data!$T$1)
)),0)/$U$1</f>
        <v>#N/A</v>
      </c>
    </row>
    <row r="80" spans="6:24">
      <c r="F80" s="17">
        <f>Mappings!B79</f>
        <v>46202</v>
      </c>
      <c r="G80" s="23" cm="1">
        <f t="array" ref="G80">IFERROR(ROWS(_xlfn._xlws.FILTER(
   DRG_Status!$A$2:$A$100000,
   (DRG_Status!$C$2:$C$100000=S_Curve_Data!F80) *
   (DRG_Status!$B$2:$B$100000=S_Curve_Data!$F$1)
)),0)/$G$1</f>
        <v>0</v>
      </c>
      <c r="H80" s="23" cm="1">
        <f t="array" ref="H80">IFERROR(ROWS(_xlfn._xlws.FILTER(
   DRG_Status!$A$2:$A$100000,
   (DRG_Status!$D$2:$D$100000=S_Curve_Data!F80) *
   (DRG_Status!$B$2:$B$100000=S_Curve_Data!$F$1)
)),0)/$G$1</f>
        <v>0</v>
      </c>
      <c r="I80" s="23" cm="1">
        <f t="array" ref="I80">IFERROR(ROWS(_xlfn._xlws.FILTER(
   DRG_Status!$A$2:$A$100000,
   (DRG_Status!$E$2:$E$100000=S_Curve_Data!F80) *
   (DRG_Status!$B$2:$B$100000=S_Curve_Data!$F$1)
)),0)/$G$1</f>
        <v>0</v>
      </c>
      <c r="J80" s="23" cm="1">
        <f t="array" ref="J80">IFERROR(ROWS(_xlfn._xlws.FILTER(
   DRG_Status!$A$2:$A$100000,
   (DRG_Status!$F$2:$F$100000=S_Curve_Data!F80) *
   (DRG_Status!$B$2:$B$100000=S_Curve_Data!$F$1)
)),0)/$G$1</f>
        <v>0</v>
      </c>
      <c r="M80" s="17">
        <f>Mappings!B79</f>
        <v>46202</v>
      </c>
      <c r="N80" s="23" cm="1">
        <f t="array" ref="N80">IFERROR(ROWS(_xlfn._xlws.FILTER(
   DRG_Status!$A$2:$A$100000,
   (DRG_Status!$C$2:$C$100000=S_Curve_Data!M80) *
   (DRG_Status!$B$2:$B$100000=S_Curve_Data!$M$1)
)),0)/$N$1</f>
        <v>0</v>
      </c>
      <c r="O80" s="23" cm="1">
        <f t="array" ref="O80">IFERROR(ROWS(_xlfn._xlws.FILTER(
   DRG_Status!$A$2:$A$100000,
   (DRG_Status!$D$2:$D$100000=S_Curve_Data!M80) *
   (DRG_Status!$B$2:$B$100000=S_Curve_Data!$M$1)
)),0)/$N$1</f>
        <v>0</v>
      </c>
      <c r="P80" s="23" cm="1">
        <f t="array" ref="P80">IFERROR(ROWS(_xlfn._xlws.FILTER(
   DRG_Status!$A$2:$A$100000,
   (DRG_Status!$E$2:$E$100000=S_Curve_Data!M80) *
   (DRG_Status!$B$2:$B$100000=S_Curve_Data!$M$1)
)),0)/$N$1</f>
        <v>0</v>
      </c>
      <c r="Q80" s="23" cm="1">
        <f t="array" ref="Q80">IFERROR(ROWS(_xlfn._xlws.FILTER(
   DRG_Status!$A$2:$A$100000,
   (DRG_Status!$F$2:$F$100000=S_Curve_Data!M80) *
   (DRG_Status!$B$2:$B$100000=S_Curve_Data!$M$1)
)),0)/$N$1</f>
        <v>0</v>
      </c>
      <c r="T80" s="17">
        <f>Mappings!B79</f>
        <v>46202</v>
      </c>
      <c r="U80" s="23" t="e" cm="1">
        <f t="array" ref="U80">IFERROR(ROWS(_xlfn._xlws.FILTER(
   DRG_Status!$A$2:$A$100000,
   (DRG_Status!$C$2:$C$100000=S_Curve_Data!T80) *
   (DRG_Status!$B$2:$B$100000=S_Curve_Data!$T$1)
)),0)/$U$1</f>
        <v>#N/A</v>
      </c>
      <c r="V80" s="23" t="e" cm="1">
        <f t="array" ref="V80">IFERROR(ROWS(_xlfn._xlws.FILTER(
   DRG_Status!$A$2:$A$100000,
   (DRG_Status!$D$2:$D$100000=S_Curve_Data!T80) *
   (DRG_Status!$B$2:$B$100000=S_Curve_Data!$T$1)
)),0)/$U$1</f>
        <v>#N/A</v>
      </c>
      <c r="W80" s="23" t="e" cm="1">
        <f t="array" ref="W80">IFERROR(ROWS(_xlfn._xlws.FILTER(
   DRG_Status!$A$2:$A$100000,
   (DRG_Status!$E$2:$E$100000=S_Curve_Data!T80) *
   (DRG_Status!$B$2:$B$100000=S_Curve_Data!$T$1)
)),0)/$U$1</f>
        <v>#N/A</v>
      </c>
      <c r="X80" s="23" t="e" cm="1">
        <f t="array" ref="X80">IFERROR(ROWS(_xlfn._xlws.FILTER(
   DRG_Status!$A$2:$A$100000,
   (DRG_Status!$F$2:$F$100000=S_Curve_Data!T80) *
   (DRG_Status!$B$2:$B$100000=S_Curve_Data!$T$1)
)),0)/$U$1</f>
        <v>#N/A</v>
      </c>
    </row>
    <row r="81" spans="6:24">
      <c r="F81" s="17">
        <f>Mappings!B80</f>
        <v>46209</v>
      </c>
      <c r="G81" s="23" cm="1">
        <f t="array" ref="G81">IFERROR(ROWS(_xlfn._xlws.FILTER(
   DRG_Status!$A$2:$A$100000,
   (DRG_Status!$C$2:$C$100000=S_Curve_Data!F81) *
   (DRG_Status!$B$2:$B$100000=S_Curve_Data!$F$1)
)),0)/$G$1</f>
        <v>0</v>
      </c>
      <c r="H81" s="23" cm="1">
        <f t="array" ref="H81">IFERROR(ROWS(_xlfn._xlws.FILTER(
   DRG_Status!$A$2:$A$100000,
   (DRG_Status!$D$2:$D$100000=S_Curve_Data!F81) *
   (DRG_Status!$B$2:$B$100000=S_Curve_Data!$F$1)
)),0)/$G$1</f>
        <v>0</v>
      </c>
      <c r="I81" s="23" cm="1">
        <f t="array" ref="I81">IFERROR(ROWS(_xlfn._xlws.FILTER(
   DRG_Status!$A$2:$A$100000,
   (DRG_Status!$E$2:$E$100000=S_Curve_Data!F81) *
   (DRG_Status!$B$2:$B$100000=S_Curve_Data!$F$1)
)),0)/$G$1</f>
        <v>0</v>
      </c>
      <c r="J81" s="23" cm="1">
        <f t="array" ref="J81">IFERROR(ROWS(_xlfn._xlws.FILTER(
   DRG_Status!$A$2:$A$100000,
   (DRG_Status!$F$2:$F$100000=S_Curve_Data!F81) *
   (DRG_Status!$B$2:$B$100000=S_Curve_Data!$F$1)
)),0)/$G$1</f>
        <v>0</v>
      </c>
      <c r="M81" s="17">
        <f>Mappings!B80</f>
        <v>46209</v>
      </c>
      <c r="N81" s="23" cm="1">
        <f t="array" ref="N81">IFERROR(ROWS(_xlfn._xlws.FILTER(
   DRG_Status!$A$2:$A$100000,
   (DRG_Status!$C$2:$C$100000=S_Curve_Data!M81) *
   (DRG_Status!$B$2:$B$100000=S_Curve_Data!$M$1)
)),0)/$N$1</f>
        <v>0</v>
      </c>
      <c r="O81" s="23" cm="1">
        <f t="array" ref="O81">IFERROR(ROWS(_xlfn._xlws.FILTER(
   DRG_Status!$A$2:$A$100000,
   (DRG_Status!$D$2:$D$100000=S_Curve_Data!M81) *
   (DRG_Status!$B$2:$B$100000=S_Curve_Data!$M$1)
)),0)/$N$1</f>
        <v>0</v>
      </c>
      <c r="P81" s="23" cm="1">
        <f t="array" ref="P81">IFERROR(ROWS(_xlfn._xlws.FILTER(
   DRG_Status!$A$2:$A$100000,
   (DRG_Status!$E$2:$E$100000=S_Curve_Data!M81) *
   (DRG_Status!$B$2:$B$100000=S_Curve_Data!$M$1)
)),0)/$N$1</f>
        <v>0</v>
      </c>
      <c r="Q81" s="23" cm="1">
        <f t="array" ref="Q81">IFERROR(ROWS(_xlfn._xlws.FILTER(
   DRG_Status!$A$2:$A$100000,
   (DRG_Status!$F$2:$F$100000=S_Curve_Data!M81) *
   (DRG_Status!$B$2:$B$100000=S_Curve_Data!$M$1)
)),0)/$N$1</f>
        <v>0</v>
      </c>
      <c r="T81" s="17">
        <f>Mappings!B80</f>
        <v>46209</v>
      </c>
      <c r="U81" s="23" t="e" cm="1">
        <f t="array" ref="U81">IFERROR(ROWS(_xlfn._xlws.FILTER(
   DRG_Status!$A$2:$A$100000,
   (DRG_Status!$C$2:$C$100000=S_Curve_Data!T81) *
   (DRG_Status!$B$2:$B$100000=S_Curve_Data!$T$1)
)),0)/$U$1</f>
        <v>#N/A</v>
      </c>
      <c r="V81" s="23" t="e" cm="1">
        <f t="array" ref="V81">IFERROR(ROWS(_xlfn._xlws.FILTER(
   DRG_Status!$A$2:$A$100000,
   (DRG_Status!$D$2:$D$100000=S_Curve_Data!T81) *
   (DRG_Status!$B$2:$B$100000=S_Curve_Data!$T$1)
)),0)/$U$1</f>
        <v>#N/A</v>
      </c>
      <c r="W81" s="23" t="e" cm="1">
        <f t="array" ref="W81">IFERROR(ROWS(_xlfn._xlws.FILTER(
   DRG_Status!$A$2:$A$100000,
   (DRG_Status!$E$2:$E$100000=S_Curve_Data!T81) *
   (DRG_Status!$B$2:$B$100000=S_Curve_Data!$T$1)
)),0)/$U$1</f>
        <v>#N/A</v>
      </c>
      <c r="X81" s="23" t="e" cm="1">
        <f t="array" ref="X81">IFERROR(ROWS(_xlfn._xlws.FILTER(
   DRG_Status!$A$2:$A$100000,
   (DRG_Status!$F$2:$F$100000=S_Curve_Data!T81) *
   (DRG_Status!$B$2:$B$100000=S_Curve_Data!$T$1)
)),0)/$U$1</f>
        <v>#N/A</v>
      </c>
    </row>
    <row r="82" spans="6:24">
      <c r="F82" s="17">
        <f>Mappings!B81</f>
        <v>46216</v>
      </c>
      <c r="G82" s="23" cm="1">
        <f t="array" ref="G82">IFERROR(ROWS(_xlfn._xlws.FILTER(
   DRG_Status!$A$2:$A$100000,
   (DRG_Status!$C$2:$C$100000=S_Curve_Data!F82) *
   (DRG_Status!$B$2:$B$100000=S_Curve_Data!$F$1)
)),0)/$G$1</f>
        <v>0</v>
      </c>
      <c r="H82" s="23" cm="1">
        <f t="array" ref="H82">IFERROR(ROWS(_xlfn._xlws.FILTER(
   DRG_Status!$A$2:$A$100000,
   (DRG_Status!$D$2:$D$100000=S_Curve_Data!F82) *
   (DRG_Status!$B$2:$B$100000=S_Curve_Data!$F$1)
)),0)/$G$1</f>
        <v>0</v>
      </c>
      <c r="I82" s="23" cm="1">
        <f t="array" ref="I82">IFERROR(ROWS(_xlfn._xlws.FILTER(
   DRG_Status!$A$2:$A$100000,
   (DRG_Status!$E$2:$E$100000=S_Curve_Data!F82) *
   (DRG_Status!$B$2:$B$100000=S_Curve_Data!$F$1)
)),0)/$G$1</f>
        <v>0</v>
      </c>
      <c r="J82" s="23" cm="1">
        <f t="array" ref="J82">IFERROR(ROWS(_xlfn._xlws.FILTER(
   DRG_Status!$A$2:$A$100000,
   (DRG_Status!$F$2:$F$100000=S_Curve_Data!F82) *
   (DRG_Status!$B$2:$B$100000=S_Curve_Data!$F$1)
)),0)/$G$1</f>
        <v>0</v>
      </c>
      <c r="M82" s="17">
        <f>Mappings!B81</f>
        <v>46216</v>
      </c>
      <c r="N82" s="23" cm="1">
        <f t="array" ref="N82">IFERROR(ROWS(_xlfn._xlws.FILTER(
   DRG_Status!$A$2:$A$100000,
   (DRG_Status!$C$2:$C$100000=S_Curve_Data!M82) *
   (DRG_Status!$B$2:$B$100000=S_Curve_Data!$M$1)
)),0)/$N$1</f>
        <v>0</v>
      </c>
      <c r="O82" s="23" cm="1">
        <f t="array" ref="O82">IFERROR(ROWS(_xlfn._xlws.FILTER(
   DRG_Status!$A$2:$A$100000,
   (DRG_Status!$D$2:$D$100000=S_Curve_Data!M82) *
   (DRG_Status!$B$2:$B$100000=S_Curve_Data!$M$1)
)),0)/$N$1</f>
        <v>0</v>
      </c>
      <c r="P82" s="23" cm="1">
        <f t="array" ref="P82">IFERROR(ROWS(_xlfn._xlws.FILTER(
   DRG_Status!$A$2:$A$100000,
   (DRG_Status!$E$2:$E$100000=S_Curve_Data!M82) *
   (DRG_Status!$B$2:$B$100000=S_Curve_Data!$M$1)
)),0)/$N$1</f>
        <v>0</v>
      </c>
      <c r="Q82" s="23" cm="1">
        <f t="array" ref="Q82">IFERROR(ROWS(_xlfn._xlws.FILTER(
   DRG_Status!$A$2:$A$100000,
   (DRG_Status!$F$2:$F$100000=S_Curve_Data!M82) *
   (DRG_Status!$B$2:$B$100000=S_Curve_Data!$M$1)
)),0)/$N$1</f>
        <v>0</v>
      </c>
      <c r="T82" s="17">
        <f>Mappings!B81</f>
        <v>46216</v>
      </c>
      <c r="U82" s="23" t="e" cm="1">
        <f t="array" ref="U82">IFERROR(ROWS(_xlfn._xlws.FILTER(
   DRG_Status!$A$2:$A$100000,
   (DRG_Status!$C$2:$C$100000=S_Curve_Data!T82) *
   (DRG_Status!$B$2:$B$100000=S_Curve_Data!$T$1)
)),0)/$U$1</f>
        <v>#N/A</v>
      </c>
      <c r="V82" s="23" t="e" cm="1">
        <f t="array" ref="V82">IFERROR(ROWS(_xlfn._xlws.FILTER(
   DRG_Status!$A$2:$A$100000,
   (DRG_Status!$D$2:$D$100000=S_Curve_Data!T82) *
   (DRG_Status!$B$2:$B$100000=S_Curve_Data!$T$1)
)),0)/$U$1</f>
        <v>#N/A</v>
      </c>
      <c r="W82" s="23" t="e" cm="1">
        <f t="array" ref="W82">IFERROR(ROWS(_xlfn._xlws.FILTER(
   DRG_Status!$A$2:$A$100000,
   (DRG_Status!$E$2:$E$100000=S_Curve_Data!T82) *
   (DRG_Status!$B$2:$B$100000=S_Curve_Data!$T$1)
)),0)/$U$1</f>
        <v>#N/A</v>
      </c>
      <c r="X82" s="23" t="e" cm="1">
        <f t="array" ref="X82">IFERROR(ROWS(_xlfn._xlws.FILTER(
   DRG_Status!$A$2:$A$100000,
   (DRG_Status!$F$2:$F$100000=S_Curve_Data!T82) *
   (DRG_Status!$B$2:$B$100000=S_Curve_Data!$T$1)
)),0)/$U$1</f>
        <v>#N/A</v>
      </c>
    </row>
    <row r="83" spans="6:24">
      <c r="F83" s="17">
        <f>Mappings!B82</f>
        <v>46223</v>
      </c>
      <c r="G83" s="23" cm="1">
        <f t="array" ref="G83">IFERROR(ROWS(_xlfn._xlws.FILTER(
   DRG_Status!$A$2:$A$100000,
   (DRG_Status!$C$2:$C$100000=S_Curve_Data!F83) *
   (DRG_Status!$B$2:$B$100000=S_Curve_Data!$F$1)
)),0)/$G$1</f>
        <v>0</v>
      </c>
      <c r="H83" s="23" cm="1">
        <f t="array" ref="H83">IFERROR(ROWS(_xlfn._xlws.FILTER(
   DRG_Status!$A$2:$A$100000,
   (DRG_Status!$D$2:$D$100000=S_Curve_Data!F83) *
   (DRG_Status!$B$2:$B$100000=S_Curve_Data!$F$1)
)),0)/$G$1</f>
        <v>0</v>
      </c>
      <c r="I83" s="23" cm="1">
        <f t="array" ref="I83">IFERROR(ROWS(_xlfn._xlws.FILTER(
   DRG_Status!$A$2:$A$100000,
   (DRG_Status!$E$2:$E$100000=S_Curve_Data!F83) *
   (DRG_Status!$B$2:$B$100000=S_Curve_Data!$F$1)
)),0)/$G$1</f>
        <v>0</v>
      </c>
      <c r="J83" s="23" cm="1">
        <f t="array" ref="J83">IFERROR(ROWS(_xlfn._xlws.FILTER(
   DRG_Status!$A$2:$A$100000,
   (DRG_Status!$F$2:$F$100000=S_Curve_Data!F83) *
   (DRG_Status!$B$2:$B$100000=S_Curve_Data!$F$1)
)),0)/$G$1</f>
        <v>0</v>
      </c>
      <c r="M83" s="17">
        <f>Mappings!B82</f>
        <v>46223</v>
      </c>
      <c r="N83" s="23" cm="1">
        <f t="array" ref="N83">IFERROR(ROWS(_xlfn._xlws.FILTER(
   DRG_Status!$A$2:$A$100000,
   (DRG_Status!$C$2:$C$100000=S_Curve_Data!M83) *
   (DRG_Status!$B$2:$B$100000=S_Curve_Data!$M$1)
)),0)/$N$1</f>
        <v>0</v>
      </c>
      <c r="O83" s="23" cm="1">
        <f t="array" ref="O83">IFERROR(ROWS(_xlfn._xlws.FILTER(
   DRG_Status!$A$2:$A$100000,
   (DRG_Status!$D$2:$D$100000=S_Curve_Data!M83) *
   (DRG_Status!$B$2:$B$100000=S_Curve_Data!$M$1)
)),0)/$N$1</f>
        <v>0</v>
      </c>
      <c r="P83" s="23" cm="1">
        <f t="array" ref="P83">IFERROR(ROWS(_xlfn._xlws.FILTER(
   DRG_Status!$A$2:$A$100000,
   (DRG_Status!$E$2:$E$100000=S_Curve_Data!M83) *
   (DRG_Status!$B$2:$B$100000=S_Curve_Data!$M$1)
)),0)/$N$1</f>
        <v>0</v>
      </c>
      <c r="Q83" s="23" cm="1">
        <f t="array" ref="Q83">IFERROR(ROWS(_xlfn._xlws.FILTER(
   DRG_Status!$A$2:$A$100000,
   (DRG_Status!$F$2:$F$100000=S_Curve_Data!M83) *
   (DRG_Status!$B$2:$B$100000=S_Curve_Data!$M$1)
)),0)/$N$1</f>
        <v>0</v>
      </c>
      <c r="T83" s="17">
        <f>Mappings!B82</f>
        <v>46223</v>
      </c>
      <c r="U83" s="23" t="e" cm="1">
        <f t="array" ref="U83">IFERROR(ROWS(_xlfn._xlws.FILTER(
   DRG_Status!$A$2:$A$100000,
   (DRG_Status!$C$2:$C$100000=S_Curve_Data!T83) *
   (DRG_Status!$B$2:$B$100000=S_Curve_Data!$T$1)
)),0)/$U$1</f>
        <v>#N/A</v>
      </c>
      <c r="V83" s="23" t="e" cm="1">
        <f t="array" ref="V83">IFERROR(ROWS(_xlfn._xlws.FILTER(
   DRG_Status!$A$2:$A$100000,
   (DRG_Status!$D$2:$D$100000=S_Curve_Data!T83) *
   (DRG_Status!$B$2:$B$100000=S_Curve_Data!$T$1)
)),0)/$U$1</f>
        <v>#N/A</v>
      </c>
      <c r="W83" s="23" t="e" cm="1">
        <f t="array" ref="W83">IFERROR(ROWS(_xlfn._xlws.FILTER(
   DRG_Status!$A$2:$A$100000,
   (DRG_Status!$E$2:$E$100000=S_Curve_Data!T83) *
   (DRG_Status!$B$2:$B$100000=S_Curve_Data!$T$1)
)),0)/$U$1</f>
        <v>#N/A</v>
      </c>
      <c r="X83" s="23" t="e" cm="1">
        <f t="array" ref="X83">IFERROR(ROWS(_xlfn._xlws.FILTER(
   DRG_Status!$A$2:$A$100000,
   (DRG_Status!$F$2:$F$100000=S_Curve_Data!T83) *
   (DRG_Status!$B$2:$B$100000=S_Curve_Data!$T$1)
)),0)/$U$1</f>
        <v>#N/A</v>
      </c>
    </row>
    <row r="84" spans="6:24">
      <c r="F84" s="17">
        <f>Mappings!B83</f>
        <v>46230</v>
      </c>
      <c r="G84" s="23" cm="1">
        <f t="array" ref="G84">IFERROR(ROWS(_xlfn._xlws.FILTER(
   DRG_Status!$A$2:$A$100000,
   (DRG_Status!$C$2:$C$100000=S_Curve_Data!F84) *
   (DRG_Status!$B$2:$B$100000=S_Curve_Data!$F$1)
)),0)/$G$1</f>
        <v>0</v>
      </c>
      <c r="H84" s="23" cm="1">
        <f t="array" ref="H84">IFERROR(ROWS(_xlfn._xlws.FILTER(
   DRG_Status!$A$2:$A$100000,
   (DRG_Status!$D$2:$D$100000=S_Curve_Data!F84) *
   (DRG_Status!$B$2:$B$100000=S_Curve_Data!$F$1)
)),0)/$G$1</f>
        <v>0</v>
      </c>
      <c r="I84" s="23" cm="1">
        <f t="array" ref="I84">IFERROR(ROWS(_xlfn._xlws.FILTER(
   DRG_Status!$A$2:$A$100000,
   (DRG_Status!$E$2:$E$100000=S_Curve_Data!F84) *
   (DRG_Status!$B$2:$B$100000=S_Curve_Data!$F$1)
)),0)/$G$1</f>
        <v>0</v>
      </c>
      <c r="J84" s="23" cm="1">
        <f t="array" ref="J84">IFERROR(ROWS(_xlfn._xlws.FILTER(
   DRG_Status!$A$2:$A$100000,
   (DRG_Status!$F$2:$F$100000=S_Curve_Data!F84) *
   (DRG_Status!$B$2:$B$100000=S_Curve_Data!$F$1)
)),0)/$G$1</f>
        <v>0</v>
      </c>
      <c r="M84" s="17">
        <f>Mappings!B83</f>
        <v>46230</v>
      </c>
      <c r="N84" s="23" cm="1">
        <f t="array" ref="N84">IFERROR(ROWS(_xlfn._xlws.FILTER(
   DRG_Status!$A$2:$A$100000,
   (DRG_Status!$C$2:$C$100000=S_Curve_Data!M84) *
   (DRG_Status!$B$2:$B$100000=S_Curve_Data!$M$1)
)),0)/$N$1</f>
        <v>0</v>
      </c>
      <c r="O84" s="23" cm="1">
        <f t="array" ref="O84">IFERROR(ROWS(_xlfn._xlws.FILTER(
   DRG_Status!$A$2:$A$100000,
   (DRG_Status!$D$2:$D$100000=S_Curve_Data!M84) *
   (DRG_Status!$B$2:$B$100000=S_Curve_Data!$M$1)
)),0)/$N$1</f>
        <v>0</v>
      </c>
      <c r="P84" s="23" cm="1">
        <f t="array" ref="P84">IFERROR(ROWS(_xlfn._xlws.FILTER(
   DRG_Status!$A$2:$A$100000,
   (DRG_Status!$E$2:$E$100000=S_Curve_Data!M84) *
   (DRG_Status!$B$2:$B$100000=S_Curve_Data!$M$1)
)),0)/$N$1</f>
        <v>0</v>
      </c>
      <c r="Q84" s="23" cm="1">
        <f t="array" ref="Q84">IFERROR(ROWS(_xlfn._xlws.FILTER(
   DRG_Status!$A$2:$A$100000,
   (DRG_Status!$F$2:$F$100000=S_Curve_Data!M84) *
   (DRG_Status!$B$2:$B$100000=S_Curve_Data!$M$1)
)),0)/$N$1</f>
        <v>0</v>
      </c>
      <c r="T84" s="17">
        <f>Mappings!B83</f>
        <v>46230</v>
      </c>
      <c r="U84" s="23" t="e" cm="1">
        <f t="array" ref="U84">IFERROR(ROWS(_xlfn._xlws.FILTER(
   DRG_Status!$A$2:$A$100000,
   (DRG_Status!$C$2:$C$100000=S_Curve_Data!T84) *
   (DRG_Status!$B$2:$B$100000=S_Curve_Data!$T$1)
)),0)/$U$1</f>
        <v>#N/A</v>
      </c>
      <c r="V84" s="23" t="e" cm="1">
        <f t="array" ref="V84">IFERROR(ROWS(_xlfn._xlws.FILTER(
   DRG_Status!$A$2:$A$100000,
   (DRG_Status!$D$2:$D$100000=S_Curve_Data!T84) *
   (DRG_Status!$B$2:$B$100000=S_Curve_Data!$T$1)
)),0)/$U$1</f>
        <v>#N/A</v>
      </c>
      <c r="W84" s="23" t="e" cm="1">
        <f t="array" ref="W84">IFERROR(ROWS(_xlfn._xlws.FILTER(
   DRG_Status!$A$2:$A$100000,
   (DRG_Status!$E$2:$E$100000=S_Curve_Data!T84) *
   (DRG_Status!$B$2:$B$100000=S_Curve_Data!$T$1)
)),0)/$U$1</f>
        <v>#N/A</v>
      </c>
      <c r="X84" s="23" t="e" cm="1">
        <f t="array" ref="X84">IFERROR(ROWS(_xlfn._xlws.FILTER(
   DRG_Status!$A$2:$A$100000,
   (DRG_Status!$F$2:$F$100000=S_Curve_Data!T84) *
   (DRG_Status!$B$2:$B$100000=S_Curve_Data!$T$1)
)),0)/$U$1</f>
        <v>#N/A</v>
      </c>
    </row>
    <row r="85" spans="6:24">
      <c r="F85" s="17">
        <f>Mappings!B84</f>
        <v>46237</v>
      </c>
      <c r="G85" s="23" cm="1">
        <f t="array" ref="G85">IFERROR(ROWS(_xlfn._xlws.FILTER(
   DRG_Status!$A$2:$A$100000,
   (DRG_Status!$C$2:$C$100000=S_Curve_Data!F85) *
   (DRG_Status!$B$2:$B$100000=S_Curve_Data!$F$1)
)),0)/$G$1</f>
        <v>0</v>
      </c>
      <c r="H85" s="23" cm="1">
        <f t="array" ref="H85">IFERROR(ROWS(_xlfn._xlws.FILTER(
   DRG_Status!$A$2:$A$100000,
   (DRG_Status!$D$2:$D$100000=S_Curve_Data!F85) *
   (DRG_Status!$B$2:$B$100000=S_Curve_Data!$F$1)
)),0)/$G$1</f>
        <v>0</v>
      </c>
      <c r="I85" s="23" cm="1">
        <f t="array" ref="I85">IFERROR(ROWS(_xlfn._xlws.FILTER(
   DRG_Status!$A$2:$A$100000,
   (DRG_Status!$E$2:$E$100000=S_Curve_Data!F85) *
   (DRG_Status!$B$2:$B$100000=S_Curve_Data!$F$1)
)),0)/$G$1</f>
        <v>0</v>
      </c>
      <c r="J85" s="23" cm="1">
        <f t="array" ref="J85">IFERROR(ROWS(_xlfn._xlws.FILTER(
   DRG_Status!$A$2:$A$100000,
   (DRG_Status!$F$2:$F$100000=S_Curve_Data!F85) *
   (DRG_Status!$B$2:$B$100000=S_Curve_Data!$F$1)
)),0)/$G$1</f>
        <v>0</v>
      </c>
      <c r="M85" s="17">
        <f>Mappings!B84</f>
        <v>46237</v>
      </c>
      <c r="N85" s="23" cm="1">
        <f t="array" ref="N85">IFERROR(ROWS(_xlfn._xlws.FILTER(
   DRG_Status!$A$2:$A$100000,
   (DRG_Status!$C$2:$C$100000=S_Curve_Data!M85) *
   (DRG_Status!$B$2:$B$100000=S_Curve_Data!$M$1)
)),0)/$N$1</f>
        <v>0</v>
      </c>
      <c r="O85" s="23" cm="1">
        <f t="array" ref="O85">IFERROR(ROWS(_xlfn._xlws.FILTER(
   DRG_Status!$A$2:$A$100000,
   (DRG_Status!$D$2:$D$100000=S_Curve_Data!M85) *
   (DRG_Status!$B$2:$B$100000=S_Curve_Data!$M$1)
)),0)/$N$1</f>
        <v>0</v>
      </c>
      <c r="P85" s="23" cm="1">
        <f t="array" ref="P85">IFERROR(ROWS(_xlfn._xlws.FILTER(
   DRG_Status!$A$2:$A$100000,
   (DRG_Status!$E$2:$E$100000=S_Curve_Data!M85) *
   (DRG_Status!$B$2:$B$100000=S_Curve_Data!$M$1)
)),0)/$N$1</f>
        <v>0</v>
      </c>
      <c r="Q85" s="23" cm="1">
        <f t="array" ref="Q85">IFERROR(ROWS(_xlfn._xlws.FILTER(
   DRG_Status!$A$2:$A$100000,
   (DRG_Status!$F$2:$F$100000=S_Curve_Data!M85) *
   (DRG_Status!$B$2:$B$100000=S_Curve_Data!$M$1)
)),0)/$N$1</f>
        <v>0</v>
      </c>
      <c r="T85" s="17">
        <f>Mappings!B84</f>
        <v>46237</v>
      </c>
      <c r="U85" s="23" t="e" cm="1">
        <f t="array" ref="U85">IFERROR(ROWS(_xlfn._xlws.FILTER(
   DRG_Status!$A$2:$A$100000,
   (DRG_Status!$C$2:$C$100000=S_Curve_Data!T85) *
   (DRG_Status!$B$2:$B$100000=S_Curve_Data!$T$1)
)),0)/$U$1</f>
        <v>#N/A</v>
      </c>
      <c r="V85" s="23" t="e" cm="1">
        <f t="array" ref="V85">IFERROR(ROWS(_xlfn._xlws.FILTER(
   DRG_Status!$A$2:$A$100000,
   (DRG_Status!$D$2:$D$100000=S_Curve_Data!T85) *
   (DRG_Status!$B$2:$B$100000=S_Curve_Data!$T$1)
)),0)/$U$1</f>
        <v>#N/A</v>
      </c>
      <c r="W85" s="23" t="e" cm="1">
        <f t="array" ref="W85">IFERROR(ROWS(_xlfn._xlws.FILTER(
   DRG_Status!$A$2:$A$100000,
   (DRG_Status!$E$2:$E$100000=S_Curve_Data!T85) *
   (DRG_Status!$B$2:$B$100000=S_Curve_Data!$T$1)
)),0)/$U$1</f>
        <v>#N/A</v>
      </c>
      <c r="X85" s="23" t="e" cm="1">
        <f t="array" ref="X85">IFERROR(ROWS(_xlfn._xlws.FILTER(
   DRG_Status!$A$2:$A$100000,
   (DRG_Status!$F$2:$F$100000=S_Curve_Data!T85) *
   (DRG_Status!$B$2:$B$100000=S_Curve_Data!$T$1)
)),0)/$U$1</f>
        <v>#N/A</v>
      </c>
    </row>
    <row r="86" spans="6:24">
      <c r="F86" s="17">
        <f>Mappings!B85</f>
        <v>46244</v>
      </c>
      <c r="G86" s="23" cm="1">
        <f t="array" ref="G86">IFERROR(ROWS(_xlfn._xlws.FILTER(
   DRG_Status!$A$2:$A$100000,
   (DRG_Status!$C$2:$C$100000=S_Curve_Data!F86) *
   (DRG_Status!$B$2:$B$100000=S_Curve_Data!$F$1)
)),0)/$G$1</f>
        <v>0</v>
      </c>
      <c r="H86" s="23" cm="1">
        <f t="array" ref="H86">IFERROR(ROWS(_xlfn._xlws.FILTER(
   DRG_Status!$A$2:$A$100000,
   (DRG_Status!$D$2:$D$100000=S_Curve_Data!F86) *
   (DRG_Status!$B$2:$B$100000=S_Curve_Data!$F$1)
)),0)/$G$1</f>
        <v>0</v>
      </c>
      <c r="I86" s="23" cm="1">
        <f t="array" ref="I86">IFERROR(ROWS(_xlfn._xlws.FILTER(
   DRG_Status!$A$2:$A$100000,
   (DRG_Status!$E$2:$E$100000=S_Curve_Data!F86) *
   (DRG_Status!$B$2:$B$100000=S_Curve_Data!$F$1)
)),0)/$G$1</f>
        <v>0</v>
      </c>
      <c r="J86" s="23" cm="1">
        <f t="array" ref="J86">IFERROR(ROWS(_xlfn._xlws.FILTER(
   DRG_Status!$A$2:$A$100000,
   (DRG_Status!$F$2:$F$100000=S_Curve_Data!F86) *
   (DRG_Status!$B$2:$B$100000=S_Curve_Data!$F$1)
)),0)/$G$1</f>
        <v>0</v>
      </c>
      <c r="M86" s="17">
        <f>Mappings!B85</f>
        <v>46244</v>
      </c>
      <c r="N86" s="23" cm="1">
        <f t="array" ref="N86">IFERROR(ROWS(_xlfn._xlws.FILTER(
   DRG_Status!$A$2:$A$100000,
   (DRG_Status!$C$2:$C$100000=S_Curve_Data!M86) *
   (DRG_Status!$B$2:$B$100000=S_Curve_Data!$M$1)
)),0)/$N$1</f>
        <v>0</v>
      </c>
      <c r="O86" s="23" cm="1">
        <f t="array" ref="O86">IFERROR(ROWS(_xlfn._xlws.FILTER(
   DRG_Status!$A$2:$A$100000,
   (DRG_Status!$D$2:$D$100000=S_Curve_Data!M86) *
   (DRG_Status!$B$2:$B$100000=S_Curve_Data!$M$1)
)),0)/$N$1</f>
        <v>0</v>
      </c>
      <c r="P86" s="23" cm="1">
        <f t="array" ref="P86">IFERROR(ROWS(_xlfn._xlws.FILTER(
   DRG_Status!$A$2:$A$100000,
   (DRG_Status!$E$2:$E$100000=S_Curve_Data!M86) *
   (DRG_Status!$B$2:$B$100000=S_Curve_Data!$M$1)
)),0)/$N$1</f>
        <v>0</v>
      </c>
      <c r="Q86" s="23" cm="1">
        <f t="array" ref="Q86">IFERROR(ROWS(_xlfn._xlws.FILTER(
   DRG_Status!$A$2:$A$100000,
   (DRG_Status!$F$2:$F$100000=S_Curve_Data!M86) *
   (DRG_Status!$B$2:$B$100000=S_Curve_Data!$M$1)
)),0)/$N$1</f>
        <v>0</v>
      </c>
      <c r="T86" s="17">
        <f>Mappings!B85</f>
        <v>46244</v>
      </c>
      <c r="U86" s="23" t="e" cm="1">
        <f t="array" ref="U86">IFERROR(ROWS(_xlfn._xlws.FILTER(
   DRG_Status!$A$2:$A$100000,
   (DRG_Status!$C$2:$C$100000=S_Curve_Data!T86) *
   (DRG_Status!$B$2:$B$100000=S_Curve_Data!$T$1)
)),0)/$U$1</f>
        <v>#N/A</v>
      </c>
      <c r="V86" s="23" t="e" cm="1">
        <f t="array" ref="V86">IFERROR(ROWS(_xlfn._xlws.FILTER(
   DRG_Status!$A$2:$A$100000,
   (DRG_Status!$D$2:$D$100000=S_Curve_Data!T86) *
   (DRG_Status!$B$2:$B$100000=S_Curve_Data!$T$1)
)),0)/$U$1</f>
        <v>#N/A</v>
      </c>
      <c r="W86" s="23" t="e" cm="1">
        <f t="array" ref="W86">IFERROR(ROWS(_xlfn._xlws.FILTER(
   DRG_Status!$A$2:$A$100000,
   (DRG_Status!$E$2:$E$100000=S_Curve_Data!T86) *
   (DRG_Status!$B$2:$B$100000=S_Curve_Data!$T$1)
)),0)/$U$1</f>
        <v>#N/A</v>
      </c>
      <c r="X86" s="23" t="e" cm="1">
        <f t="array" ref="X86">IFERROR(ROWS(_xlfn._xlws.FILTER(
   DRG_Status!$A$2:$A$100000,
   (DRG_Status!$F$2:$F$100000=S_Curve_Data!T86) *
   (DRG_Status!$B$2:$B$100000=S_Curve_Data!$T$1)
)),0)/$U$1</f>
        <v>#N/A</v>
      </c>
    </row>
    <row r="87" spans="6:24">
      <c r="F87" s="17">
        <f>Mappings!B86</f>
        <v>46251</v>
      </c>
      <c r="G87" s="23" cm="1">
        <f t="array" ref="G87">IFERROR(ROWS(_xlfn._xlws.FILTER(
   DRG_Status!$A$2:$A$100000,
   (DRG_Status!$C$2:$C$100000=S_Curve_Data!F87) *
   (DRG_Status!$B$2:$B$100000=S_Curve_Data!$F$1)
)),0)/$G$1</f>
        <v>0</v>
      </c>
      <c r="H87" s="23" cm="1">
        <f t="array" ref="H87">IFERROR(ROWS(_xlfn._xlws.FILTER(
   DRG_Status!$A$2:$A$100000,
   (DRG_Status!$D$2:$D$100000=S_Curve_Data!F87) *
   (DRG_Status!$B$2:$B$100000=S_Curve_Data!$F$1)
)),0)/$G$1</f>
        <v>0</v>
      </c>
      <c r="I87" s="23" cm="1">
        <f t="array" ref="I87">IFERROR(ROWS(_xlfn._xlws.FILTER(
   DRG_Status!$A$2:$A$100000,
   (DRG_Status!$E$2:$E$100000=S_Curve_Data!F87) *
   (DRG_Status!$B$2:$B$100000=S_Curve_Data!$F$1)
)),0)/$G$1</f>
        <v>0</v>
      </c>
      <c r="J87" s="23" cm="1">
        <f t="array" ref="J87">IFERROR(ROWS(_xlfn._xlws.FILTER(
   DRG_Status!$A$2:$A$100000,
   (DRG_Status!$F$2:$F$100000=S_Curve_Data!F87) *
   (DRG_Status!$B$2:$B$100000=S_Curve_Data!$F$1)
)),0)/$G$1</f>
        <v>0</v>
      </c>
      <c r="M87" s="17">
        <f>Mappings!B86</f>
        <v>46251</v>
      </c>
      <c r="N87" s="23" cm="1">
        <f t="array" ref="N87">IFERROR(ROWS(_xlfn._xlws.FILTER(
   DRG_Status!$A$2:$A$100000,
   (DRG_Status!$C$2:$C$100000=S_Curve_Data!M87) *
   (DRG_Status!$B$2:$B$100000=S_Curve_Data!$M$1)
)),0)/$N$1</f>
        <v>0</v>
      </c>
      <c r="O87" s="23" cm="1">
        <f t="array" ref="O87">IFERROR(ROWS(_xlfn._xlws.FILTER(
   DRG_Status!$A$2:$A$100000,
   (DRG_Status!$D$2:$D$100000=S_Curve_Data!M87) *
   (DRG_Status!$B$2:$B$100000=S_Curve_Data!$M$1)
)),0)/$N$1</f>
        <v>0</v>
      </c>
      <c r="P87" s="23" cm="1">
        <f t="array" ref="P87">IFERROR(ROWS(_xlfn._xlws.FILTER(
   DRG_Status!$A$2:$A$100000,
   (DRG_Status!$E$2:$E$100000=S_Curve_Data!M87) *
   (DRG_Status!$B$2:$B$100000=S_Curve_Data!$M$1)
)),0)/$N$1</f>
        <v>0</v>
      </c>
      <c r="Q87" s="23" cm="1">
        <f t="array" ref="Q87">IFERROR(ROWS(_xlfn._xlws.FILTER(
   DRG_Status!$A$2:$A$100000,
   (DRG_Status!$F$2:$F$100000=S_Curve_Data!M87) *
   (DRG_Status!$B$2:$B$100000=S_Curve_Data!$M$1)
)),0)/$N$1</f>
        <v>0</v>
      </c>
      <c r="T87" s="17">
        <f>Mappings!B86</f>
        <v>46251</v>
      </c>
      <c r="U87" s="23" t="e" cm="1">
        <f t="array" ref="U87">IFERROR(ROWS(_xlfn._xlws.FILTER(
   DRG_Status!$A$2:$A$100000,
   (DRG_Status!$C$2:$C$100000=S_Curve_Data!T87) *
   (DRG_Status!$B$2:$B$100000=S_Curve_Data!$T$1)
)),0)/$U$1</f>
        <v>#N/A</v>
      </c>
      <c r="V87" s="23" t="e" cm="1">
        <f t="array" ref="V87">IFERROR(ROWS(_xlfn._xlws.FILTER(
   DRG_Status!$A$2:$A$100000,
   (DRG_Status!$D$2:$D$100000=S_Curve_Data!T87) *
   (DRG_Status!$B$2:$B$100000=S_Curve_Data!$T$1)
)),0)/$U$1</f>
        <v>#N/A</v>
      </c>
      <c r="W87" s="23" t="e" cm="1">
        <f t="array" ref="W87">IFERROR(ROWS(_xlfn._xlws.FILTER(
   DRG_Status!$A$2:$A$100000,
   (DRG_Status!$E$2:$E$100000=S_Curve_Data!T87) *
   (DRG_Status!$B$2:$B$100000=S_Curve_Data!$T$1)
)),0)/$U$1</f>
        <v>#N/A</v>
      </c>
      <c r="X87" s="23" t="e" cm="1">
        <f t="array" ref="X87">IFERROR(ROWS(_xlfn._xlws.FILTER(
   DRG_Status!$A$2:$A$100000,
   (DRG_Status!$F$2:$F$100000=S_Curve_Data!T87) *
   (DRG_Status!$B$2:$B$100000=S_Curve_Data!$T$1)
)),0)/$U$1</f>
        <v>#N/A</v>
      </c>
    </row>
    <row r="88" spans="6:24">
      <c r="F88" s="17">
        <f>Mappings!B87</f>
        <v>46258</v>
      </c>
      <c r="G88" s="23" cm="1">
        <f t="array" ref="G88">IFERROR(ROWS(_xlfn._xlws.FILTER(
   DRG_Status!$A$2:$A$100000,
   (DRG_Status!$C$2:$C$100000=S_Curve_Data!F88) *
   (DRG_Status!$B$2:$B$100000=S_Curve_Data!$F$1)
)),0)/$G$1</f>
        <v>0</v>
      </c>
      <c r="H88" s="23" cm="1">
        <f t="array" ref="H88">IFERROR(ROWS(_xlfn._xlws.FILTER(
   DRG_Status!$A$2:$A$100000,
   (DRG_Status!$D$2:$D$100000=S_Curve_Data!F88) *
   (DRG_Status!$B$2:$B$100000=S_Curve_Data!$F$1)
)),0)/$G$1</f>
        <v>0</v>
      </c>
      <c r="I88" s="23" cm="1">
        <f t="array" ref="I88">IFERROR(ROWS(_xlfn._xlws.FILTER(
   DRG_Status!$A$2:$A$100000,
   (DRG_Status!$E$2:$E$100000=S_Curve_Data!F88) *
   (DRG_Status!$B$2:$B$100000=S_Curve_Data!$F$1)
)),0)/$G$1</f>
        <v>0</v>
      </c>
      <c r="J88" s="23" cm="1">
        <f t="array" ref="J88">IFERROR(ROWS(_xlfn._xlws.FILTER(
   DRG_Status!$A$2:$A$100000,
   (DRG_Status!$F$2:$F$100000=S_Curve_Data!F88) *
   (DRG_Status!$B$2:$B$100000=S_Curve_Data!$F$1)
)),0)/$G$1</f>
        <v>0</v>
      </c>
      <c r="M88" s="17">
        <f>Mappings!B87</f>
        <v>46258</v>
      </c>
      <c r="N88" s="23" cm="1">
        <f t="array" ref="N88">IFERROR(ROWS(_xlfn._xlws.FILTER(
   DRG_Status!$A$2:$A$100000,
   (DRG_Status!$C$2:$C$100000=S_Curve_Data!M88) *
   (DRG_Status!$B$2:$B$100000=S_Curve_Data!$M$1)
)),0)/$N$1</f>
        <v>0</v>
      </c>
      <c r="O88" s="23" cm="1">
        <f t="array" ref="O88">IFERROR(ROWS(_xlfn._xlws.FILTER(
   DRG_Status!$A$2:$A$100000,
   (DRG_Status!$D$2:$D$100000=S_Curve_Data!M88) *
   (DRG_Status!$B$2:$B$100000=S_Curve_Data!$M$1)
)),0)/$N$1</f>
        <v>0</v>
      </c>
      <c r="P88" s="23" cm="1">
        <f t="array" ref="P88">IFERROR(ROWS(_xlfn._xlws.FILTER(
   DRG_Status!$A$2:$A$100000,
   (DRG_Status!$E$2:$E$100000=S_Curve_Data!M88) *
   (DRG_Status!$B$2:$B$100000=S_Curve_Data!$M$1)
)),0)/$N$1</f>
        <v>0</v>
      </c>
      <c r="Q88" s="23" cm="1">
        <f t="array" ref="Q88">IFERROR(ROWS(_xlfn._xlws.FILTER(
   DRG_Status!$A$2:$A$100000,
   (DRG_Status!$F$2:$F$100000=S_Curve_Data!M88) *
   (DRG_Status!$B$2:$B$100000=S_Curve_Data!$M$1)
)),0)/$N$1</f>
        <v>0</v>
      </c>
      <c r="T88" s="17">
        <f>Mappings!B87</f>
        <v>46258</v>
      </c>
      <c r="U88" s="23" t="e" cm="1">
        <f t="array" ref="U88">IFERROR(ROWS(_xlfn._xlws.FILTER(
   DRG_Status!$A$2:$A$100000,
   (DRG_Status!$C$2:$C$100000=S_Curve_Data!T88) *
   (DRG_Status!$B$2:$B$100000=S_Curve_Data!$T$1)
)),0)/$U$1</f>
        <v>#N/A</v>
      </c>
      <c r="V88" s="23" t="e" cm="1">
        <f t="array" ref="V88">IFERROR(ROWS(_xlfn._xlws.FILTER(
   DRG_Status!$A$2:$A$100000,
   (DRG_Status!$D$2:$D$100000=S_Curve_Data!T88) *
   (DRG_Status!$B$2:$B$100000=S_Curve_Data!$T$1)
)),0)/$U$1</f>
        <v>#N/A</v>
      </c>
      <c r="W88" s="23" t="e" cm="1">
        <f t="array" ref="W88">IFERROR(ROWS(_xlfn._xlws.FILTER(
   DRG_Status!$A$2:$A$100000,
   (DRG_Status!$E$2:$E$100000=S_Curve_Data!T88) *
   (DRG_Status!$B$2:$B$100000=S_Curve_Data!$T$1)
)),0)/$U$1</f>
        <v>#N/A</v>
      </c>
      <c r="X88" s="23" t="e" cm="1">
        <f t="array" ref="X88">IFERROR(ROWS(_xlfn._xlws.FILTER(
   DRG_Status!$A$2:$A$100000,
   (DRG_Status!$F$2:$F$100000=S_Curve_Data!T88) *
   (DRG_Status!$B$2:$B$100000=S_Curve_Data!$T$1)
)),0)/$U$1</f>
        <v>#N/A</v>
      </c>
    </row>
    <row r="89" spans="6:24">
      <c r="F89" s="17">
        <f>Mappings!B88</f>
        <v>46265</v>
      </c>
      <c r="G89" s="23" cm="1">
        <f t="array" ref="G89">IFERROR(ROWS(_xlfn._xlws.FILTER(
   DRG_Status!$A$2:$A$100000,
   (DRG_Status!$C$2:$C$100000=S_Curve_Data!F89) *
   (DRG_Status!$B$2:$B$100000=S_Curve_Data!$F$1)
)),0)/$G$1</f>
        <v>0</v>
      </c>
      <c r="H89" s="23" cm="1">
        <f t="array" ref="H89">IFERROR(ROWS(_xlfn._xlws.FILTER(
   DRG_Status!$A$2:$A$100000,
   (DRG_Status!$D$2:$D$100000=S_Curve_Data!F89) *
   (DRG_Status!$B$2:$B$100000=S_Curve_Data!$F$1)
)),0)/$G$1</f>
        <v>0</v>
      </c>
      <c r="I89" s="23" cm="1">
        <f t="array" ref="I89">IFERROR(ROWS(_xlfn._xlws.FILTER(
   DRG_Status!$A$2:$A$100000,
   (DRG_Status!$E$2:$E$100000=S_Curve_Data!F89) *
   (DRG_Status!$B$2:$B$100000=S_Curve_Data!$F$1)
)),0)/$G$1</f>
        <v>0</v>
      </c>
      <c r="J89" s="23" cm="1">
        <f t="array" ref="J89">IFERROR(ROWS(_xlfn._xlws.FILTER(
   DRG_Status!$A$2:$A$100000,
   (DRG_Status!$F$2:$F$100000=S_Curve_Data!F89) *
   (DRG_Status!$B$2:$B$100000=S_Curve_Data!$F$1)
)),0)/$G$1</f>
        <v>0</v>
      </c>
      <c r="M89" s="17">
        <f>Mappings!B88</f>
        <v>46265</v>
      </c>
      <c r="N89" s="23" cm="1">
        <f t="array" ref="N89">IFERROR(ROWS(_xlfn._xlws.FILTER(
   DRG_Status!$A$2:$A$100000,
   (DRG_Status!$C$2:$C$100000=S_Curve_Data!M89) *
   (DRG_Status!$B$2:$B$100000=S_Curve_Data!$M$1)
)),0)/$N$1</f>
        <v>0</v>
      </c>
      <c r="O89" s="23" cm="1">
        <f t="array" ref="O89">IFERROR(ROWS(_xlfn._xlws.FILTER(
   DRG_Status!$A$2:$A$100000,
   (DRG_Status!$D$2:$D$100000=S_Curve_Data!M89) *
   (DRG_Status!$B$2:$B$100000=S_Curve_Data!$M$1)
)),0)/$N$1</f>
        <v>0</v>
      </c>
      <c r="P89" s="23" cm="1">
        <f t="array" ref="P89">IFERROR(ROWS(_xlfn._xlws.FILTER(
   DRG_Status!$A$2:$A$100000,
   (DRG_Status!$E$2:$E$100000=S_Curve_Data!M89) *
   (DRG_Status!$B$2:$B$100000=S_Curve_Data!$M$1)
)),0)/$N$1</f>
        <v>0</v>
      </c>
      <c r="Q89" s="23" cm="1">
        <f t="array" ref="Q89">IFERROR(ROWS(_xlfn._xlws.FILTER(
   DRG_Status!$A$2:$A$100000,
   (DRG_Status!$F$2:$F$100000=S_Curve_Data!M89) *
   (DRG_Status!$B$2:$B$100000=S_Curve_Data!$M$1)
)),0)/$N$1</f>
        <v>0</v>
      </c>
      <c r="T89" s="17">
        <f>Mappings!B88</f>
        <v>46265</v>
      </c>
      <c r="U89" s="23" t="e" cm="1">
        <f t="array" ref="U89">IFERROR(ROWS(_xlfn._xlws.FILTER(
   DRG_Status!$A$2:$A$100000,
   (DRG_Status!$C$2:$C$100000=S_Curve_Data!T89) *
   (DRG_Status!$B$2:$B$100000=S_Curve_Data!$T$1)
)),0)/$U$1</f>
        <v>#N/A</v>
      </c>
      <c r="V89" s="23" t="e" cm="1">
        <f t="array" ref="V89">IFERROR(ROWS(_xlfn._xlws.FILTER(
   DRG_Status!$A$2:$A$100000,
   (DRG_Status!$D$2:$D$100000=S_Curve_Data!T89) *
   (DRG_Status!$B$2:$B$100000=S_Curve_Data!$T$1)
)),0)/$U$1</f>
        <v>#N/A</v>
      </c>
      <c r="W89" s="23" t="e" cm="1">
        <f t="array" ref="W89">IFERROR(ROWS(_xlfn._xlws.FILTER(
   DRG_Status!$A$2:$A$100000,
   (DRG_Status!$E$2:$E$100000=S_Curve_Data!T89) *
   (DRG_Status!$B$2:$B$100000=S_Curve_Data!$T$1)
)),0)/$U$1</f>
        <v>#N/A</v>
      </c>
      <c r="X89" s="23" t="e" cm="1">
        <f t="array" ref="X89">IFERROR(ROWS(_xlfn._xlws.FILTER(
   DRG_Status!$A$2:$A$100000,
   (DRG_Status!$F$2:$F$100000=S_Curve_Data!T89) *
   (DRG_Status!$B$2:$B$100000=S_Curve_Data!$T$1)
)),0)/$U$1</f>
        <v>#N/A</v>
      </c>
    </row>
    <row r="90" spans="6:24">
      <c r="F90"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6576-1BA0-41E1-893B-7F9147F43551}">
  <dimension ref="A1:F1024"/>
  <sheetViews>
    <sheetView workbookViewId="0">
      <selection activeCell="G10" sqref="G10"/>
    </sheetView>
  </sheetViews>
  <sheetFormatPr defaultRowHeight="14.5"/>
  <cols>
    <col min="2" max="2" width="9.54296875" bestFit="1" customWidth="1"/>
    <col min="5" max="5" width="13.1796875" bestFit="1" customWidth="1"/>
  </cols>
  <sheetData>
    <row r="1" spans="1:6">
      <c r="A1" t="s">
        <v>25</v>
      </c>
      <c r="B1" t="s">
        <v>30</v>
      </c>
      <c r="E1" t="s">
        <v>59</v>
      </c>
      <c r="F1" t="s">
        <v>60</v>
      </c>
    </row>
    <row r="2" spans="1:6">
      <c r="B2" s="16">
        <v>45663</v>
      </c>
      <c r="E2">
        <v>1</v>
      </c>
      <c r="F2" t="s">
        <v>45</v>
      </c>
    </row>
    <row r="3" spans="1:6">
      <c r="B3" s="16">
        <f>B2+7-WEEKDAY(B2,2)+1</f>
        <v>45670</v>
      </c>
      <c r="E3">
        <v>2</v>
      </c>
      <c r="F3" t="s">
        <v>63</v>
      </c>
    </row>
    <row r="4" spans="1:6">
      <c r="B4" s="16">
        <f t="shared" ref="B4:B67" si="0">B3+7-WEEKDAY(B3,2)+1</f>
        <v>45677</v>
      </c>
      <c r="E4">
        <v>3</v>
      </c>
      <c r="F4" t="s">
        <v>64</v>
      </c>
    </row>
    <row r="5" spans="1:6">
      <c r="B5" s="16">
        <f t="shared" si="0"/>
        <v>45684</v>
      </c>
      <c r="E5" t="s">
        <v>61</v>
      </c>
      <c r="F5" t="s">
        <v>65</v>
      </c>
    </row>
    <row r="6" spans="1:6">
      <c r="B6" s="16">
        <f t="shared" si="0"/>
        <v>45691</v>
      </c>
      <c r="E6" t="s">
        <v>62</v>
      </c>
      <c r="F6" t="s">
        <v>66</v>
      </c>
    </row>
    <row r="7" spans="1:6">
      <c r="B7" s="16">
        <f t="shared" si="0"/>
        <v>45698</v>
      </c>
    </row>
    <row r="8" spans="1:6">
      <c r="B8" s="16">
        <f t="shared" si="0"/>
        <v>45705</v>
      </c>
    </row>
    <row r="9" spans="1:6">
      <c r="B9" s="16">
        <f t="shared" si="0"/>
        <v>45712</v>
      </c>
    </row>
    <row r="10" spans="1:6">
      <c r="B10" s="16">
        <f t="shared" si="0"/>
        <v>45719</v>
      </c>
    </row>
    <row r="11" spans="1:6">
      <c r="B11" s="16">
        <f t="shared" si="0"/>
        <v>45726</v>
      </c>
    </row>
    <row r="12" spans="1:6">
      <c r="B12" s="16">
        <f t="shared" si="0"/>
        <v>45733</v>
      </c>
    </row>
    <row r="13" spans="1:6">
      <c r="B13" s="16">
        <f t="shared" si="0"/>
        <v>45740</v>
      </c>
    </row>
    <row r="14" spans="1:6">
      <c r="B14" s="16">
        <f t="shared" si="0"/>
        <v>45747</v>
      </c>
    </row>
    <row r="15" spans="1:6">
      <c r="B15" s="16">
        <f t="shared" si="0"/>
        <v>45754</v>
      </c>
    </row>
    <row r="16" spans="1:6">
      <c r="B16" s="16">
        <f t="shared" si="0"/>
        <v>45761</v>
      </c>
    </row>
    <row r="17" spans="2:2">
      <c r="B17" s="16">
        <f t="shared" si="0"/>
        <v>45768</v>
      </c>
    </row>
    <row r="18" spans="2:2">
      <c r="B18" s="16">
        <f t="shared" si="0"/>
        <v>45775</v>
      </c>
    </row>
    <row r="19" spans="2:2">
      <c r="B19" s="16">
        <f t="shared" si="0"/>
        <v>45782</v>
      </c>
    </row>
    <row r="20" spans="2:2">
      <c r="B20" s="16">
        <f t="shared" si="0"/>
        <v>45789</v>
      </c>
    </row>
    <row r="21" spans="2:2">
      <c r="B21" s="16">
        <f t="shared" si="0"/>
        <v>45796</v>
      </c>
    </row>
    <row r="22" spans="2:2">
      <c r="B22" s="16">
        <f t="shared" si="0"/>
        <v>45803</v>
      </c>
    </row>
    <row r="23" spans="2:2">
      <c r="B23" s="16">
        <f t="shared" si="0"/>
        <v>45810</v>
      </c>
    </row>
    <row r="24" spans="2:2">
      <c r="B24" s="16">
        <f t="shared" si="0"/>
        <v>45817</v>
      </c>
    </row>
    <row r="25" spans="2:2">
      <c r="B25" s="16">
        <f t="shared" si="0"/>
        <v>45824</v>
      </c>
    </row>
    <row r="26" spans="2:2">
      <c r="B26" s="16">
        <f t="shared" si="0"/>
        <v>45831</v>
      </c>
    </row>
    <row r="27" spans="2:2">
      <c r="B27" s="16">
        <f t="shared" si="0"/>
        <v>45838</v>
      </c>
    </row>
    <row r="28" spans="2:2">
      <c r="B28" s="16">
        <f t="shared" si="0"/>
        <v>45845</v>
      </c>
    </row>
    <row r="29" spans="2:2">
      <c r="B29" s="16">
        <f t="shared" si="0"/>
        <v>45852</v>
      </c>
    </row>
    <row r="30" spans="2:2">
      <c r="B30" s="16">
        <f t="shared" si="0"/>
        <v>45859</v>
      </c>
    </row>
    <row r="31" spans="2:2">
      <c r="B31" s="16">
        <f t="shared" si="0"/>
        <v>45866</v>
      </c>
    </row>
    <row r="32" spans="2:2">
      <c r="B32" s="16">
        <f t="shared" si="0"/>
        <v>45873</v>
      </c>
    </row>
    <row r="33" spans="2:2">
      <c r="B33" s="16">
        <f t="shared" si="0"/>
        <v>45880</v>
      </c>
    </row>
    <row r="34" spans="2:2">
      <c r="B34" s="16">
        <f t="shared" si="0"/>
        <v>45887</v>
      </c>
    </row>
    <row r="35" spans="2:2">
      <c r="B35" s="16">
        <f t="shared" si="0"/>
        <v>45894</v>
      </c>
    </row>
    <row r="36" spans="2:2">
      <c r="B36" s="16">
        <f t="shared" si="0"/>
        <v>45901</v>
      </c>
    </row>
    <row r="37" spans="2:2">
      <c r="B37" s="16">
        <f t="shared" si="0"/>
        <v>45908</v>
      </c>
    </row>
    <row r="38" spans="2:2">
      <c r="B38" s="16">
        <f t="shared" si="0"/>
        <v>45915</v>
      </c>
    </row>
    <row r="39" spans="2:2">
      <c r="B39" s="16">
        <f t="shared" si="0"/>
        <v>45922</v>
      </c>
    </row>
    <row r="40" spans="2:2">
      <c r="B40" s="16">
        <f t="shared" si="0"/>
        <v>45929</v>
      </c>
    </row>
    <row r="41" spans="2:2">
      <c r="B41" s="16">
        <f t="shared" si="0"/>
        <v>45936</v>
      </c>
    </row>
    <row r="42" spans="2:2">
      <c r="B42" s="16">
        <f t="shared" si="0"/>
        <v>45943</v>
      </c>
    </row>
    <row r="43" spans="2:2">
      <c r="B43" s="16">
        <f t="shared" si="0"/>
        <v>45950</v>
      </c>
    </row>
    <row r="44" spans="2:2">
      <c r="B44" s="16">
        <f t="shared" si="0"/>
        <v>45957</v>
      </c>
    </row>
    <row r="45" spans="2:2">
      <c r="B45" s="16">
        <f t="shared" si="0"/>
        <v>45964</v>
      </c>
    </row>
    <row r="46" spans="2:2">
      <c r="B46" s="16">
        <f t="shared" si="0"/>
        <v>45971</v>
      </c>
    </row>
    <row r="47" spans="2:2">
      <c r="B47" s="16">
        <f t="shared" si="0"/>
        <v>45978</v>
      </c>
    </row>
    <row r="48" spans="2:2">
      <c r="B48" s="16">
        <f t="shared" si="0"/>
        <v>45985</v>
      </c>
    </row>
    <row r="49" spans="2:2">
      <c r="B49" s="16">
        <f t="shared" si="0"/>
        <v>45992</v>
      </c>
    </row>
    <row r="50" spans="2:2">
      <c r="B50" s="16">
        <f t="shared" si="0"/>
        <v>45999</v>
      </c>
    </row>
    <row r="51" spans="2:2">
      <c r="B51" s="16">
        <f t="shared" si="0"/>
        <v>46006</v>
      </c>
    </row>
    <row r="52" spans="2:2">
      <c r="B52" s="16">
        <f t="shared" si="0"/>
        <v>46013</v>
      </c>
    </row>
    <row r="53" spans="2:2">
      <c r="B53" s="16">
        <f t="shared" si="0"/>
        <v>46020</v>
      </c>
    </row>
    <row r="54" spans="2:2">
      <c r="B54" s="16">
        <f t="shared" si="0"/>
        <v>46027</v>
      </c>
    </row>
    <row r="55" spans="2:2">
      <c r="B55" s="16">
        <f t="shared" si="0"/>
        <v>46034</v>
      </c>
    </row>
    <row r="56" spans="2:2">
      <c r="B56" s="16">
        <f t="shared" si="0"/>
        <v>46041</v>
      </c>
    </row>
    <row r="57" spans="2:2">
      <c r="B57" s="16">
        <f t="shared" si="0"/>
        <v>46048</v>
      </c>
    </row>
    <row r="58" spans="2:2">
      <c r="B58" s="16">
        <f t="shared" si="0"/>
        <v>46055</v>
      </c>
    </row>
    <row r="59" spans="2:2">
      <c r="B59" s="16">
        <f t="shared" si="0"/>
        <v>46062</v>
      </c>
    </row>
    <row r="60" spans="2:2">
      <c r="B60" s="16">
        <f t="shared" si="0"/>
        <v>46069</v>
      </c>
    </row>
    <row r="61" spans="2:2">
      <c r="B61" s="16">
        <f t="shared" si="0"/>
        <v>46076</v>
      </c>
    </row>
    <row r="62" spans="2:2">
      <c r="B62" s="16">
        <f t="shared" si="0"/>
        <v>46083</v>
      </c>
    </row>
    <row r="63" spans="2:2">
      <c r="B63" s="16">
        <f t="shared" si="0"/>
        <v>46090</v>
      </c>
    </row>
    <row r="64" spans="2:2">
      <c r="B64" s="16">
        <f t="shared" si="0"/>
        <v>46097</v>
      </c>
    </row>
    <row r="65" spans="2:2">
      <c r="B65" s="16">
        <f t="shared" si="0"/>
        <v>46104</v>
      </c>
    </row>
    <row r="66" spans="2:2">
      <c r="B66" s="16">
        <f t="shared" si="0"/>
        <v>46111</v>
      </c>
    </row>
    <row r="67" spans="2:2">
      <c r="B67" s="16">
        <f t="shared" si="0"/>
        <v>46118</v>
      </c>
    </row>
    <row r="68" spans="2:2">
      <c r="B68" s="16">
        <f t="shared" ref="B68:B131" si="1">B67+7-WEEKDAY(B67,2)+1</f>
        <v>46125</v>
      </c>
    </row>
    <row r="69" spans="2:2">
      <c r="B69" s="16">
        <f t="shared" si="1"/>
        <v>46132</v>
      </c>
    </row>
    <row r="70" spans="2:2">
      <c r="B70" s="16">
        <f t="shared" si="1"/>
        <v>46139</v>
      </c>
    </row>
    <row r="71" spans="2:2">
      <c r="B71" s="16">
        <f t="shared" si="1"/>
        <v>46146</v>
      </c>
    </row>
    <row r="72" spans="2:2">
      <c r="B72" s="16">
        <f t="shared" si="1"/>
        <v>46153</v>
      </c>
    </row>
    <row r="73" spans="2:2">
      <c r="B73" s="16">
        <f t="shared" si="1"/>
        <v>46160</v>
      </c>
    </row>
    <row r="74" spans="2:2">
      <c r="B74" s="16">
        <f t="shared" si="1"/>
        <v>46167</v>
      </c>
    </row>
    <row r="75" spans="2:2">
      <c r="B75" s="16">
        <f t="shared" si="1"/>
        <v>46174</v>
      </c>
    </row>
    <row r="76" spans="2:2">
      <c r="B76" s="16">
        <f t="shared" si="1"/>
        <v>46181</v>
      </c>
    </row>
    <row r="77" spans="2:2">
      <c r="B77" s="16">
        <f t="shared" si="1"/>
        <v>46188</v>
      </c>
    </row>
    <row r="78" spans="2:2">
      <c r="B78" s="16">
        <f t="shared" si="1"/>
        <v>46195</v>
      </c>
    </row>
    <row r="79" spans="2:2">
      <c r="B79" s="16">
        <f t="shared" si="1"/>
        <v>46202</v>
      </c>
    </row>
    <row r="80" spans="2:2">
      <c r="B80" s="16">
        <f t="shared" si="1"/>
        <v>46209</v>
      </c>
    </row>
    <row r="81" spans="2:2">
      <c r="B81" s="16">
        <f t="shared" si="1"/>
        <v>46216</v>
      </c>
    </row>
    <row r="82" spans="2:2">
      <c r="B82" s="16">
        <f t="shared" si="1"/>
        <v>46223</v>
      </c>
    </row>
    <row r="83" spans="2:2">
      <c r="B83" s="16">
        <f t="shared" si="1"/>
        <v>46230</v>
      </c>
    </row>
    <row r="84" spans="2:2">
      <c r="B84" s="16">
        <f t="shared" si="1"/>
        <v>46237</v>
      </c>
    </row>
    <row r="85" spans="2:2">
      <c r="B85" s="16">
        <f t="shared" si="1"/>
        <v>46244</v>
      </c>
    </row>
    <row r="86" spans="2:2">
      <c r="B86" s="16">
        <f t="shared" si="1"/>
        <v>46251</v>
      </c>
    </row>
    <row r="87" spans="2:2">
      <c r="B87" s="16">
        <f t="shared" si="1"/>
        <v>46258</v>
      </c>
    </row>
    <row r="88" spans="2:2">
      <c r="B88" s="16">
        <f t="shared" si="1"/>
        <v>46265</v>
      </c>
    </row>
    <row r="89" spans="2:2">
      <c r="B89" s="16">
        <f t="shared" si="1"/>
        <v>46272</v>
      </c>
    </row>
    <row r="90" spans="2:2">
      <c r="B90" s="16">
        <f t="shared" si="1"/>
        <v>46279</v>
      </c>
    </row>
    <row r="91" spans="2:2">
      <c r="B91" s="16">
        <f t="shared" si="1"/>
        <v>46286</v>
      </c>
    </row>
    <row r="92" spans="2:2">
      <c r="B92" s="16">
        <f t="shared" si="1"/>
        <v>46293</v>
      </c>
    </row>
    <row r="93" spans="2:2">
      <c r="B93" s="16">
        <f t="shared" si="1"/>
        <v>46300</v>
      </c>
    </row>
    <row r="94" spans="2:2">
      <c r="B94" s="16">
        <f t="shared" si="1"/>
        <v>46307</v>
      </c>
    </row>
    <row r="95" spans="2:2">
      <c r="B95" s="16">
        <f t="shared" si="1"/>
        <v>46314</v>
      </c>
    </row>
    <row r="96" spans="2:2">
      <c r="B96" s="16">
        <f t="shared" si="1"/>
        <v>46321</v>
      </c>
    </row>
    <row r="97" spans="2:2">
      <c r="B97" s="16">
        <f t="shared" si="1"/>
        <v>46328</v>
      </c>
    </row>
    <row r="98" spans="2:2">
      <c r="B98" s="16">
        <f t="shared" si="1"/>
        <v>46335</v>
      </c>
    </row>
    <row r="99" spans="2:2">
      <c r="B99" s="16">
        <f t="shared" si="1"/>
        <v>46342</v>
      </c>
    </row>
    <row r="100" spans="2:2">
      <c r="B100" s="16">
        <f t="shared" si="1"/>
        <v>46349</v>
      </c>
    </row>
    <row r="101" spans="2:2">
      <c r="B101" s="16">
        <f t="shared" si="1"/>
        <v>46356</v>
      </c>
    </row>
    <row r="102" spans="2:2">
      <c r="B102" s="16">
        <f t="shared" si="1"/>
        <v>46363</v>
      </c>
    </row>
    <row r="103" spans="2:2">
      <c r="B103" s="16">
        <f t="shared" si="1"/>
        <v>46370</v>
      </c>
    </row>
    <row r="104" spans="2:2">
      <c r="B104" s="16">
        <f t="shared" si="1"/>
        <v>46377</v>
      </c>
    </row>
    <row r="105" spans="2:2">
      <c r="B105" s="16">
        <f t="shared" si="1"/>
        <v>46384</v>
      </c>
    </row>
    <row r="106" spans="2:2">
      <c r="B106" s="16">
        <f t="shared" si="1"/>
        <v>46391</v>
      </c>
    </row>
    <row r="107" spans="2:2">
      <c r="B107" s="16">
        <f t="shared" si="1"/>
        <v>46398</v>
      </c>
    </row>
    <row r="108" spans="2:2">
      <c r="B108" s="16">
        <f t="shared" si="1"/>
        <v>46405</v>
      </c>
    </row>
    <row r="109" spans="2:2">
      <c r="B109" s="16">
        <f t="shared" si="1"/>
        <v>46412</v>
      </c>
    </row>
    <row r="110" spans="2:2">
      <c r="B110" s="16">
        <f t="shared" si="1"/>
        <v>46419</v>
      </c>
    </row>
    <row r="111" spans="2:2">
      <c r="B111" s="16">
        <f t="shared" si="1"/>
        <v>46426</v>
      </c>
    </row>
    <row r="112" spans="2:2">
      <c r="B112" s="16">
        <f t="shared" si="1"/>
        <v>46433</v>
      </c>
    </row>
    <row r="113" spans="2:2">
      <c r="B113" s="16">
        <f t="shared" si="1"/>
        <v>46440</v>
      </c>
    </row>
    <row r="114" spans="2:2">
      <c r="B114" s="16">
        <f t="shared" si="1"/>
        <v>46447</v>
      </c>
    </row>
    <row r="115" spans="2:2">
      <c r="B115" s="16">
        <f t="shared" si="1"/>
        <v>46454</v>
      </c>
    </row>
    <row r="116" spans="2:2">
      <c r="B116" s="16">
        <f t="shared" si="1"/>
        <v>46461</v>
      </c>
    </row>
    <row r="117" spans="2:2">
      <c r="B117" s="16">
        <f t="shared" si="1"/>
        <v>46468</v>
      </c>
    </row>
    <row r="118" spans="2:2">
      <c r="B118" s="16">
        <f t="shared" si="1"/>
        <v>46475</v>
      </c>
    </row>
    <row r="119" spans="2:2">
      <c r="B119" s="16">
        <f t="shared" si="1"/>
        <v>46482</v>
      </c>
    </row>
    <row r="120" spans="2:2">
      <c r="B120" s="16">
        <f t="shared" si="1"/>
        <v>46489</v>
      </c>
    </row>
    <row r="121" spans="2:2">
      <c r="B121" s="16">
        <f t="shared" si="1"/>
        <v>46496</v>
      </c>
    </row>
    <row r="122" spans="2:2">
      <c r="B122" s="16">
        <f t="shared" si="1"/>
        <v>46503</v>
      </c>
    </row>
    <row r="123" spans="2:2">
      <c r="B123" s="16">
        <f t="shared" si="1"/>
        <v>46510</v>
      </c>
    </row>
    <row r="124" spans="2:2">
      <c r="B124" s="16">
        <f t="shared" si="1"/>
        <v>46517</v>
      </c>
    </row>
    <row r="125" spans="2:2">
      <c r="B125" s="16">
        <f t="shared" si="1"/>
        <v>46524</v>
      </c>
    </row>
    <row r="126" spans="2:2">
      <c r="B126" s="16">
        <f t="shared" si="1"/>
        <v>46531</v>
      </c>
    </row>
    <row r="127" spans="2:2">
      <c r="B127" s="16">
        <f t="shared" si="1"/>
        <v>46538</v>
      </c>
    </row>
    <row r="128" spans="2:2">
      <c r="B128" s="16">
        <f t="shared" si="1"/>
        <v>46545</v>
      </c>
    </row>
    <row r="129" spans="2:2">
      <c r="B129" s="16">
        <f t="shared" si="1"/>
        <v>46552</v>
      </c>
    </row>
    <row r="130" spans="2:2">
      <c r="B130" s="16">
        <f t="shared" si="1"/>
        <v>46559</v>
      </c>
    </row>
    <row r="131" spans="2:2">
      <c r="B131" s="16">
        <f t="shared" si="1"/>
        <v>46566</v>
      </c>
    </row>
    <row r="132" spans="2:2">
      <c r="B132" s="16">
        <f t="shared" ref="B132:B195" si="2">B131+7-WEEKDAY(B131,2)+1</f>
        <v>46573</v>
      </c>
    </row>
    <row r="133" spans="2:2">
      <c r="B133" s="16">
        <f t="shared" si="2"/>
        <v>46580</v>
      </c>
    </row>
    <row r="134" spans="2:2">
      <c r="B134" s="16">
        <f t="shared" si="2"/>
        <v>46587</v>
      </c>
    </row>
    <row r="135" spans="2:2">
      <c r="B135" s="16">
        <f t="shared" si="2"/>
        <v>46594</v>
      </c>
    </row>
    <row r="136" spans="2:2">
      <c r="B136" s="16">
        <f t="shared" si="2"/>
        <v>46601</v>
      </c>
    </row>
    <row r="137" spans="2:2">
      <c r="B137" s="16">
        <f t="shared" si="2"/>
        <v>46608</v>
      </c>
    </row>
    <row r="138" spans="2:2">
      <c r="B138" s="16">
        <f t="shared" si="2"/>
        <v>46615</v>
      </c>
    </row>
    <row r="139" spans="2:2">
      <c r="B139" s="16">
        <f t="shared" si="2"/>
        <v>46622</v>
      </c>
    </row>
    <row r="140" spans="2:2">
      <c r="B140" s="16">
        <f t="shared" si="2"/>
        <v>46629</v>
      </c>
    </row>
    <row r="141" spans="2:2">
      <c r="B141" s="16">
        <f t="shared" si="2"/>
        <v>46636</v>
      </c>
    </row>
    <row r="142" spans="2:2">
      <c r="B142" s="16">
        <f t="shared" si="2"/>
        <v>46643</v>
      </c>
    </row>
    <row r="143" spans="2:2">
      <c r="B143" s="16">
        <f t="shared" si="2"/>
        <v>46650</v>
      </c>
    </row>
    <row r="144" spans="2:2">
      <c r="B144" s="16">
        <f t="shared" si="2"/>
        <v>46657</v>
      </c>
    </row>
    <row r="145" spans="2:2">
      <c r="B145" s="16">
        <f t="shared" si="2"/>
        <v>46664</v>
      </c>
    </row>
    <row r="146" spans="2:2">
      <c r="B146" s="16">
        <f t="shared" si="2"/>
        <v>46671</v>
      </c>
    </row>
    <row r="147" spans="2:2">
      <c r="B147" s="16">
        <f t="shared" si="2"/>
        <v>46678</v>
      </c>
    </row>
    <row r="148" spans="2:2">
      <c r="B148" s="16">
        <f t="shared" si="2"/>
        <v>46685</v>
      </c>
    </row>
    <row r="149" spans="2:2">
      <c r="B149" s="16">
        <f t="shared" si="2"/>
        <v>46692</v>
      </c>
    </row>
    <row r="150" spans="2:2">
      <c r="B150" s="16">
        <f t="shared" si="2"/>
        <v>46699</v>
      </c>
    </row>
    <row r="151" spans="2:2">
      <c r="B151" s="16">
        <f t="shared" si="2"/>
        <v>46706</v>
      </c>
    </row>
    <row r="152" spans="2:2">
      <c r="B152" s="16">
        <f t="shared" si="2"/>
        <v>46713</v>
      </c>
    </row>
    <row r="153" spans="2:2">
      <c r="B153" s="16">
        <f t="shared" si="2"/>
        <v>46720</v>
      </c>
    </row>
    <row r="154" spans="2:2">
      <c r="B154" s="16">
        <f t="shared" si="2"/>
        <v>46727</v>
      </c>
    </row>
    <row r="155" spans="2:2">
      <c r="B155" s="16">
        <f t="shared" si="2"/>
        <v>46734</v>
      </c>
    </row>
    <row r="156" spans="2:2">
      <c r="B156" s="16">
        <f t="shared" si="2"/>
        <v>46741</v>
      </c>
    </row>
    <row r="157" spans="2:2">
      <c r="B157" s="16">
        <f t="shared" si="2"/>
        <v>46748</v>
      </c>
    </row>
    <row r="158" spans="2:2">
      <c r="B158" s="16">
        <f t="shared" si="2"/>
        <v>46755</v>
      </c>
    </row>
    <row r="159" spans="2:2">
      <c r="B159" s="16">
        <f t="shared" si="2"/>
        <v>46762</v>
      </c>
    </row>
    <row r="160" spans="2:2">
      <c r="B160" s="16">
        <f t="shared" si="2"/>
        <v>46769</v>
      </c>
    </row>
    <row r="161" spans="2:2">
      <c r="B161" s="16">
        <f t="shared" si="2"/>
        <v>46776</v>
      </c>
    </row>
    <row r="162" spans="2:2">
      <c r="B162" s="16">
        <f t="shared" si="2"/>
        <v>46783</v>
      </c>
    </row>
    <row r="163" spans="2:2">
      <c r="B163" s="16">
        <f t="shared" si="2"/>
        <v>46790</v>
      </c>
    </row>
    <row r="164" spans="2:2">
      <c r="B164" s="16">
        <f t="shared" si="2"/>
        <v>46797</v>
      </c>
    </row>
    <row r="165" spans="2:2">
      <c r="B165" s="16">
        <f t="shared" si="2"/>
        <v>46804</v>
      </c>
    </row>
    <row r="166" spans="2:2">
      <c r="B166" s="16">
        <f t="shared" si="2"/>
        <v>46811</v>
      </c>
    </row>
    <row r="167" spans="2:2">
      <c r="B167" s="16">
        <f t="shared" si="2"/>
        <v>46818</v>
      </c>
    </row>
    <row r="168" spans="2:2">
      <c r="B168" s="16">
        <f t="shared" si="2"/>
        <v>46825</v>
      </c>
    </row>
    <row r="169" spans="2:2">
      <c r="B169" s="16">
        <f t="shared" si="2"/>
        <v>46832</v>
      </c>
    </row>
    <row r="170" spans="2:2">
      <c r="B170" s="16">
        <f t="shared" si="2"/>
        <v>46839</v>
      </c>
    </row>
    <row r="171" spans="2:2">
      <c r="B171" s="16">
        <f t="shared" si="2"/>
        <v>46846</v>
      </c>
    </row>
    <row r="172" spans="2:2">
      <c r="B172" s="16">
        <f t="shared" si="2"/>
        <v>46853</v>
      </c>
    </row>
    <row r="173" spans="2:2">
      <c r="B173" s="16">
        <f t="shared" si="2"/>
        <v>46860</v>
      </c>
    </row>
    <row r="174" spans="2:2">
      <c r="B174" s="16">
        <f t="shared" si="2"/>
        <v>46867</v>
      </c>
    </row>
    <row r="175" spans="2:2">
      <c r="B175" s="16">
        <f t="shared" si="2"/>
        <v>46874</v>
      </c>
    </row>
    <row r="176" spans="2:2">
      <c r="B176" s="16">
        <f t="shared" si="2"/>
        <v>46881</v>
      </c>
    </row>
    <row r="177" spans="2:2">
      <c r="B177" s="16">
        <f t="shared" si="2"/>
        <v>46888</v>
      </c>
    </row>
    <row r="178" spans="2:2">
      <c r="B178" s="16">
        <f t="shared" si="2"/>
        <v>46895</v>
      </c>
    </row>
    <row r="179" spans="2:2">
      <c r="B179" s="16">
        <f t="shared" si="2"/>
        <v>46902</v>
      </c>
    </row>
    <row r="180" spans="2:2">
      <c r="B180" s="16">
        <f t="shared" si="2"/>
        <v>46909</v>
      </c>
    </row>
    <row r="181" spans="2:2">
      <c r="B181" s="16">
        <f t="shared" si="2"/>
        <v>46916</v>
      </c>
    </row>
    <row r="182" spans="2:2">
      <c r="B182" s="16">
        <f t="shared" si="2"/>
        <v>46923</v>
      </c>
    </row>
    <row r="183" spans="2:2">
      <c r="B183" s="16">
        <f t="shared" si="2"/>
        <v>46930</v>
      </c>
    </row>
    <row r="184" spans="2:2">
      <c r="B184" s="16">
        <f t="shared" si="2"/>
        <v>46937</v>
      </c>
    </row>
    <row r="185" spans="2:2">
      <c r="B185" s="16">
        <f t="shared" si="2"/>
        <v>46944</v>
      </c>
    </row>
    <row r="186" spans="2:2">
      <c r="B186" s="16">
        <f t="shared" si="2"/>
        <v>46951</v>
      </c>
    </row>
    <row r="187" spans="2:2">
      <c r="B187" s="16">
        <f t="shared" si="2"/>
        <v>46958</v>
      </c>
    </row>
    <row r="188" spans="2:2">
      <c r="B188" s="16">
        <f t="shared" si="2"/>
        <v>46965</v>
      </c>
    </row>
    <row r="189" spans="2:2">
      <c r="B189" s="16">
        <f t="shared" si="2"/>
        <v>46972</v>
      </c>
    </row>
    <row r="190" spans="2:2">
      <c r="B190" s="16">
        <f t="shared" si="2"/>
        <v>46979</v>
      </c>
    </row>
    <row r="191" spans="2:2">
      <c r="B191" s="16">
        <f t="shared" si="2"/>
        <v>46986</v>
      </c>
    </row>
    <row r="192" spans="2:2">
      <c r="B192" s="16">
        <f t="shared" si="2"/>
        <v>46993</v>
      </c>
    </row>
    <row r="193" spans="2:2">
      <c r="B193" s="16">
        <f t="shared" si="2"/>
        <v>47000</v>
      </c>
    </row>
    <row r="194" spans="2:2">
      <c r="B194" s="16">
        <f t="shared" si="2"/>
        <v>47007</v>
      </c>
    </row>
    <row r="195" spans="2:2">
      <c r="B195" s="16">
        <f t="shared" si="2"/>
        <v>47014</v>
      </c>
    </row>
    <row r="196" spans="2:2">
      <c r="B196" s="16">
        <f t="shared" ref="B196:B259" si="3">B195+7-WEEKDAY(B195,2)+1</f>
        <v>47021</v>
      </c>
    </row>
    <row r="197" spans="2:2">
      <c r="B197" s="16">
        <f t="shared" si="3"/>
        <v>47028</v>
      </c>
    </row>
    <row r="198" spans="2:2">
      <c r="B198" s="16">
        <f t="shared" si="3"/>
        <v>47035</v>
      </c>
    </row>
    <row r="199" spans="2:2">
      <c r="B199" s="16">
        <f t="shared" si="3"/>
        <v>47042</v>
      </c>
    </row>
    <row r="200" spans="2:2">
      <c r="B200" s="16">
        <f t="shared" si="3"/>
        <v>47049</v>
      </c>
    </row>
    <row r="201" spans="2:2">
      <c r="B201" s="16">
        <f t="shared" si="3"/>
        <v>47056</v>
      </c>
    </row>
    <row r="202" spans="2:2">
      <c r="B202" s="16">
        <f t="shared" si="3"/>
        <v>47063</v>
      </c>
    </row>
    <row r="203" spans="2:2">
      <c r="B203" s="16">
        <f t="shared" si="3"/>
        <v>47070</v>
      </c>
    </row>
    <row r="204" spans="2:2">
      <c r="B204" s="16">
        <f t="shared" si="3"/>
        <v>47077</v>
      </c>
    </row>
    <row r="205" spans="2:2">
      <c r="B205" s="16">
        <f t="shared" si="3"/>
        <v>47084</v>
      </c>
    </row>
    <row r="206" spans="2:2">
      <c r="B206" s="16">
        <f t="shared" si="3"/>
        <v>47091</v>
      </c>
    </row>
    <row r="207" spans="2:2">
      <c r="B207" s="16">
        <f t="shared" si="3"/>
        <v>47098</v>
      </c>
    </row>
    <row r="208" spans="2:2">
      <c r="B208" s="16">
        <f t="shared" si="3"/>
        <v>47105</v>
      </c>
    </row>
    <row r="209" spans="2:2">
      <c r="B209" s="16">
        <f t="shared" si="3"/>
        <v>47112</v>
      </c>
    </row>
    <row r="210" spans="2:2">
      <c r="B210" s="16">
        <f t="shared" si="3"/>
        <v>47119</v>
      </c>
    </row>
    <row r="211" spans="2:2">
      <c r="B211" s="16">
        <f t="shared" si="3"/>
        <v>47126</v>
      </c>
    </row>
    <row r="212" spans="2:2">
      <c r="B212" s="16">
        <f t="shared" si="3"/>
        <v>47133</v>
      </c>
    </row>
    <row r="213" spans="2:2">
      <c r="B213" s="16">
        <f t="shared" si="3"/>
        <v>47140</v>
      </c>
    </row>
    <row r="214" spans="2:2">
      <c r="B214" s="16">
        <f t="shared" si="3"/>
        <v>47147</v>
      </c>
    </row>
    <row r="215" spans="2:2">
      <c r="B215" s="16">
        <f t="shared" si="3"/>
        <v>47154</v>
      </c>
    </row>
    <row r="216" spans="2:2">
      <c r="B216" s="16">
        <f t="shared" si="3"/>
        <v>47161</v>
      </c>
    </row>
    <row r="217" spans="2:2">
      <c r="B217" s="16">
        <f t="shared" si="3"/>
        <v>47168</v>
      </c>
    </row>
    <row r="218" spans="2:2">
      <c r="B218" s="16">
        <f t="shared" si="3"/>
        <v>47175</v>
      </c>
    </row>
    <row r="219" spans="2:2">
      <c r="B219" s="16">
        <f t="shared" si="3"/>
        <v>47182</v>
      </c>
    </row>
    <row r="220" spans="2:2">
      <c r="B220" s="16">
        <f t="shared" si="3"/>
        <v>47189</v>
      </c>
    </row>
    <row r="221" spans="2:2">
      <c r="B221" s="16">
        <f t="shared" si="3"/>
        <v>47196</v>
      </c>
    </row>
    <row r="222" spans="2:2">
      <c r="B222" s="16">
        <f t="shared" si="3"/>
        <v>47203</v>
      </c>
    </row>
    <row r="223" spans="2:2">
      <c r="B223" s="16">
        <f t="shared" si="3"/>
        <v>47210</v>
      </c>
    </row>
    <row r="224" spans="2:2">
      <c r="B224" s="16">
        <f t="shared" si="3"/>
        <v>47217</v>
      </c>
    </row>
    <row r="225" spans="2:2">
      <c r="B225" s="16">
        <f t="shared" si="3"/>
        <v>47224</v>
      </c>
    </row>
    <row r="226" spans="2:2">
      <c r="B226" s="16">
        <f t="shared" si="3"/>
        <v>47231</v>
      </c>
    </row>
    <row r="227" spans="2:2">
      <c r="B227" s="16">
        <f t="shared" si="3"/>
        <v>47238</v>
      </c>
    </row>
    <row r="228" spans="2:2">
      <c r="B228" s="16">
        <f t="shared" si="3"/>
        <v>47245</v>
      </c>
    </row>
    <row r="229" spans="2:2">
      <c r="B229" s="16">
        <f t="shared" si="3"/>
        <v>47252</v>
      </c>
    </row>
    <row r="230" spans="2:2">
      <c r="B230" s="16">
        <f t="shared" si="3"/>
        <v>47259</v>
      </c>
    </row>
    <row r="231" spans="2:2">
      <c r="B231" s="16">
        <f t="shared" si="3"/>
        <v>47266</v>
      </c>
    </row>
    <row r="232" spans="2:2">
      <c r="B232" s="16">
        <f t="shared" si="3"/>
        <v>47273</v>
      </c>
    </row>
    <row r="233" spans="2:2">
      <c r="B233" s="16">
        <f t="shared" si="3"/>
        <v>47280</v>
      </c>
    </row>
    <row r="234" spans="2:2">
      <c r="B234" s="16">
        <f t="shared" si="3"/>
        <v>47287</v>
      </c>
    </row>
    <row r="235" spans="2:2">
      <c r="B235" s="16">
        <f t="shared" si="3"/>
        <v>47294</v>
      </c>
    </row>
    <row r="236" spans="2:2">
      <c r="B236" s="16">
        <f t="shared" si="3"/>
        <v>47301</v>
      </c>
    </row>
    <row r="237" spans="2:2">
      <c r="B237" s="16">
        <f t="shared" si="3"/>
        <v>47308</v>
      </c>
    </row>
    <row r="238" spans="2:2">
      <c r="B238" s="16">
        <f t="shared" si="3"/>
        <v>47315</v>
      </c>
    </row>
    <row r="239" spans="2:2">
      <c r="B239" s="16">
        <f t="shared" si="3"/>
        <v>47322</v>
      </c>
    </row>
    <row r="240" spans="2:2">
      <c r="B240" s="16">
        <f t="shared" si="3"/>
        <v>47329</v>
      </c>
    </row>
    <row r="241" spans="2:2">
      <c r="B241" s="16">
        <f t="shared" si="3"/>
        <v>47336</v>
      </c>
    </row>
    <row r="242" spans="2:2">
      <c r="B242" s="16">
        <f t="shared" si="3"/>
        <v>47343</v>
      </c>
    </row>
    <row r="243" spans="2:2">
      <c r="B243" s="16">
        <f t="shared" si="3"/>
        <v>47350</v>
      </c>
    </row>
    <row r="244" spans="2:2">
      <c r="B244" s="16">
        <f t="shared" si="3"/>
        <v>47357</v>
      </c>
    </row>
    <row r="245" spans="2:2">
      <c r="B245" s="16">
        <f t="shared" si="3"/>
        <v>47364</v>
      </c>
    </row>
    <row r="246" spans="2:2">
      <c r="B246" s="16">
        <f t="shared" si="3"/>
        <v>47371</v>
      </c>
    </row>
    <row r="247" spans="2:2">
      <c r="B247" s="16">
        <f t="shared" si="3"/>
        <v>47378</v>
      </c>
    </row>
    <row r="248" spans="2:2">
      <c r="B248" s="16">
        <f t="shared" si="3"/>
        <v>47385</v>
      </c>
    </row>
    <row r="249" spans="2:2">
      <c r="B249" s="16">
        <f t="shared" si="3"/>
        <v>47392</v>
      </c>
    </row>
    <row r="250" spans="2:2">
      <c r="B250" s="16">
        <f t="shared" si="3"/>
        <v>47399</v>
      </c>
    </row>
    <row r="251" spans="2:2">
      <c r="B251" s="16">
        <f t="shared" si="3"/>
        <v>47406</v>
      </c>
    </row>
    <row r="252" spans="2:2">
      <c r="B252" s="16">
        <f t="shared" si="3"/>
        <v>47413</v>
      </c>
    </row>
    <row r="253" spans="2:2">
      <c r="B253" s="16">
        <f t="shared" si="3"/>
        <v>47420</v>
      </c>
    </row>
    <row r="254" spans="2:2">
      <c r="B254" s="16">
        <f t="shared" si="3"/>
        <v>47427</v>
      </c>
    </row>
    <row r="255" spans="2:2">
      <c r="B255" s="16">
        <f t="shared" si="3"/>
        <v>47434</v>
      </c>
    </row>
    <row r="256" spans="2:2">
      <c r="B256" s="16">
        <f t="shared" si="3"/>
        <v>47441</v>
      </c>
    </row>
    <row r="257" spans="2:2">
      <c r="B257" s="16">
        <f t="shared" si="3"/>
        <v>47448</v>
      </c>
    </row>
    <row r="258" spans="2:2">
      <c r="B258" s="16">
        <f t="shared" si="3"/>
        <v>47455</v>
      </c>
    </row>
    <row r="259" spans="2:2">
      <c r="B259" s="16">
        <f t="shared" si="3"/>
        <v>47462</v>
      </c>
    </row>
    <row r="260" spans="2:2">
      <c r="B260" s="16">
        <f t="shared" ref="B260:B323" si="4">B259+7-WEEKDAY(B259,2)+1</f>
        <v>47469</v>
      </c>
    </row>
    <row r="261" spans="2:2">
      <c r="B261" s="16">
        <f t="shared" si="4"/>
        <v>47476</v>
      </c>
    </row>
    <row r="262" spans="2:2">
      <c r="B262" s="16">
        <f t="shared" si="4"/>
        <v>47483</v>
      </c>
    </row>
    <row r="263" spans="2:2">
      <c r="B263" s="16">
        <f t="shared" si="4"/>
        <v>47490</v>
      </c>
    </row>
    <row r="264" spans="2:2">
      <c r="B264" s="16">
        <f t="shared" si="4"/>
        <v>47497</v>
      </c>
    </row>
    <row r="265" spans="2:2">
      <c r="B265" s="16">
        <f t="shared" si="4"/>
        <v>47504</v>
      </c>
    </row>
    <row r="266" spans="2:2">
      <c r="B266" s="16">
        <f t="shared" si="4"/>
        <v>47511</v>
      </c>
    </row>
    <row r="267" spans="2:2">
      <c r="B267" s="16">
        <f t="shared" si="4"/>
        <v>47518</v>
      </c>
    </row>
    <row r="268" spans="2:2">
      <c r="B268" s="16">
        <f t="shared" si="4"/>
        <v>47525</v>
      </c>
    </row>
    <row r="269" spans="2:2">
      <c r="B269" s="16">
        <f t="shared" si="4"/>
        <v>47532</v>
      </c>
    </row>
    <row r="270" spans="2:2">
      <c r="B270" s="16">
        <f t="shared" si="4"/>
        <v>47539</v>
      </c>
    </row>
    <row r="271" spans="2:2">
      <c r="B271" s="16">
        <f t="shared" si="4"/>
        <v>47546</v>
      </c>
    </row>
    <row r="272" spans="2:2">
      <c r="B272" s="16">
        <f t="shared" si="4"/>
        <v>47553</v>
      </c>
    </row>
    <row r="273" spans="2:2">
      <c r="B273" s="16">
        <f t="shared" si="4"/>
        <v>47560</v>
      </c>
    </row>
    <row r="274" spans="2:2">
      <c r="B274" s="16">
        <f t="shared" si="4"/>
        <v>47567</v>
      </c>
    </row>
    <row r="275" spans="2:2">
      <c r="B275" s="16">
        <f t="shared" si="4"/>
        <v>47574</v>
      </c>
    </row>
    <row r="276" spans="2:2">
      <c r="B276" s="16">
        <f t="shared" si="4"/>
        <v>47581</v>
      </c>
    </row>
    <row r="277" spans="2:2">
      <c r="B277" s="16">
        <f t="shared" si="4"/>
        <v>47588</v>
      </c>
    </row>
    <row r="278" spans="2:2">
      <c r="B278" s="16">
        <f t="shared" si="4"/>
        <v>47595</v>
      </c>
    </row>
    <row r="279" spans="2:2">
      <c r="B279" s="16">
        <f t="shared" si="4"/>
        <v>47602</v>
      </c>
    </row>
    <row r="280" spans="2:2">
      <c r="B280" s="16">
        <f t="shared" si="4"/>
        <v>47609</v>
      </c>
    </row>
    <row r="281" spans="2:2">
      <c r="B281" s="16">
        <f t="shared" si="4"/>
        <v>47616</v>
      </c>
    </row>
    <row r="282" spans="2:2">
      <c r="B282" s="16">
        <f t="shared" si="4"/>
        <v>47623</v>
      </c>
    </row>
    <row r="283" spans="2:2">
      <c r="B283" s="16">
        <f t="shared" si="4"/>
        <v>47630</v>
      </c>
    </row>
    <row r="284" spans="2:2">
      <c r="B284" s="16">
        <f t="shared" si="4"/>
        <v>47637</v>
      </c>
    </row>
    <row r="285" spans="2:2">
      <c r="B285" s="16">
        <f t="shared" si="4"/>
        <v>47644</v>
      </c>
    </row>
    <row r="286" spans="2:2">
      <c r="B286" s="16">
        <f t="shared" si="4"/>
        <v>47651</v>
      </c>
    </row>
    <row r="287" spans="2:2">
      <c r="B287" s="16">
        <f t="shared" si="4"/>
        <v>47658</v>
      </c>
    </row>
    <row r="288" spans="2:2">
      <c r="B288" s="16">
        <f t="shared" si="4"/>
        <v>47665</v>
      </c>
    </row>
    <row r="289" spans="2:2">
      <c r="B289" s="16">
        <f t="shared" si="4"/>
        <v>47672</v>
      </c>
    </row>
    <row r="290" spans="2:2">
      <c r="B290" s="16">
        <f t="shared" si="4"/>
        <v>47679</v>
      </c>
    </row>
    <row r="291" spans="2:2">
      <c r="B291" s="16">
        <f t="shared" si="4"/>
        <v>47686</v>
      </c>
    </row>
    <row r="292" spans="2:2">
      <c r="B292" s="16">
        <f t="shared" si="4"/>
        <v>47693</v>
      </c>
    </row>
    <row r="293" spans="2:2">
      <c r="B293" s="16">
        <f t="shared" si="4"/>
        <v>47700</v>
      </c>
    </row>
    <row r="294" spans="2:2">
      <c r="B294" s="16">
        <f t="shared" si="4"/>
        <v>47707</v>
      </c>
    </row>
    <row r="295" spans="2:2">
      <c r="B295" s="16">
        <f t="shared" si="4"/>
        <v>47714</v>
      </c>
    </row>
    <row r="296" spans="2:2">
      <c r="B296" s="16">
        <f t="shared" si="4"/>
        <v>47721</v>
      </c>
    </row>
    <row r="297" spans="2:2">
      <c r="B297" s="16">
        <f t="shared" si="4"/>
        <v>47728</v>
      </c>
    </row>
    <row r="298" spans="2:2">
      <c r="B298" s="16">
        <f t="shared" si="4"/>
        <v>47735</v>
      </c>
    </row>
    <row r="299" spans="2:2">
      <c r="B299" s="16">
        <f t="shared" si="4"/>
        <v>47742</v>
      </c>
    </row>
    <row r="300" spans="2:2">
      <c r="B300" s="16">
        <f t="shared" si="4"/>
        <v>47749</v>
      </c>
    </row>
    <row r="301" spans="2:2">
      <c r="B301" s="16">
        <f t="shared" si="4"/>
        <v>47756</v>
      </c>
    </row>
    <row r="302" spans="2:2">
      <c r="B302" s="16">
        <f t="shared" si="4"/>
        <v>47763</v>
      </c>
    </row>
    <row r="303" spans="2:2">
      <c r="B303" s="16">
        <f t="shared" si="4"/>
        <v>47770</v>
      </c>
    </row>
    <row r="304" spans="2:2">
      <c r="B304" s="16">
        <f t="shared" si="4"/>
        <v>47777</v>
      </c>
    </row>
    <row r="305" spans="2:2">
      <c r="B305" s="16">
        <f t="shared" si="4"/>
        <v>47784</v>
      </c>
    </row>
    <row r="306" spans="2:2">
      <c r="B306" s="16">
        <f t="shared" si="4"/>
        <v>47791</v>
      </c>
    </row>
    <row r="307" spans="2:2">
      <c r="B307" s="16">
        <f t="shared" si="4"/>
        <v>47798</v>
      </c>
    </row>
    <row r="308" spans="2:2">
      <c r="B308" s="16">
        <f t="shared" si="4"/>
        <v>47805</v>
      </c>
    </row>
    <row r="309" spans="2:2">
      <c r="B309" s="16">
        <f t="shared" si="4"/>
        <v>47812</v>
      </c>
    </row>
    <row r="310" spans="2:2">
      <c r="B310" s="16">
        <f t="shared" si="4"/>
        <v>47819</v>
      </c>
    </row>
    <row r="311" spans="2:2">
      <c r="B311" s="16">
        <f t="shared" si="4"/>
        <v>47826</v>
      </c>
    </row>
    <row r="312" spans="2:2">
      <c r="B312" s="16">
        <f t="shared" si="4"/>
        <v>47833</v>
      </c>
    </row>
    <row r="313" spans="2:2">
      <c r="B313" s="16">
        <f t="shared" si="4"/>
        <v>47840</v>
      </c>
    </row>
    <row r="314" spans="2:2">
      <c r="B314" s="16">
        <f t="shared" si="4"/>
        <v>47847</v>
      </c>
    </row>
    <row r="315" spans="2:2">
      <c r="B315" s="16">
        <f t="shared" si="4"/>
        <v>47854</v>
      </c>
    </row>
    <row r="316" spans="2:2">
      <c r="B316" s="16">
        <f t="shared" si="4"/>
        <v>47861</v>
      </c>
    </row>
    <row r="317" spans="2:2">
      <c r="B317" s="16">
        <f t="shared" si="4"/>
        <v>47868</v>
      </c>
    </row>
    <row r="318" spans="2:2">
      <c r="B318" s="16">
        <f t="shared" si="4"/>
        <v>47875</v>
      </c>
    </row>
    <row r="319" spans="2:2">
      <c r="B319" s="16">
        <f t="shared" si="4"/>
        <v>47882</v>
      </c>
    </row>
    <row r="320" spans="2:2">
      <c r="B320" s="16">
        <f t="shared" si="4"/>
        <v>47889</v>
      </c>
    </row>
    <row r="321" spans="2:2">
      <c r="B321" s="16">
        <f t="shared" si="4"/>
        <v>47896</v>
      </c>
    </row>
    <row r="322" spans="2:2">
      <c r="B322" s="16">
        <f t="shared" si="4"/>
        <v>47903</v>
      </c>
    </row>
    <row r="323" spans="2:2">
      <c r="B323" s="16">
        <f t="shared" si="4"/>
        <v>47910</v>
      </c>
    </row>
    <row r="324" spans="2:2">
      <c r="B324" s="16">
        <f t="shared" ref="B324:B387" si="5">B323+7-WEEKDAY(B323,2)+1</f>
        <v>47917</v>
      </c>
    </row>
    <row r="325" spans="2:2">
      <c r="B325" s="16">
        <f t="shared" si="5"/>
        <v>47924</v>
      </c>
    </row>
    <row r="326" spans="2:2">
      <c r="B326" s="16">
        <f t="shared" si="5"/>
        <v>47931</v>
      </c>
    </row>
    <row r="327" spans="2:2">
      <c r="B327" s="16">
        <f t="shared" si="5"/>
        <v>47938</v>
      </c>
    </row>
    <row r="328" spans="2:2">
      <c r="B328" s="16">
        <f t="shared" si="5"/>
        <v>47945</v>
      </c>
    </row>
    <row r="329" spans="2:2">
      <c r="B329" s="16">
        <f t="shared" si="5"/>
        <v>47952</v>
      </c>
    </row>
    <row r="330" spans="2:2">
      <c r="B330" s="16">
        <f t="shared" si="5"/>
        <v>47959</v>
      </c>
    </row>
    <row r="331" spans="2:2">
      <c r="B331" s="16">
        <f t="shared" si="5"/>
        <v>47966</v>
      </c>
    </row>
    <row r="332" spans="2:2">
      <c r="B332" s="16">
        <f t="shared" si="5"/>
        <v>47973</v>
      </c>
    </row>
    <row r="333" spans="2:2">
      <c r="B333" s="16">
        <f t="shared" si="5"/>
        <v>47980</v>
      </c>
    </row>
    <row r="334" spans="2:2">
      <c r="B334" s="16">
        <f t="shared" si="5"/>
        <v>47987</v>
      </c>
    </row>
    <row r="335" spans="2:2">
      <c r="B335" s="16">
        <f t="shared" si="5"/>
        <v>47994</v>
      </c>
    </row>
    <row r="336" spans="2:2">
      <c r="B336" s="16">
        <f t="shared" si="5"/>
        <v>48001</v>
      </c>
    </row>
    <row r="337" spans="2:2">
      <c r="B337" s="16">
        <f t="shared" si="5"/>
        <v>48008</v>
      </c>
    </row>
    <row r="338" spans="2:2">
      <c r="B338" s="16">
        <f t="shared" si="5"/>
        <v>48015</v>
      </c>
    </row>
    <row r="339" spans="2:2">
      <c r="B339" s="16">
        <f t="shared" si="5"/>
        <v>48022</v>
      </c>
    </row>
    <row r="340" spans="2:2">
      <c r="B340" s="16">
        <f t="shared" si="5"/>
        <v>48029</v>
      </c>
    </row>
    <row r="341" spans="2:2">
      <c r="B341" s="16">
        <f t="shared" si="5"/>
        <v>48036</v>
      </c>
    </row>
    <row r="342" spans="2:2">
      <c r="B342" s="16">
        <f t="shared" si="5"/>
        <v>48043</v>
      </c>
    </row>
    <row r="343" spans="2:2">
      <c r="B343" s="16">
        <f t="shared" si="5"/>
        <v>48050</v>
      </c>
    </row>
    <row r="344" spans="2:2">
      <c r="B344" s="16">
        <f t="shared" si="5"/>
        <v>48057</v>
      </c>
    </row>
    <row r="345" spans="2:2">
      <c r="B345" s="16">
        <f t="shared" si="5"/>
        <v>48064</v>
      </c>
    </row>
    <row r="346" spans="2:2">
      <c r="B346" s="16">
        <f t="shared" si="5"/>
        <v>48071</v>
      </c>
    </row>
    <row r="347" spans="2:2">
      <c r="B347" s="16">
        <f t="shared" si="5"/>
        <v>48078</v>
      </c>
    </row>
    <row r="348" spans="2:2">
      <c r="B348" s="16">
        <f t="shared" si="5"/>
        <v>48085</v>
      </c>
    </row>
    <row r="349" spans="2:2">
      <c r="B349" s="16">
        <f t="shared" si="5"/>
        <v>48092</v>
      </c>
    </row>
    <row r="350" spans="2:2">
      <c r="B350" s="16">
        <f t="shared" si="5"/>
        <v>48099</v>
      </c>
    </row>
    <row r="351" spans="2:2">
      <c r="B351" s="16">
        <f t="shared" si="5"/>
        <v>48106</v>
      </c>
    </row>
    <row r="352" spans="2:2">
      <c r="B352" s="16">
        <f t="shared" si="5"/>
        <v>48113</v>
      </c>
    </row>
    <row r="353" spans="2:2">
      <c r="B353" s="16">
        <f t="shared" si="5"/>
        <v>48120</v>
      </c>
    </row>
    <row r="354" spans="2:2">
      <c r="B354" s="16">
        <f t="shared" si="5"/>
        <v>48127</v>
      </c>
    </row>
    <row r="355" spans="2:2">
      <c r="B355" s="16">
        <f t="shared" si="5"/>
        <v>48134</v>
      </c>
    </row>
    <row r="356" spans="2:2">
      <c r="B356" s="16">
        <f t="shared" si="5"/>
        <v>48141</v>
      </c>
    </row>
    <row r="357" spans="2:2">
      <c r="B357" s="16">
        <f t="shared" si="5"/>
        <v>48148</v>
      </c>
    </row>
    <row r="358" spans="2:2">
      <c r="B358" s="16">
        <f t="shared" si="5"/>
        <v>48155</v>
      </c>
    </row>
    <row r="359" spans="2:2">
      <c r="B359" s="16">
        <f t="shared" si="5"/>
        <v>48162</v>
      </c>
    </row>
    <row r="360" spans="2:2">
      <c r="B360" s="16">
        <f t="shared" si="5"/>
        <v>48169</v>
      </c>
    </row>
    <row r="361" spans="2:2">
      <c r="B361" s="16">
        <f t="shared" si="5"/>
        <v>48176</v>
      </c>
    </row>
    <row r="362" spans="2:2">
      <c r="B362" s="16">
        <f t="shared" si="5"/>
        <v>48183</v>
      </c>
    </row>
    <row r="363" spans="2:2">
      <c r="B363" s="16">
        <f t="shared" si="5"/>
        <v>48190</v>
      </c>
    </row>
    <row r="364" spans="2:2">
      <c r="B364" s="16">
        <f t="shared" si="5"/>
        <v>48197</v>
      </c>
    </row>
    <row r="365" spans="2:2">
      <c r="B365" s="16">
        <f t="shared" si="5"/>
        <v>48204</v>
      </c>
    </row>
    <row r="366" spans="2:2">
      <c r="B366" s="16">
        <f t="shared" si="5"/>
        <v>48211</v>
      </c>
    </row>
    <row r="367" spans="2:2">
      <c r="B367" s="16">
        <f t="shared" si="5"/>
        <v>48218</v>
      </c>
    </row>
    <row r="368" spans="2:2">
      <c r="B368" s="16">
        <f t="shared" si="5"/>
        <v>48225</v>
      </c>
    </row>
    <row r="369" spans="2:2">
      <c r="B369" s="16">
        <f t="shared" si="5"/>
        <v>48232</v>
      </c>
    </row>
    <row r="370" spans="2:2">
      <c r="B370" s="16">
        <f t="shared" si="5"/>
        <v>48239</v>
      </c>
    </row>
    <row r="371" spans="2:2">
      <c r="B371" s="16">
        <f t="shared" si="5"/>
        <v>48246</v>
      </c>
    </row>
    <row r="372" spans="2:2">
      <c r="B372" s="16">
        <f t="shared" si="5"/>
        <v>48253</v>
      </c>
    </row>
    <row r="373" spans="2:2">
      <c r="B373" s="16">
        <f t="shared" si="5"/>
        <v>48260</v>
      </c>
    </row>
    <row r="374" spans="2:2">
      <c r="B374" s="16">
        <f t="shared" si="5"/>
        <v>48267</v>
      </c>
    </row>
    <row r="375" spans="2:2">
      <c r="B375" s="16">
        <f t="shared" si="5"/>
        <v>48274</v>
      </c>
    </row>
    <row r="376" spans="2:2">
      <c r="B376" s="16">
        <f t="shared" si="5"/>
        <v>48281</v>
      </c>
    </row>
    <row r="377" spans="2:2">
      <c r="B377" s="16">
        <f t="shared" si="5"/>
        <v>48288</v>
      </c>
    </row>
    <row r="378" spans="2:2">
      <c r="B378" s="16">
        <f t="shared" si="5"/>
        <v>48295</v>
      </c>
    </row>
    <row r="379" spans="2:2">
      <c r="B379" s="16">
        <f t="shared" si="5"/>
        <v>48302</v>
      </c>
    </row>
    <row r="380" spans="2:2">
      <c r="B380" s="16">
        <f t="shared" si="5"/>
        <v>48309</v>
      </c>
    </row>
    <row r="381" spans="2:2">
      <c r="B381" s="16">
        <f t="shared" si="5"/>
        <v>48316</v>
      </c>
    </row>
    <row r="382" spans="2:2">
      <c r="B382" s="16">
        <f t="shared" si="5"/>
        <v>48323</v>
      </c>
    </row>
    <row r="383" spans="2:2">
      <c r="B383" s="16">
        <f t="shared" si="5"/>
        <v>48330</v>
      </c>
    </row>
    <row r="384" spans="2:2">
      <c r="B384" s="16">
        <f t="shared" si="5"/>
        <v>48337</v>
      </c>
    </row>
    <row r="385" spans="2:2">
      <c r="B385" s="16">
        <f t="shared" si="5"/>
        <v>48344</v>
      </c>
    </row>
    <row r="386" spans="2:2">
      <c r="B386" s="16">
        <f t="shared" si="5"/>
        <v>48351</v>
      </c>
    </row>
    <row r="387" spans="2:2">
      <c r="B387" s="16">
        <f t="shared" si="5"/>
        <v>48358</v>
      </c>
    </row>
    <row r="388" spans="2:2">
      <c r="B388" s="16">
        <f t="shared" ref="B388:B451" si="6">B387+7-WEEKDAY(B387,2)+1</f>
        <v>48365</v>
      </c>
    </row>
    <row r="389" spans="2:2">
      <c r="B389" s="16">
        <f t="shared" si="6"/>
        <v>48372</v>
      </c>
    </row>
    <row r="390" spans="2:2">
      <c r="B390" s="16">
        <f t="shared" si="6"/>
        <v>48379</v>
      </c>
    </row>
    <row r="391" spans="2:2">
      <c r="B391" s="16">
        <f t="shared" si="6"/>
        <v>48386</v>
      </c>
    </row>
    <row r="392" spans="2:2">
      <c r="B392" s="16">
        <f t="shared" si="6"/>
        <v>48393</v>
      </c>
    </row>
    <row r="393" spans="2:2">
      <c r="B393" s="16">
        <f t="shared" si="6"/>
        <v>48400</v>
      </c>
    </row>
    <row r="394" spans="2:2">
      <c r="B394" s="16">
        <f t="shared" si="6"/>
        <v>48407</v>
      </c>
    </row>
    <row r="395" spans="2:2">
      <c r="B395" s="16">
        <f t="shared" si="6"/>
        <v>48414</v>
      </c>
    </row>
    <row r="396" spans="2:2">
      <c r="B396" s="16">
        <f t="shared" si="6"/>
        <v>48421</v>
      </c>
    </row>
    <row r="397" spans="2:2">
      <c r="B397" s="16">
        <f t="shared" si="6"/>
        <v>48428</v>
      </c>
    </row>
    <row r="398" spans="2:2">
      <c r="B398" s="16">
        <f t="shared" si="6"/>
        <v>48435</v>
      </c>
    </row>
    <row r="399" spans="2:2">
      <c r="B399" s="16">
        <f t="shared" si="6"/>
        <v>48442</v>
      </c>
    </row>
    <row r="400" spans="2:2">
      <c r="B400" s="16">
        <f t="shared" si="6"/>
        <v>48449</v>
      </c>
    </row>
    <row r="401" spans="2:2">
      <c r="B401" s="16">
        <f t="shared" si="6"/>
        <v>48456</v>
      </c>
    </row>
    <row r="402" spans="2:2">
      <c r="B402" s="16">
        <f t="shared" si="6"/>
        <v>48463</v>
      </c>
    </row>
    <row r="403" spans="2:2">
      <c r="B403" s="16">
        <f t="shared" si="6"/>
        <v>48470</v>
      </c>
    </row>
    <row r="404" spans="2:2">
      <c r="B404" s="16">
        <f t="shared" si="6"/>
        <v>48477</v>
      </c>
    </row>
    <row r="405" spans="2:2">
      <c r="B405" s="16">
        <f t="shared" si="6"/>
        <v>48484</v>
      </c>
    </row>
    <row r="406" spans="2:2">
      <c r="B406" s="16">
        <f t="shared" si="6"/>
        <v>48491</v>
      </c>
    </row>
    <row r="407" spans="2:2">
      <c r="B407" s="16">
        <f t="shared" si="6"/>
        <v>48498</v>
      </c>
    </row>
    <row r="408" spans="2:2">
      <c r="B408" s="16">
        <f t="shared" si="6"/>
        <v>48505</v>
      </c>
    </row>
    <row r="409" spans="2:2">
      <c r="B409" s="16">
        <f t="shared" si="6"/>
        <v>48512</v>
      </c>
    </row>
    <row r="410" spans="2:2">
      <c r="B410" s="16">
        <f t="shared" si="6"/>
        <v>48519</v>
      </c>
    </row>
    <row r="411" spans="2:2">
      <c r="B411" s="16">
        <f t="shared" si="6"/>
        <v>48526</v>
      </c>
    </row>
    <row r="412" spans="2:2">
      <c r="B412" s="16">
        <f t="shared" si="6"/>
        <v>48533</v>
      </c>
    </row>
    <row r="413" spans="2:2">
      <c r="B413" s="16">
        <f t="shared" si="6"/>
        <v>48540</v>
      </c>
    </row>
    <row r="414" spans="2:2">
      <c r="B414" s="16">
        <f t="shared" si="6"/>
        <v>48547</v>
      </c>
    </row>
    <row r="415" spans="2:2">
      <c r="B415" s="16">
        <f t="shared" si="6"/>
        <v>48554</v>
      </c>
    </row>
    <row r="416" spans="2:2">
      <c r="B416" s="16">
        <f t="shared" si="6"/>
        <v>48561</v>
      </c>
    </row>
    <row r="417" spans="2:2">
      <c r="B417" s="16">
        <f t="shared" si="6"/>
        <v>48568</v>
      </c>
    </row>
    <row r="418" spans="2:2">
      <c r="B418" s="16">
        <f t="shared" si="6"/>
        <v>48575</v>
      </c>
    </row>
    <row r="419" spans="2:2">
      <c r="B419" s="16">
        <f t="shared" si="6"/>
        <v>48582</v>
      </c>
    </row>
    <row r="420" spans="2:2">
      <c r="B420" s="16">
        <f t="shared" si="6"/>
        <v>48589</v>
      </c>
    </row>
    <row r="421" spans="2:2">
      <c r="B421" s="16">
        <f t="shared" si="6"/>
        <v>48596</v>
      </c>
    </row>
    <row r="422" spans="2:2">
      <c r="B422" s="16">
        <f t="shared" si="6"/>
        <v>48603</v>
      </c>
    </row>
    <row r="423" spans="2:2">
      <c r="B423" s="16">
        <f t="shared" si="6"/>
        <v>48610</v>
      </c>
    </row>
    <row r="424" spans="2:2">
      <c r="B424" s="16">
        <f t="shared" si="6"/>
        <v>48617</v>
      </c>
    </row>
    <row r="425" spans="2:2">
      <c r="B425" s="16">
        <f t="shared" si="6"/>
        <v>48624</v>
      </c>
    </row>
    <row r="426" spans="2:2">
      <c r="B426" s="16">
        <f t="shared" si="6"/>
        <v>48631</v>
      </c>
    </row>
    <row r="427" spans="2:2">
      <c r="B427" s="16">
        <f t="shared" si="6"/>
        <v>48638</v>
      </c>
    </row>
    <row r="428" spans="2:2">
      <c r="B428" s="16">
        <f t="shared" si="6"/>
        <v>48645</v>
      </c>
    </row>
    <row r="429" spans="2:2">
      <c r="B429" s="16">
        <f t="shared" si="6"/>
        <v>48652</v>
      </c>
    </row>
    <row r="430" spans="2:2">
      <c r="B430" s="16">
        <f t="shared" si="6"/>
        <v>48659</v>
      </c>
    </row>
    <row r="431" spans="2:2">
      <c r="B431" s="16">
        <f t="shared" si="6"/>
        <v>48666</v>
      </c>
    </row>
    <row r="432" spans="2:2">
      <c r="B432" s="16">
        <f t="shared" si="6"/>
        <v>48673</v>
      </c>
    </row>
    <row r="433" spans="2:2">
      <c r="B433" s="16">
        <f t="shared" si="6"/>
        <v>48680</v>
      </c>
    </row>
    <row r="434" spans="2:2">
      <c r="B434" s="16">
        <f t="shared" si="6"/>
        <v>48687</v>
      </c>
    </row>
    <row r="435" spans="2:2">
      <c r="B435" s="16">
        <f t="shared" si="6"/>
        <v>48694</v>
      </c>
    </row>
    <row r="436" spans="2:2">
      <c r="B436" s="16">
        <f t="shared" si="6"/>
        <v>48701</v>
      </c>
    </row>
    <row r="437" spans="2:2">
      <c r="B437" s="16">
        <f t="shared" si="6"/>
        <v>48708</v>
      </c>
    </row>
    <row r="438" spans="2:2">
      <c r="B438" s="16">
        <f t="shared" si="6"/>
        <v>48715</v>
      </c>
    </row>
    <row r="439" spans="2:2">
      <c r="B439" s="16">
        <f t="shared" si="6"/>
        <v>48722</v>
      </c>
    </row>
    <row r="440" spans="2:2">
      <c r="B440" s="16">
        <f t="shared" si="6"/>
        <v>48729</v>
      </c>
    </row>
    <row r="441" spans="2:2">
      <c r="B441" s="16">
        <f t="shared" si="6"/>
        <v>48736</v>
      </c>
    </row>
    <row r="442" spans="2:2">
      <c r="B442" s="16">
        <f t="shared" si="6"/>
        <v>48743</v>
      </c>
    </row>
    <row r="443" spans="2:2">
      <c r="B443" s="16">
        <f t="shared" si="6"/>
        <v>48750</v>
      </c>
    </row>
    <row r="444" spans="2:2">
      <c r="B444" s="16">
        <f t="shared" si="6"/>
        <v>48757</v>
      </c>
    </row>
    <row r="445" spans="2:2">
      <c r="B445" s="16">
        <f t="shared" si="6"/>
        <v>48764</v>
      </c>
    </row>
    <row r="446" spans="2:2">
      <c r="B446" s="16">
        <f t="shared" si="6"/>
        <v>48771</v>
      </c>
    </row>
    <row r="447" spans="2:2">
      <c r="B447" s="16">
        <f t="shared" si="6"/>
        <v>48778</v>
      </c>
    </row>
    <row r="448" spans="2:2">
      <c r="B448" s="16">
        <f t="shared" si="6"/>
        <v>48785</v>
      </c>
    </row>
    <row r="449" spans="2:2">
      <c r="B449" s="16">
        <f t="shared" si="6"/>
        <v>48792</v>
      </c>
    </row>
    <row r="450" spans="2:2">
      <c r="B450" s="16">
        <f t="shared" si="6"/>
        <v>48799</v>
      </c>
    </row>
    <row r="451" spans="2:2">
      <c r="B451" s="16">
        <f t="shared" si="6"/>
        <v>48806</v>
      </c>
    </row>
    <row r="452" spans="2:2">
      <c r="B452" s="16">
        <f t="shared" ref="B452:B515" si="7">B451+7-WEEKDAY(B451,2)+1</f>
        <v>48813</v>
      </c>
    </row>
    <row r="453" spans="2:2">
      <c r="B453" s="16">
        <f t="shared" si="7"/>
        <v>48820</v>
      </c>
    </row>
    <row r="454" spans="2:2">
      <c r="B454" s="16">
        <f t="shared" si="7"/>
        <v>48827</v>
      </c>
    </row>
    <row r="455" spans="2:2">
      <c r="B455" s="16">
        <f t="shared" si="7"/>
        <v>48834</v>
      </c>
    </row>
    <row r="456" spans="2:2">
      <c r="B456" s="16">
        <f t="shared" si="7"/>
        <v>48841</v>
      </c>
    </row>
    <row r="457" spans="2:2">
      <c r="B457" s="16">
        <f t="shared" si="7"/>
        <v>48848</v>
      </c>
    </row>
    <row r="458" spans="2:2">
      <c r="B458" s="16">
        <f t="shared" si="7"/>
        <v>48855</v>
      </c>
    </row>
    <row r="459" spans="2:2">
      <c r="B459" s="16">
        <f t="shared" si="7"/>
        <v>48862</v>
      </c>
    </row>
    <row r="460" spans="2:2">
      <c r="B460" s="16">
        <f t="shared" si="7"/>
        <v>48869</v>
      </c>
    </row>
    <row r="461" spans="2:2">
      <c r="B461" s="16">
        <f t="shared" si="7"/>
        <v>48876</v>
      </c>
    </row>
    <row r="462" spans="2:2">
      <c r="B462" s="16">
        <f t="shared" si="7"/>
        <v>48883</v>
      </c>
    </row>
    <row r="463" spans="2:2">
      <c r="B463" s="16">
        <f t="shared" si="7"/>
        <v>48890</v>
      </c>
    </row>
    <row r="464" spans="2:2">
      <c r="B464" s="16">
        <f t="shared" si="7"/>
        <v>48897</v>
      </c>
    </row>
    <row r="465" spans="2:2">
      <c r="B465" s="16">
        <f t="shared" si="7"/>
        <v>48904</v>
      </c>
    </row>
    <row r="466" spans="2:2">
      <c r="B466" s="16">
        <f t="shared" si="7"/>
        <v>48911</v>
      </c>
    </row>
    <row r="467" spans="2:2">
      <c r="B467" s="16">
        <f t="shared" si="7"/>
        <v>48918</v>
      </c>
    </row>
    <row r="468" spans="2:2">
      <c r="B468" s="16">
        <f t="shared" si="7"/>
        <v>48925</v>
      </c>
    </row>
    <row r="469" spans="2:2">
      <c r="B469" s="16">
        <f t="shared" si="7"/>
        <v>48932</v>
      </c>
    </row>
    <row r="470" spans="2:2">
      <c r="B470" s="16">
        <f t="shared" si="7"/>
        <v>48939</v>
      </c>
    </row>
    <row r="471" spans="2:2">
      <c r="B471" s="16">
        <f t="shared" si="7"/>
        <v>48946</v>
      </c>
    </row>
    <row r="472" spans="2:2">
      <c r="B472" s="16">
        <f t="shared" si="7"/>
        <v>48953</v>
      </c>
    </row>
    <row r="473" spans="2:2">
      <c r="B473" s="16">
        <f t="shared" si="7"/>
        <v>48960</v>
      </c>
    </row>
    <row r="474" spans="2:2">
      <c r="B474" s="16">
        <f t="shared" si="7"/>
        <v>48967</v>
      </c>
    </row>
    <row r="475" spans="2:2">
      <c r="B475" s="16">
        <f t="shared" si="7"/>
        <v>48974</v>
      </c>
    </row>
    <row r="476" spans="2:2">
      <c r="B476" s="16">
        <f t="shared" si="7"/>
        <v>48981</v>
      </c>
    </row>
    <row r="477" spans="2:2">
      <c r="B477" s="16">
        <f t="shared" si="7"/>
        <v>48988</v>
      </c>
    </row>
    <row r="478" spans="2:2">
      <c r="B478" s="16">
        <f t="shared" si="7"/>
        <v>48995</v>
      </c>
    </row>
    <row r="479" spans="2:2">
      <c r="B479" s="16">
        <f t="shared" si="7"/>
        <v>49002</v>
      </c>
    </row>
    <row r="480" spans="2:2">
      <c r="B480" s="16">
        <f t="shared" si="7"/>
        <v>49009</v>
      </c>
    </row>
    <row r="481" spans="2:2">
      <c r="B481" s="16">
        <f t="shared" si="7"/>
        <v>49016</v>
      </c>
    </row>
    <row r="482" spans="2:2">
      <c r="B482" s="16">
        <f t="shared" si="7"/>
        <v>49023</v>
      </c>
    </row>
    <row r="483" spans="2:2">
      <c r="B483" s="16">
        <f t="shared" si="7"/>
        <v>49030</v>
      </c>
    </row>
    <row r="484" spans="2:2">
      <c r="B484" s="16">
        <f t="shared" si="7"/>
        <v>49037</v>
      </c>
    </row>
    <row r="485" spans="2:2">
      <c r="B485" s="16">
        <f t="shared" si="7"/>
        <v>49044</v>
      </c>
    </row>
    <row r="486" spans="2:2">
      <c r="B486" s="16">
        <f t="shared" si="7"/>
        <v>49051</v>
      </c>
    </row>
    <row r="487" spans="2:2">
      <c r="B487" s="16">
        <f t="shared" si="7"/>
        <v>49058</v>
      </c>
    </row>
    <row r="488" spans="2:2">
      <c r="B488" s="16">
        <f t="shared" si="7"/>
        <v>49065</v>
      </c>
    </row>
    <row r="489" spans="2:2">
      <c r="B489" s="16">
        <f t="shared" si="7"/>
        <v>49072</v>
      </c>
    </row>
    <row r="490" spans="2:2">
      <c r="B490" s="16">
        <f t="shared" si="7"/>
        <v>49079</v>
      </c>
    </row>
    <row r="491" spans="2:2">
      <c r="B491" s="16">
        <f t="shared" si="7"/>
        <v>49086</v>
      </c>
    </row>
    <row r="492" spans="2:2">
      <c r="B492" s="16">
        <f t="shared" si="7"/>
        <v>49093</v>
      </c>
    </row>
    <row r="493" spans="2:2">
      <c r="B493" s="16">
        <f t="shared" si="7"/>
        <v>49100</v>
      </c>
    </row>
    <row r="494" spans="2:2">
      <c r="B494" s="16">
        <f t="shared" si="7"/>
        <v>49107</v>
      </c>
    </row>
    <row r="495" spans="2:2">
      <c r="B495" s="16">
        <f t="shared" si="7"/>
        <v>49114</v>
      </c>
    </row>
    <row r="496" spans="2:2">
      <c r="B496" s="16">
        <f t="shared" si="7"/>
        <v>49121</v>
      </c>
    </row>
    <row r="497" spans="2:2">
      <c r="B497" s="16">
        <f t="shared" si="7"/>
        <v>49128</v>
      </c>
    </row>
    <row r="498" spans="2:2">
      <c r="B498" s="16">
        <f t="shared" si="7"/>
        <v>49135</v>
      </c>
    </row>
    <row r="499" spans="2:2">
      <c r="B499" s="16">
        <f t="shared" si="7"/>
        <v>49142</v>
      </c>
    </row>
    <row r="500" spans="2:2">
      <c r="B500" s="16">
        <f t="shared" si="7"/>
        <v>49149</v>
      </c>
    </row>
    <row r="501" spans="2:2">
      <c r="B501" s="16">
        <f t="shared" si="7"/>
        <v>49156</v>
      </c>
    </row>
    <row r="502" spans="2:2">
      <c r="B502" s="16">
        <f t="shared" si="7"/>
        <v>49163</v>
      </c>
    </row>
    <row r="503" spans="2:2">
      <c r="B503" s="16">
        <f t="shared" si="7"/>
        <v>49170</v>
      </c>
    </row>
    <row r="504" spans="2:2">
      <c r="B504" s="16">
        <f t="shared" si="7"/>
        <v>49177</v>
      </c>
    </row>
    <row r="505" spans="2:2">
      <c r="B505" s="16">
        <f t="shared" si="7"/>
        <v>49184</v>
      </c>
    </row>
    <row r="506" spans="2:2">
      <c r="B506" s="16">
        <f t="shared" si="7"/>
        <v>49191</v>
      </c>
    </row>
    <row r="507" spans="2:2">
      <c r="B507" s="16">
        <f t="shared" si="7"/>
        <v>49198</v>
      </c>
    </row>
    <row r="508" spans="2:2">
      <c r="B508" s="16">
        <f t="shared" si="7"/>
        <v>49205</v>
      </c>
    </row>
    <row r="509" spans="2:2">
      <c r="B509" s="16">
        <f t="shared" si="7"/>
        <v>49212</v>
      </c>
    </row>
    <row r="510" spans="2:2">
      <c r="B510" s="16">
        <f t="shared" si="7"/>
        <v>49219</v>
      </c>
    </row>
    <row r="511" spans="2:2">
      <c r="B511" s="16">
        <f t="shared" si="7"/>
        <v>49226</v>
      </c>
    </row>
    <row r="512" spans="2:2">
      <c r="B512" s="16">
        <f t="shared" si="7"/>
        <v>49233</v>
      </c>
    </row>
    <row r="513" spans="2:2">
      <c r="B513" s="16">
        <f t="shared" si="7"/>
        <v>49240</v>
      </c>
    </row>
    <row r="514" spans="2:2">
      <c r="B514" s="16">
        <f t="shared" si="7"/>
        <v>49247</v>
      </c>
    </row>
    <row r="515" spans="2:2">
      <c r="B515" s="16">
        <f t="shared" si="7"/>
        <v>49254</v>
      </c>
    </row>
    <row r="516" spans="2:2">
      <c r="B516" s="16">
        <f t="shared" ref="B516:B579" si="8">B515+7-WEEKDAY(B515,2)+1</f>
        <v>49261</v>
      </c>
    </row>
    <row r="517" spans="2:2">
      <c r="B517" s="16">
        <f t="shared" si="8"/>
        <v>49268</v>
      </c>
    </row>
    <row r="518" spans="2:2">
      <c r="B518" s="16">
        <f t="shared" si="8"/>
        <v>49275</v>
      </c>
    </row>
    <row r="519" spans="2:2">
      <c r="B519" s="16">
        <f t="shared" si="8"/>
        <v>49282</v>
      </c>
    </row>
    <row r="520" spans="2:2">
      <c r="B520" s="16">
        <f t="shared" si="8"/>
        <v>49289</v>
      </c>
    </row>
    <row r="521" spans="2:2">
      <c r="B521" s="16">
        <f t="shared" si="8"/>
        <v>49296</v>
      </c>
    </row>
    <row r="522" spans="2:2">
      <c r="B522" s="16">
        <f t="shared" si="8"/>
        <v>49303</v>
      </c>
    </row>
    <row r="523" spans="2:2">
      <c r="B523" s="16">
        <f t="shared" si="8"/>
        <v>49310</v>
      </c>
    </row>
    <row r="524" spans="2:2">
      <c r="B524" s="16">
        <f t="shared" si="8"/>
        <v>49317</v>
      </c>
    </row>
    <row r="525" spans="2:2">
      <c r="B525" s="16">
        <f t="shared" si="8"/>
        <v>49324</v>
      </c>
    </row>
    <row r="526" spans="2:2">
      <c r="B526" s="16">
        <f t="shared" si="8"/>
        <v>49331</v>
      </c>
    </row>
    <row r="527" spans="2:2">
      <c r="B527" s="16">
        <f t="shared" si="8"/>
        <v>49338</v>
      </c>
    </row>
    <row r="528" spans="2:2">
      <c r="B528" s="16">
        <f t="shared" si="8"/>
        <v>49345</v>
      </c>
    </row>
    <row r="529" spans="2:2">
      <c r="B529" s="16">
        <f t="shared" si="8"/>
        <v>49352</v>
      </c>
    </row>
    <row r="530" spans="2:2">
      <c r="B530" s="16">
        <f t="shared" si="8"/>
        <v>49359</v>
      </c>
    </row>
    <row r="531" spans="2:2">
      <c r="B531" s="16">
        <f t="shared" si="8"/>
        <v>49366</v>
      </c>
    </row>
    <row r="532" spans="2:2">
      <c r="B532" s="16">
        <f t="shared" si="8"/>
        <v>49373</v>
      </c>
    </row>
    <row r="533" spans="2:2">
      <c r="B533" s="16">
        <f t="shared" si="8"/>
        <v>49380</v>
      </c>
    </row>
    <row r="534" spans="2:2">
      <c r="B534" s="16">
        <f t="shared" si="8"/>
        <v>49387</v>
      </c>
    </row>
    <row r="535" spans="2:2">
      <c r="B535" s="16">
        <f t="shared" si="8"/>
        <v>49394</v>
      </c>
    </row>
    <row r="536" spans="2:2">
      <c r="B536" s="16">
        <f t="shared" si="8"/>
        <v>49401</v>
      </c>
    </row>
    <row r="537" spans="2:2">
      <c r="B537" s="16">
        <f t="shared" si="8"/>
        <v>49408</v>
      </c>
    </row>
    <row r="538" spans="2:2">
      <c r="B538" s="16">
        <f t="shared" si="8"/>
        <v>49415</v>
      </c>
    </row>
    <row r="539" spans="2:2">
      <c r="B539" s="16">
        <f t="shared" si="8"/>
        <v>49422</v>
      </c>
    </row>
    <row r="540" spans="2:2">
      <c r="B540" s="16">
        <f t="shared" si="8"/>
        <v>49429</v>
      </c>
    </row>
    <row r="541" spans="2:2">
      <c r="B541" s="16">
        <f t="shared" si="8"/>
        <v>49436</v>
      </c>
    </row>
    <row r="542" spans="2:2">
      <c r="B542" s="16">
        <f t="shared" si="8"/>
        <v>49443</v>
      </c>
    </row>
    <row r="543" spans="2:2">
      <c r="B543" s="16">
        <f t="shared" si="8"/>
        <v>49450</v>
      </c>
    </row>
    <row r="544" spans="2:2">
      <c r="B544" s="16">
        <f t="shared" si="8"/>
        <v>49457</v>
      </c>
    </row>
    <row r="545" spans="2:2">
      <c r="B545" s="16">
        <f t="shared" si="8"/>
        <v>49464</v>
      </c>
    </row>
    <row r="546" spans="2:2">
      <c r="B546" s="16">
        <f t="shared" si="8"/>
        <v>49471</v>
      </c>
    </row>
    <row r="547" spans="2:2">
      <c r="B547" s="16">
        <f t="shared" si="8"/>
        <v>49478</v>
      </c>
    </row>
    <row r="548" spans="2:2">
      <c r="B548" s="16">
        <f t="shared" si="8"/>
        <v>49485</v>
      </c>
    </row>
    <row r="549" spans="2:2">
      <c r="B549" s="16">
        <f t="shared" si="8"/>
        <v>49492</v>
      </c>
    </row>
    <row r="550" spans="2:2">
      <c r="B550" s="16">
        <f t="shared" si="8"/>
        <v>49499</v>
      </c>
    </row>
    <row r="551" spans="2:2">
      <c r="B551" s="16">
        <f t="shared" si="8"/>
        <v>49506</v>
      </c>
    </row>
    <row r="552" spans="2:2">
      <c r="B552" s="16">
        <f t="shared" si="8"/>
        <v>49513</v>
      </c>
    </row>
    <row r="553" spans="2:2">
      <c r="B553" s="16">
        <f t="shared" si="8"/>
        <v>49520</v>
      </c>
    </row>
    <row r="554" spans="2:2">
      <c r="B554" s="16">
        <f t="shared" si="8"/>
        <v>49527</v>
      </c>
    </row>
    <row r="555" spans="2:2">
      <c r="B555" s="16">
        <f t="shared" si="8"/>
        <v>49534</v>
      </c>
    </row>
    <row r="556" spans="2:2">
      <c r="B556" s="16">
        <f t="shared" si="8"/>
        <v>49541</v>
      </c>
    </row>
    <row r="557" spans="2:2">
      <c r="B557" s="16">
        <f t="shared" si="8"/>
        <v>49548</v>
      </c>
    </row>
    <row r="558" spans="2:2">
      <c r="B558" s="16">
        <f t="shared" si="8"/>
        <v>49555</v>
      </c>
    </row>
    <row r="559" spans="2:2">
      <c r="B559" s="16">
        <f t="shared" si="8"/>
        <v>49562</v>
      </c>
    </row>
    <row r="560" spans="2:2">
      <c r="B560" s="16">
        <f t="shared" si="8"/>
        <v>49569</v>
      </c>
    </row>
    <row r="561" spans="2:2">
      <c r="B561" s="16">
        <f t="shared" si="8"/>
        <v>49576</v>
      </c>
    </row>
    <row r="562" spans="2:2">
      <c r="B562" s="16">
        <f t="shared" si="8"/>
        <v>49583</v>
      </c>
    </row>
    <row r="563" spans="2:2">
      <c r="B563" s="16">
        <f t="shared" si="8"/>
        <v>49590</v>
      </c>
    </row>
    <row r="564" spans="2:2">
      <c r="B564" s="16">
        <f t="shared" si="8"/>
        <v>49597</v>
      </c>
    </row>
    <row r="565" spans="2:2">
      <c r="B565" s="16">
        <f t="shared" si="8"/>
        <v>49604</v>
      </c>
    </row>
    <row r="566" spans="2:2">
      <c r="B566" s="16">
        <f t="shared" si="8"/>
        <v>49611</v>
      </c>
    </row>
    <row r="567" spans="2:2">
      <c r="B567" s="16">
        <f t="shared" si="8"/>
        <v>49618</v>
      </c>
    </row>
    <row r="568" spans="2:2">
      <c r="B568" s="16">
        <f t="shared" si="8"/>
        <v>49625</v>
      </c>
    </row>
    <row r="569" spans="2:2">
      <c r="B569" s="16">
        <f t="shared" si="8"/>
        <v>49632</v>
      </c>
    </row>
    <row r="570" spans="2:2">
      <c r="B570" s="16">
        <f t="shared" si="8"/>
        <v>49639</v>
      </c>
    </row>
    <row r="571" spans="2:2">
      <c r="B571" s="16">
        <f t="shared" si="8"/>
        <v>49646</v>
      </c>
    </row>
    <row r="572" spans="2:2">
      <c r="B572" s="16">
        <f t="shared" si="8"/>
        <v>49653</v>
      </c>
    </row>
    <row r="573" spans="2:2">
      <c r="B573" s="16">
        <f t="shared" si="8"/>
        <v>49660</v>
      </c>
    </row>
    <row r="574" spans="2:2">
      <c r="B574" s="16">
        <f t="shared" si="8"/>
        <v>49667</v>
      </c>
    </row>
    <row r="575" spans="2:2">
      <c r="B575" s="16">
        <f t="shared" si="8"/>
        <v>49674</v>
      </c>
    </row>
    <row r="576" spans="2:2">
      <c r="B576" s="16">
        <f t="shared" si="8"/>
        <v>49681</v>
      </c>
    </row>
    <row r="577" spans="2:2">
      <c r="B577" s="16">
        <f t="shared" si="8"/>
        <v>49688</v>
      </c>
    </row>
    <row r="578" spans="2:2">
      <c r="B578" s="16">
        <f t="shared" si="8"/>
        <v>49695</v>
      </c>
    </row>
    <row r="579" spans="2:2">
      <c r="B579" s="16">
        <f t="shared" si="8"/>
        <v>49702</v>
      </c>
    </row>
    <row r="580" spans="2:2">
      <c r="B580" s="16">
        <f t="shared" ref="B580:B643" si="9">B579+7-WEEKDAY(B579,2)+1</f>
        <v>49709</v>
      </c>
    </row>
    <row r="581" spans="2:2">
      <c r="B581" s="16">
        <f t="shared" si="9"/>
        <v>49716</v>
      </c>
    </row>
    <row r="582" spans="2:2">
      <c r="B582" s="16">
        <f t="shared" si="9"/>
        <v>49723</v>
      </c>
    </row>
    <row r="583" spans="2:2">
      <c r="B583" s="16">
        <f t="shared" si="9"/>
        <v>49730</v>
      </c>
    </row>
    <row r="584" spans="2:2">
      <c r="B584" s="16">
        <f t="shared" si="9"/>
        <v>49737</v>
      </c>
    </row>
    <row r="585" spans="2:2">
      <c r="B585" s="16">
        <f t="shared" si="9"/>
        <v>49744</v>
      </c>
    </row>
    <row r="586" spans="2:2">
      <c r="B586" s="16">
        <f t="shared" si="9"/>
        <v>49751</v>
      </c>
    </row>
    <row r="587" spans="2:2">
      <c r="B587" s="16">
        <f t="shared" si="9"/>
        <v>49758</v>
      </c>
    </row>
    <row r="588" spans="2:2">
      <c r="B588" s="16">
        <f t="shared" si="9"/>
        <v>49765</v>
      </c>
    </row>
    <row r="589" spans="2:2">
      <c r="B589" s="16">
        <f t="shared" si="9"/>
        <v>49772</v>
      </c>
    </row>
    <row r="590" spans="2:2">
      <c r="B590" s="16">
        <f t="shared" si="9"/>
        <v>49779</v>
      </c>
    </row>
    <row r="591" spans="2:2">
      <c r="B591" s="16">
        <f t="shared" si="9"/>
        <v>49786</v>
      </c>
    </row>
    <row r="592" spans="2:2">
      <c r="B592" s="16">
        <f t="shared" si="9"/>
        <v>49793</v>
      </c>
    </row>
    <row r="593" spans="2:2">
      <c r="B593" s="16">
        <f t="shared" si="9"/>
        <v>49800</v>
      </c>
    </row>
    <row r="594" spans="2:2">
      <c r="B594" s="16">
        <f t="shared" si="9"/>
        <v>49807</v>
      </c>
    </row>
    <row r="595" spans="2:2">
      <c r="B595" s="16">
        <f t="shared" si="9"/>
        <v>49814</v>
      </c>
    </row>
    <row r="596" spans="2:2">
      <c r="B596" s="16">
        <f t="shared" si="9"/>
        <v>49821</v>
      </c>
    </row>
    <row r="597" spans="2:2">
      <c r="B597" s="16">
        <f t="shared" si="9"/>
        <v>49828</v>
      </c>
    </row>
    <row r="598" spans="2:2">
      <c r="B598" s="16">
        <f t="shared" si="9"/>
        <v>49835</v>
      </c>
    </row>
    <row r="599" spans="2:2">
      <c r="B599" s="16">
        <f t="shared" si="9"/>
        <v>49842</v>
      </c>
    </row>
    <row r="600" spans="2:2">
      <c r="B600" s="16">
        <f t="shared" si="9"/>
        <v>49849</v>
      </c>
    </row>
    <row r="601" spans="2:2">
      <c r="B601" s="16">
        <f t="shared" si="9"/>
        <v>49856</v>
      </c>
    </row>
    <row r="602" spans="2:2">
      <c r="B602" s="16">
        <f t="shared" si="9"/>
        <v>49863</v>
      </c>
    </row>
    <row r="603" spans="2:2">
      <c r="B603" s="16">
        <f t="shared" si="9"/>
        <v>49870</v>
      </c>
    </row>
    <row r="604" spans="2:2">
      <c r="B604" s="16">
        <f t="shared" si="9"/>
        <v>49877</v>
      </c>
    </row>
    <row r="605" spans="2:2">
      <c r="B605" s="16">
        <f t="shared" si="9"/>
        <v>49884</v>
      </c>
    </row>
    <row r="606" spans="2:2">
      <c r="B606" s="16">
        <f t="shared" si="9"/>
        <v>49891</v>
      </c>
    </row>
    <row r="607" spans="2:2">
      <c r="B607" s="16">
        <f t="shared" si="9"/>
        <v>49898</v>
      </c>
    </row>
    <row r="608" spans="2:2">
      <c r="B608" s="16">
        <f t="shared" si="9"/>
        <v>49905</v>
      </c>
    </row>
    <row r="609" spans="2:2">
      <c r="B609" s="16">
        <f t="shared" si="9"/>
        <v>49912</v>
      </c>
    </row>
    <row r="610" spans="2:2">
      <c r="B610" s="16">
        <f t="shared" si="9"/>
        <v>49919</v>
      </c>
    </row>
    <row r="611" spans="2:2">
      <c r="B611" s="16">
        <f t="shared" si="9"/>
        <v>49926</v>
      </c>
    </row>
    <row r="612" spans="2:2">
      <c r="B612" s="16">
        <f t="shared" si="9"/>
        <v>49933</v>
      </c>
    </row>
    <row r="613" spans="2:2">
      <c r="B613" s="16">
        <f t="shared" si="9"/>
        <v>49940</v>
      </c>
    </row>
    <row r="614" spans="2:2">
      <c r="B614" s="16">
        <f t="shared" si="9"/>
        <v>49947</v>
      </c>
    </row>
    <row r="615" spans="2:2">
      <c r="B615" s="16">
        <f t="shared" si="9"/>
        <v>49954</v>
      </c>
    </row>
    <row r="616" spans="2:2">
      <c r="B616" s="16">
        <f t="shared" si="9"/>
        <v>49961</v>
      </c>
    </row>
    <row r="617" spans="2:2">
      <c r="B617" s="16">
        <f t="shared" si="9"/>
        <v>49968</v>
      </c>
    </row>
    <row r="618" spans="2:2">
      <c r="B618" s="16">
        <f t="shared" si="9"/>
        <v>49975</v>
      </c>
    </row>
    <row r="619" spans="2:2">
      <c r="B619" s="16">
        <f t="shared" si="9"/>
        <v>49982</v>
      </c>
    </row>
    <row r="620" spans="2:2">
      <c r="B620" s="16">
        <f t="shared" si="9"/>
        <v>49989</v>
      </c>
    </row>
    <row r="621" spans="2:2">
      <c r="B621" s="16">
        <f t="shared" si="9"/>
        <v>49996</v>
      </c>
    </row>
    <row r="622" spans="2:2">
      <c r="B622" s="16">
        <f t="shared" si="9"/>
        <v>50003</v>
      </c>
    </row>
    <row r="623" spans="2:2">
      <c r="B623" s="16">
        <f t="shared" si="9"/>
        <v>50010</v>
      </c>
    </row>
    <row r="624" spans="2:2">
      <c r="B624" s="16">
        <f t="shared" si="9"/>
        <v>50017</v>
      </c>
    </row>
    <row r="625" spans="2:2">
      <c r="B625" s="16">
        <f t="shared" si="9"/>
        <v>50024</v>
      </c>
    </row>
    <row r="626" spans="2:2">
      <c r="B626" s="16">
        <f t="shared" si="9"/>
        <v>50031</v>
      </c>
    </row>
    <row r="627" spans="2:2">
      <c r="B627" s="16">
        <f t="shared" si="9"/>
        <v>50038</v>
      </c>
    </row>
    <row r="628" spans="2:2">
      <c r="B628" s="16">
        <f t="shared" si="9"/>
        <v>50045</v>
      </c>
    </row>
    <row r="629" spans="2:2">
      <c r="B629" s="16">
        <f t="shared" si="9"/>
        <v>50052</v>
      </c>
    </row>
    <row r="630" spans="2:2">
      <c r="B630" s="16">
        <f t="shared" si="9"/>
        <v>50059</v>
      </c>
    </row>
    <row r="631" spans="2:2">
      <c r="B631" s="16">
        <f t="shared" si="9"/>
        <v>50066</v>
      </c>
    </row>
    <row r="632" spans="2:2">
      <c r="B632" s="16">
        <f t="shared" si="9"/>
        <v>50073</v>
      </c>
    </row>
    <row r="633" spans="2:2">
      <c r="B633" s="16">
        <f t="shared" si="9"/>
        <v>50080</v>
      </c>
    </row>
    <row r="634" spans="2:2">
      <c r="B634" s="16">
        <f t="shared" si="9"/>
        <v>50087</v>
      </c>
    </row>
    <row r="635" spans="2:2">
      <c r="B635" s="16">
        <f t="shared" si="9"/>
        <v>50094</v>
      </c>
    </row>
    <row r="636" spans="2:2">
      <c r="B636" s="16">
        <f t="shared" si="9"/>
        <v>50101</v>
      </c>
    </row>
    <row r="637" spans="2:2">
      <c r="B637" s="16">
        <f t="shared" si="9"/>
        <v>50108</v>
      </c>
    </row>
    <row r="638" spans="2:2">
      <c r="B638" s="16">
        <f t="shared" si="9"/>
        <v>50115</v>
      </c>
    </row>
    <row r="639" spans="2:2">
      <c r="B639" s="16">
        <f t="shared" si="9"/>
        <v>50122</v>
      </c>
    </row>
    <row r="640" spans="2:2">
      <c r="B640" s="16">
        <f t="shared" si="9"/>
        <v>50129</v>
      </c>
    </row>
    <row r="641" spans="2:2">
      <c r="B641" s="16">
        <f t="shared" si="9"/>
        <v>50136</v>
      </c>
    </row>
    <row r="642" spans="2:2">
      <c r="B642" s="16">
        <f t="shared" si="9"/>
        <v>50143</v>
      </c>
    </row>
    <row r="643" spans="2:2">
      <c r="B643" s="16">
        <f t="shared" si="9"/>
        <v>50150</v>
      </c>
    </row>
    <row r="644" spans="2:2">
      <c r="B644" s="16">
        <f t="shared" ref="B644:B707" si="10">B643+7-WEEKDAY(B643,2)+1</f>
        <v>50157</v>
      </c>
    </row>
    <row r="645" spans="2:2">
      <c r="B645" s="16">
        <f t="shared" si="10"/>
        <v>50164</v>
      </c>
    </row>
    <row r="646" spans="2:2">
      <c r="B646" s="16">
        <f t="shared" si="10"/>
        <v>50171</v>
      </c>
    </row>
    <row r="647" spans="2:2">
      <c r="B647" s="16">
        <f t="shared" si="10"/>
        <v>50178</v>
      </c>
    </row>
    <row r="648" spans="2:2">
      <c r="B648" s="16">
        <f t="shared" si="10"/>
        <v>50185</v>
      </c>
    </row>
    <row r="649" spans="2:2">
      <c r="B649" s="16">
        <f t="shared" si="10"/>
        <v>50192</v>
      </c>
    </row>
    <row r="650" spans="2:2">
      <c r="B650" s="16">
        <f t="shared" si="10"/>
        <v>50199</v>
      </c>
    </row>
    <row r="651" spans="2:2">
      <c r="B651" s="16">
        <f t="shared" si="10"/>
        <v>50206</v>
      </c>
    </row>
    <row r="652" spans="2:2">
      <c r="B652" s="16">
        <f t="shared" si="10"/>
        <v>50213</v>
      </c>
    </row>
    <row r="653" spans="2:2">
      <c r="B653" s="16">
        <f t="shared" si="10"/>
        <v>50220</v>
      </c>
    </row>
    <row r="654" spans="2:2">
      <c r="B654" s="16">
        <f t="shared" si="10"/>
        <v>50227</v>
      </c>
    </row>
    <row r="655" spans="2:2">
      <c r="B655" s="16">
        <f t="shared" si="10"/>
        <v>50234</v>
      </c>
    </row>
    <row r="656" spans="2:2">
      <c r="B656" s="16">
        <f t="shared" si="10"/>
        <v>50241</v>
      </c>
    </row>
    <row r="657" spans="2:2">
      <c r="B657" s="16">
        <f t="shared" si="10"/>
        <v>50248</v>
      </c>
    </row>
    <row r="658" spans="2:2">
      <c r="B658" s="16">
        <f t="shared" si="10"/>
        <v>50255</v>
      </c>
    </row>
    <row r="659" spans="2:2">
      <c r="B659" s="16">
        <f t="shared" si="10"/>
        <v>50262</v>
      </c>
    </row>
    <row r="660" spans="2:2">
      <c r="B660" s="16">
        <f t="shared" si="10"/>
        <v>50269</v>
      </c>
    </row>
    <row r="661" spans="2:2">
      <c r="B661" s="16">
        <f t="shared" si="10"/>
        <v>50276</v>
      </c>
    </row>
    <row r="662" spans="2:2">
      <c r="B662" s="16">
        <f t="shared" si="10"/>
        <v>50283</v>
      </c>
    </row>
    <row r="663" spans="2:2">
      <c r="B663" s="16">
        <f t="shared" si="10"/>
        <v>50290</v>
      </c>
    </row>
    <row r="664" spans="2:2">
      <c r="B664" s="16">
        <f t="shared" si="10"/>
        <v>50297</v>
      </c>
    </row>
    <row r="665" spans="2:2">
      <c r="B665" s="16">
        <f t="shared" si="10"/>
        <v>50304</v>
      </c>
    </row>
    <row r="666" spans="2:2">
      <c r="B666" s="16">
        <f t="shared" si="10"/>
        <v>50311</v>
      </c>
    </row>
    <row r="667" spans="2:2">
      <c r="B667" s="16">
        <f t="shared" si="10"/>
        <v>50318</v>
      </c>
    </row>
    <row r="668" spans="2:2">
      <c r="B668" s="16">
        <f t="shared" si="10"/>
        <v>50325</v>
      </c>
    </row>
    <row r="669" spans="2:2">
      <c r="B669" s="16">
        <f t="shared" si="10"/>
        <v>50332</v>
      </c>
    </row>
    <row r="670" spans="2:2">
      <c r="B670" s="16">
        <f t="shared" si="10"/>
        <v>50339</v>
      </c>
    </row>
    <row r="671" spans="2:2">
      <c r="B671" s="16">
        <f t="shared" si="10"/>
        <v>50346</v>
      </c>
    </row>
    <row r="672" spans="2:2">
      <c r="B672" s="16">
        <f t="shared" si="10"/>
        <v>50353</v>
      </c>
    </row>
    <row r="673" spans="2:2">
      <c r="B673" s="16">
        <f t="shared" si="10"/>
        <v>50360</v>
      </c>
    </row>
    <row r="674" spans="2:2">
      <c r="B674" s="16">
        <f t="shared" si="10"/>
        <v>50367</v>
      </c>
    </row>
    <row r="675" spans="2:2">
      <c r="B675" s="16">
        <f t="shared" si="10"/>
        <v>50374</v>
      </c>
    </row>
    <row r="676" spans="2:2">
      <c r="B676" s="16">
        <f t="shared" si="10"/>
        <v>50381</v>
      </c>
    </row>
    <row r="677" spans="2:2">
      <c r="B677" s="16">
        <f t="shared" si="10"/>
        <v>50388</v>
      </c>
    </row>
    <row r="678" spans="2:2">
      <c r="B678" s="16">
        <f t="shared" si="10"/>
        <v>50395</v>
      </c>
    </row>
    <row r="679" spans="2:2">
      <c r="B679" s="16">
        <f t="shared" si="10"/>
        <v>50402</v>
      </c>
    </row>
    <row r="680" spans="2:2">
      <c r="B680" s="16">
        <f t="shared" si="10"/>
        <v>50409</v>
      </c>
    </row>
    <row r="681" spans="2:2">
      <c r="B681" s="16">
        <f t="shared" si="10"/>
        <v>50416</v>
      </c>
    </row>
    <row r="682" spans="2:2">
      <c r="B682" s="16">
        <f t="shared" si="10"/>
        <v>50423</v>
      </c>
    </row>
    <row r="683" spans="2:2">
      <c r="B683" s="16">
        <f t="shared" si="10"/>
        <v>50430</v>
      </c>
    </row>
    <row r="684" spans="2:2">
      <c r="B684" s="16">
        <f t="shared" si="10"/>
        <v>50437</v>
      </c>
    </row>
    <row r="685" spans="2:2">
      <c r="B685" s="16">
        <f t="shared" si="10"/>
        <v>50444</v>
      </c>
    </row>
    <row r="686" spans="2:2">
      <c r="B686" s="16">
        <f t="shared" si="10"/>
        <v>50451</v>
      </c>
    </row>
    <row r="687" spans="2:2">
      <c r="B687" s="16">
        <f t="shared" si="10"/>
        <v>50458</v>
      </c>
    </row>
    <row r="688" spans="2:2">
      <c r="B688" s="16">
        <f t="shared" si="10"/>
        <v>50465</v>
      </c>
    </row>
    <row r="689" spans="2:2">
      <c r="B689" s="16">
        <f t="shared" si="10"/>
        <v>50472</v>
      </c>
    </row>
    <row r="690" spans="2:2">
      <c r="B690" s="16">
        <f t="shared" si="10"/>
        <v>50479</v>
      </c>
    </row>
    <row r="691" spans="2:2">
      <c r="B691" s="16">
        <f t="shared" si="10"/>
        <v>50486</v>
      </c>
    </row>
    <row r="692" spans="2:2">
      <c r="B692" s="16">
        <f t="shared" si="10"/>
        <v>50493</v>
      </c>
    </row>
    <row r="693" spans="2:2">
      <c r="B693" s="16">
        <f t="shared" si="10"/>
        <v>50500</v>
      </c>
    </row>
    <row r="694" spans="2:2">
      <c r="B694" s="16">
        <f t="shared" si="10"/>
        <v>50507</v>
      </c>
    </row>
    <row r="695" spans="2:2">
      <c r="B695" s="16">
        <f t="shared" si="10"/>
        <v>50514</v>
      </c>
    </row>
    <row r="696" spans="2:2">
      <c r="B696" s="16">
        <f t="shared" si="10"/>
        <v>50521</v>
      </c>
    </row>
    <row r="697" spans="2:2">
      <c r="B697" s="16">
        <f t="shared" si="10"/>
        <v>50528</v>
      </c>
    </row>
    <row r="698" spans="2:2">
      <c r="B698" s="16">
        <f t="shared" si="10"/>
        <v>50535</v>
      </c>
    </row>
    <row r="699" spans="2:2">
      <c r="B699" s="16">
        <f t="shared" si="10"/>
        <v>50542</v>
      </c>
    </row>
    <row r="700" spans="2:2">
      <c r="B700" s="16">
        <f t="shared" si="10"/>
        <v>50549</v>
      </c>
    </row>
    <row r="701" spans="2:2">
      <c r="B701" s="16">
        <f t="shared" si="10"/>
        <v>50556</v>
      </c>
    </row>
    <row r="702" spans="2:2">
      <c r="B702" s="16">
        <f t="shared" si="10"/>
        <v>50563</v>
      </c>
    </row>
    <row r="703" spans="2:2">
      <c r="B703" s="16">
        <f t="shared" si="10"/>
        <v>50570</v>
      </c>
    </row>
    <row r="704" spans="2:2">
      <c r="B704" s="16">
        <f t="shared" si="10"/>
        <v>50577</v>
      </c>
    </row>
    <row r="705" spans="2:2">
      <c r="B705" s="16">
        <f t="shared" si="10"/>
        <v>50584</v>
      </c>
    </row>
    <row r="706" spans="2:2">
      <c r="B706" s="16">
        <f t="shared" si="10"/>
        <v>50591</v>
      </c>
    </row>
    <row r="707" spans="2:2">
      <c r="B707" s="16">
        <f t="shared" si="10"/>
        <v>50598</v>
      </c>
    </row>
    <row r="708" spans="2:2">
      <c r="B708" s="16">
        <f t="shared" ref="B708:B771" si="11">B707+7-WEEKDAY(B707,2)+1</f>
        <v>50605</v>
      </c>
    </row>
    <row r="709" spans="2:2">
      <c r="B709" s="16">
        <f t="shared" si="11"/>
        <v>50612</v>
      </c>
    </row>
    <row r="710" spans="2:2">
      <c r="B710" s="16">
        <f t="shared" si="11"/>
        <v>50619</v>
      </c>
    </row>
    <row r="711" spans="2:2">
      <c r="B711" s="16">
        <f t="shared" si="11"/>
        <v>50626</v>
      </c>
    </row>
    <row r="712" spans="2:2">
      <c r="B712" s="16">
        <f t="shared" si="11"/>
        <v>50633</v>
      </c>
    </row>
    <row r="713" spans="2:2">
      <c r="B713" s="16">
        <f t="shared" si="11"/>
        <v>50640</v>
      </c>
    </row>
    <row r="714" spans="2:2">
      <c r="B714" s="16">
        <f t="shared" si="11"/>
        <v>50647</v>
      </c>
    </row>
    <row r="715" spans="2:2">
      <c r="B715" s="16">
        <f t="shared" si="11"/>
        <v>50654</v>
      </c>
    </row>
    <row r="716" spans="2:2">
      <c r="B716" s="16">
        <f t="shared" si="11"/>
        <v>50661</v>
      </c>
    </row>
    <row r="717" spans="2:2">
      <c r="B717" s="16">
        <f t="shared" si="11"/>
        <v>50668</v>
      </c>
    </row>
    <row r="718" spans="2:2">
      <c r="B718" s="16">
        <f t="shared" si="11"/>
        <v>50675</v>
      </c>
    </row>
    <row r="719" spans="2:2">
      <c r="B719" s="16">
        <f t="shared" si="11"/>
        <v>50682</v>
      </c>
    </row>
    <row r="720" spans="2:2">
      <c r="B720" s="16">
        <f t="shared" si="11"/>
        <v>50689</v>
      </c>
    </row>
    <row r="721" spans="2:2">
      <c r="B721" s="16">
        <f t="shared" si="11"/>
        <v>50696</v>
      </c>
    </row>
    <row r="722" spans="2:2">
      <c r="B722" s="16">
        <f t="shared" si="11"/>
        <v>50703</v>
      </c>
    </row>
    <row r="723" spans="2:2">
      <c r="B723" s="16">
        <f t="shared" si="11"/>
        <v>50710</v>
      </c>
    </row>
    <row r="724" spans="2:2">
      <c r="B724" s="16">
        <f t="shared" si="11"/>
        <v>50717</v>
      </c>
    </row>
    <row r="725" spans="2:2">
      <c r="B725" s="16">
        <f t="shared" si="11"/>
        <v>50724</v>
      </c>
    </row>
    <row r="726" spans="2:2">
      <c r="B726" s="16">
        <f t="shared" si="11"/>
        <v>50731</v>
      </c>
    </row>
    <row r="727" spans="2:2">
      <c r="B727" s="16">
        <f t="shared" si="11"/>
        <v>50738</v>
      </c>
    </row>
    <row r="728" spans="2:2">
      <c r="B728" s="16">
        <f t="shared" si="11"/>
        <v>50745</v>
      </c>
    </row>
    <row r="729" spans="2:2">
      <c r="B729" s="16">
        <f t="shared" si="11"/>
        <v>50752</v>
      </c>
    </row>
    <row r="730" spans="2:2">
      <c r="B730" s="16">
        <f t="shared" si="11"/>
        <v>50759</v>
      </c>
    </row>
    <row r="731" spans="2:2">
      <c r="B731" s="16">
        <f t="shared" si="11"/>
        <v>50766</v>
      </c>
    </row>
    <row r="732" spans="2:2">
      <c r="B732" s="16">
        <f t="shared" si="11"/>
        <v>50773</v>
      </c>
    </row>
    <row r="733" spans="2:2">
      <c r="B733" s="16">
        <f t="shared" si="11"/>
        <v>50780</v>
      </c>
    </row>
    <row r="734" spans="2:2">
      <c r="B734" s="16">
        <f t="shared" si="11"/>
        <v>50787</v>
      </c>
    </row>
    <row r="735" spans="2:2">
      <c r="B735" s="16">
        <f t="shared" si="11"/>
        <v>50794</v>
      </c>
    </row>
    <row r="736" spans="2:2">
      <c r="B736" s="16">
        <f t="shared" si="11"/>
        <v>50801</v>
      </c>
    </row>
    <row r="737" spans="2:2">
      <c r="B737" s="16">
        <f t="shared" si="11"/>
        <v>50808</v>
      </c>
    </row>
    <row r="738" spans="2:2">
      <c r="B738" s="16">
        <f t="shared" si="11"/>
        <v>50815</v>
      </c>
    </row>
    <row r="739" spans="2:2">
      <c r="B739" s="16">
        <f t="shared" si="11"/>
        <v>50822</v>
      </c>
    </row>
    <row r="740" spans="2:2">
      <c r="B740" s="16">
        <f t="shared" si="11"/>
        <v>50829</v>
      </c>
    </row>
    <row r="741" spans="2:2">
      <c r="B741" s="16">
        <f t="shared" si="11"/>
        <v>50836</v>
      </c>
    </row>
    <row r="742" spans="2:2">
      <c r="B742" s="16">
        <f t="shared" si="11"/>
        <v>50843</v>
      </c>
    </row>
    <row r="743" spans="2:2">
      <c r="B743" s="16">
        <f t="shared" si="11"/>
        <v>50850</v>
      </c>
    </row>
    <row r="744" spans="2:2">
      <c r="B744" s="16">
        <f t="shared" si="11"/>
        <v>50857</v>
      </c>
    </row>
    <row r="745" spans="2:2">
      <c r="B745" s="16">
        <f t="shared" si="11"/>
        <v>50864</v>
      </c>
    </row>
    <row r="746" spans="2:2">
      <c r="B746" s="16">
        <f t="shared" si="11"/>
        <v>50871</v>
      </c>
    </row>
    <row r="747" spans="2:2">
      <c r="B747" s="16">
        <f t="shared" si="11"/>
        <v>50878</v>
      </c>
    </row>
    <row r="748" spans="2:2">
      <c r="B748" s="16">
        <f t="shared" si="11"/>
        <v>50885</v>
      </c>
    </row>
    <row r="749" spans="2:2">
      <c r="B749" s="16">
        <f t="shared" si="11"/>
        <v>50892</v>
      </c>
    </row>
    <row r="750" spans="2:2">
      <c r="B750" s="16">
        <f t="shared" si="11"/>
        <v>50899</v>
      </c>
    </row>
    <row r="751" spans="2:2">
      <c r="B751" s="16">
        <f t="shared" si="11"/>
        <v>50906</v>
      </c>
    </row>
    <row r="752" spans="2:2">
      <c r="B752" s="16">
        <f t="shared" si="11"/>
        <v>50913</v>
      </c>
    </row>
    <row r="753" spans="2:2">
      <c r="B753" s="16">
        <f t="shared" si="11"/>
        <v>50920</v>
      </c>
    </row>
    <row r="754" spans="2:2">
      <c r="B754" s="16">
        <f t="shared" si="11"/>
        <v>50927</v>
      </c>
    </row>
    <row r="755" spans="2:2">
      <c r="B755" s="16">
        <f t="shared" si="11"/>
        <v>50934</v>
      </c>
    </row>
    <row r="756" spans="2:2">
      <c r="B756" s="16">
        <f t="shared" si="11"/>
        <v>50941</v>
      </c>
    </row>
    <row r="757" spans="2:2">
      <c r="B757" s="16">
        <f t="shared" si="11"/>
        <v>50948</v>
      </c>
    </row>
    <row r="758" spans="2:2">
      <c r="B758" s="16">
        <f t="shared" si="11"/>
        <v>50955</v>
      </c>
    </row>
    <row r="759" spans="2:2">
      <c r="B759" s="16">
        <f t="shared" si="11"/>
        <v>50962</v>
      </c>
    </row>
    <row r="760" spans="2:2">
      <c r="B760" s="16">
        <f t="shared" si="11"/>
        <v>50969</v>
      </c>
    </row>
    <row r="761" spans="2:2">
      <c r="B761" s="16">
        <f t="shared" si="11"/>
        <v>50976</v>
      </c>
    </row>
    <row r="762" spans="2:2">
      <c r="B762" s="16">
        <f t="shared" si="11"/>
        <v>50983</v>
      </c>
    </row>
    <row r="763" spans="2:2">
      <c r="B763" s="16">
        <f t="shared" si="11"/>
        <v>50990</v>
      </c>
    </row>
    <row r="764" spans="2:2">
      <c r="B764" s="16">
        <f t="shared" si="11"/>
        <v>50997</v>
      </c>
    </row>
    <row r="765" spans="2:2">
      <c r="B765" s="16">
        <f t="shared" si="11"/>
        <v>51004</v>
      </c>
    </row>
    <row r="766" spans="2:2">
      <c r="B766" s="16">
        <f t="shared" si="11"/>
        <v>51011</v>
      </c>
    </row>
    <row r="767" spans="2:2">
      <c r="B767" s="16">
        <f t="shared" si="11"/>
        <v>51018</v>
      </c>
    </row>
    <row r="768" spans="2:2">
      <c r="B768" s="16">
        <f t="shared" si="11"/>
        <v>51025</v>
      </c>
    </row>
    <row r="769" spans="2:2">
      <c r="B769" s="16">
        <f t="shared" si="11"/>
        <v>51032</v>
      </c>
    </row>
    <row r="770" spans="2:2">
      <c r="B770" s="16">
        <f t="shared" si="11"/>
        <v>51039</v>
      </c>
    </row>
    <row r="771" spans="2:2">
      <c r="B771" s="16">
        <f t="shared" si="11"/>
        <v>51046</v>
      </c>
    </row>
    <row r="772" spans="2:2">
      <c r="B772" s="16">
        <f t="shared" ref="B772:B835" si="12">B771+7-WEEKDAY(B771,2)+1</f>
        <v>51053</v>
      </c>
    </row>
    <row r="773" spans="2:2">
      <c r="B773" s="16">
        <f t="shared" si="12"/>
        <v>51060</v>
      </c>
    </row>
    <row r="774" spans="2:2">
      <c r="B774" s="16">
        <f t="shared" si="12"/>
        <v>51067</v>
      </c>
    </row>
    <row r="775" spans="2:2">
      <c r="B775" s="16">
        <f t="shared" si="12"/>
        <v>51074</v>
      </c>
    </row>
    <row r="776" spans="2:2">
      <c r="B776" s="16">
        <f t="shared" si="12"/>
        <v>51081</v>
      </c>
    </row>
    <row r="777" spans="2:2">
      <c r="B777" s="16">
        <f t="shared" si="12"/>
        <v>51088</v>
      </c>
    </row>
    <row r="778" spans="2:2">
      <c r="B778" s="16">
        <f t="shared" si="12"/>
        <v>51095</v>
      </c>
    </row>
    <row r="779" spans="2:2">
      <c r="B779" s="16">
        <f t="shared" si="12"/>
        <v>51102</v>
      </c>
    </row>
    <row r="780" spans="2:2">
      <c r="B780" s="16">
        <f t="shared" si="12"/>
        <v>51109</v>
      </c>
    </row>
    <row r="781" spans="2:2">
      <c r="B781" s="16">
        <f t="shared" si="12"/>
        <v>51116</v>
      </c>
    </row>
    <row r="782" spans="2:2">
      <c r="B782" s="16">
        <f t="shared" si="12"/>
        <v>51123</v>
      </c>
    </row>
    <row r="783" spans="2:2">
      <c r="B783" s="16">
        <f t="shared" si="12"/>
        <v>51130</v>
      </c>
    </row>
    <row r="784" spans="2:2">
      <c r="B784" s="16">
        <f t="shared" si="12"/>
        <v>51137</v>
      </c>
    </row>
    <row r="785" spans="2:2">
      <c r="B785" s="16">
        <f t="shared" si="12"/>
        <v>51144</v>
      </c>
    </row>
    <row r="786" spans="2:2">
      <c r="B786" s="16">
        <f t="shared" si="12"/>
        <v>51151</v>
      </c>
    </row>
    <row r="787" spans="2:2">
      <c r="B787" s="16">
        <f t="shared" si="12"/>
        <v>51158</v>
      </c>
    </row>
    <row r="788" spans="2:2">
      <c r="B788" s="16">
        <f t="shared" si="12"/>
        <v>51165</v>
      </c>
    </row>
    <row r="789" spans="2:2">
      <c r="B789" s="16">
        <f t="shared" si="12"/>
        <v>51172</v>
      </c>
    </row>
    <row r="790" spans="2:2">
      <c r="B790" s="16">
        <f t="shared" si="12"/>
        <v>51179</v>
      </c>
    </row>
    <row r="791" spans="2:2">
      <c r="B791" s="16">
        <f t="shared" si="12"/>
        <v>51186</v>
      </c>
    </row>
    <row r="792" spans="2:2">
      <c r="B792" s="16">
        <f t="shared" si="12"/>
        <v>51193</v>
      </c>
    </row>
    <row r="793" spans="2:2">
      <c r="B793" s="16">
        <f t="shared" si="12"/>
        <v>51200</v>
      </c>
    </row>
    <row r="794" spans="2:2">
      <c r="B794" s="16">
        <f t="shared" si="12"/>
        <v>51207</v>
      </c>
    </row>
    <row r="795" spans="2:2">
      <c r="B795" s="16">
        <f t="shared" si="12"/>
        <v>51214</v>
      </c>
    </row>
    <row r="796" spans="2:2">
      <c r="B796" s="16">
        <f t="shared" si="12"/>
        <v>51221</v>
      </c>
    </row>
    <row r="797" spans="2:2">
      <c r="B797" s="16">
        <f t="shared" si="12"/>
        <v>51228</v>
      </c>
    </row>
    <row r="798" spans="2:2">
      <c r="B798" s="16">
        <f t="shared" si="12"/>
        <v>51235</v>
      </c>
    </row>
    <row r="799" spans="2:2">
      <c r="B799" s="16">
        <f t="shared" si="12"/>
        <v>51242</v>
      </c>
    </row>
    <row r="800" spans="2:2">
      <c r="B800" s="16">
        <f t="shared" si="12"/>
        <v>51249</v>
      </c>
    </row>
    <row r="801" spans="2:2">
      <c r="B801" s="16">
        <f t="shared" si="12"/>
        <v>51256</v>
      </c>
    </row>
    <row r="802" spans="2:2">
      <c r="B802" s="16">
        <f t="shared" si="12"/>
        <v>51263</v>
      </c>
    </row>
    <row r="803" spans="2:2">
      <c r="B803" s="16">
        <f t="shared" si="12"/>
        <v>51270</v>
      </c>
    </row>
    <row r="804" spans="2:2">
      <c r="B804" s="16">
        <f t="shared" si="12"/>
        <v>51277</v>
      </c>
    </row>
    <row r="805" spans="2:2">
      <c r="B805" s="16">
        <f t="shared" si="12"/>
        <v>51284</v>
      </c>
    </row>
    <row r="806" spans="2:2">
      <c r="B806" s="16">
        <f t="shared" si="12"/>
        <v>51291</v>
      </c>
    </row>
    <row r="807" spans="2:2">
      <c r="B807" s="16">
        <f t="shared" si="12"/>
        <v>51298</v>
      </c>
    </row>
    <row r="808" spans="2:2">
      <c r="B808" s="16">
        <f t="shared" si="12"/>
        <v>51305</v>
      </c>
    </row>
    <row r="809" spans="2:2">
      <c r="B809" s="16">
        <f t="shared" si="12"/>
        <v>51312</v>
      </c>
    </row>
    <row r="810" spans="2:2">
      <c r="B810" s="16">
        <f t="shared" si="12"/>
        <v>51319</v>
      </c>
    </row>
    <row r="811" spans="2:2">
      <c r="B811" s="16">
        <f t="shared" si="12"/>
        <v>51326</v>
      </c>
    </row>
    <row r="812" spans="2:2">
      <c r="B812" s="16">
        <f t="shared" si="12"/>
        <v>51333</v>
      </c>
    </row>
    <row r="813" spans="2:2">
      <c r="B813" s="16">
        <f t="shared" si="12"/>
        <v>51340</v>
      </c>
    </row>
    <row r="814" spans="2:2">
      <c r="B814" s="16">
        <f t="shared" si="12"/>
        <v>51347</v>
      </c>
    </row>
    <row r="815" spans="2:2">
      <c r="B815" s="16">
        <f t="shared" si="12"/>
        <v>51354</v>
      </c>
    </row>
    <row r="816" spans="2:2">
      <c r="B816" s="16">
        <f t="shared" si="12"/>
        <v>51361</v>
      </c>
    </row>
    <row r="817" spans="2:2">
      <c r="B817" s="16">
        <f t="shared" si="12"/>
        <v>51368</v>
      </c>
    </row>
    <row r="818" spans="2:2">
      <c r="B818" s="16">
        <f t="shared" si="12"/>
        <v>51375</v>
      </c>
    </row>
    <row r="819" spans="2:2">
      <c r="B819" s="16">
        <f t="shared" si="12"/>
        <v>51382</v>
      </c>
    </row>
    <row r="820" spans="2:2">
      <c r="B820" s="16">
        <f t="shared" si="12"/>
        <v>51389</v>
      </c>
    </row>
    <row r="821" spans="2:2">
      <c r="B821" s="16">
        <f t="shared" si="12"/>
        <v>51396</v>
      </c>
    </row>
    <row r="822" spans="2:2">
      <c r="B822" s="16">
        <f t="shared" si="12"/>
        <v>51403</v>
      </c>
    </row>
    <row r="823" spans="2:2">
      <c r="B823" s="16">
        <f t="shared" si="12"/>
        <v>51410</v>
      </c>
    </row>
    <row r="824" spans="2:2">
      <c r="B824" s="16">
        <f t="shared" si="12"/>
        <v>51417</v>
      </c>
    </row>
    <row r="825" spans="2:2">
      <c r="B825" s="16">
        <f t="shared" si="12"/>
        <v>51424</v>
      </c>
    </row>
    <row r="826" spans="2:2">
      <c r="B826" s="16">
        <f t="shared" si="12"/>
        <v>51431</v>
      </c>
    </row>
    <row r="827" spans="2:2">
      <c r="B827" s="16">
        <f t="shared" si="12"/>
        <v>51438</v>
      </c>
    </row>
    <row r="828" spans="2:2">
      <c r="B828" s="16">
        <f t="shared" si="12"/>
        <v>51445</v>
      </c>
    </row>
    <row r="829" spans="2:2">
      <c r="B829" s="16">
        <f t="shared" si="12"/>
        <v>51452</v>
      </c>
    </row>
    <row r="830" spans="2:2">
      <c r="B830" s="16">
        <f t="shared" si="12"/>
        <v>51459</v>
      </c>
    </row>
    <row r="831" spans="2:2">
      <c r="B831" s="16">
        <f t="shared" si="12"/>
        <v>51466</v>
      </c>
    </row>
    <row r="832" spans="2:2">
      <c r="B832" s="16">
        <f t="shared" si="12"/>
        <v>51473</v>
      </c>
    </row>
    <row r="833" spans="2:2">
      <c r="B833" s="16">
        <f t="shared" si="12"/>
        <v>51480</v>
      </c>
    </row>
    <row r="834" spans="2:2">
      <c r="B834" s="16">
        <f t="shared" si="12"/>
        <v>51487</v>
      </c>
    </row>
    <row r="835" spans="2:2">
      <c r="B835" s="16">
        <f t="shared" si="12"/>
        <v>51494</v>
      </c>
    </row>
    <row r="836" spans="2:2">
      <c r="B836" s="16">
        <f t="shared" ref="B836:B899" si="13">B835+7-WEEKDAY(B835,2)+1</f>
        <v>51501</v>
      </c>
    </row>
    <row r="837" spans="2:2">
      <c r="B837" s="16">
        <f t="shared" si="13"/>
        <v>51508</v>
      </c>
    </row>
    <row r="838" spans="2:2">
      <c r="B838" s="16">
        <f t="shared" si="13"/>
        <v>51515</v>
      </c>
    </row>
    <row r="839" spans="2:2">
      <c r="B839" s="16">
        <f t="shared" si="13"/>
        <v>51522</v>
      </c>
    </row>
    <row r="840" spans="2:2">
      <c r="B840" s="16">
        <f t="shared" si="13"/>
        <v>51529</v>
      </c>
    </row>
    <row r="841" spans="2:2">
      <c r="B841" s="16">
        <f t="shared" si="13"/>
        <v>51536</v>
      </c>
    </row>
    <row r="842" spans="2:2">
      <c r="B842" s="16">
        <f t="shared" si="13"/>
        <v>51543</v>
      </c>
    </row>
    <row r="843" spans="2:2">
      <c r="B843" s="16">
        <f t="shared" si="13"/>
        <v>51550</v>
      </c>
    </row>
    <row r="844" spans="2:2">
      <c r="B844" s="16">
        <f t="shared" si="13"/>
        <v>51557</v>
      </c>
    </row>
    <row r="845" spans="2:2">
      <c r="B845" s="16">
        <f t="shared" si="13"/>
        <v>51564</v>
      </c>
    </row>
    <row r="846" spans="2:2">
      <c r="B846" s="16">
        <f t="shared" si="13"/>
        <v>51571</v>
      </c>
    </row>
    <row r="847" spans="2:2">
      <c r="B847" s="16">
        <f t="shared" si="13"/>
        <v>51578</v>
      </c>
    </row>
    <row r="848" spans="2:2">
      <c r="B848" s="16">
        <f t="shared" si="13"/>
        <v>51585</v>
      </c>
    </row>
    <row r="849" spans="2:2">
      <c r="B849" s="16">
        <f t="shared" si="13"/>
        <v>51592</v>
      </c>
    </row>
    <row r="850" spans="2:2">
      <c r="B850" s="16">
        <f t="shared" si="13"/>
        <v>51599</v>
      </c>
    </row>
    <row r="851" spans="2:2">
      <c r="B851" s="16">
        <f t="shared" si="13"/>
        <v>51606</v>
      </c>
    </row>
    <row r="852" spans="2:2">
      <c r="B852" s="16">
        <f t="shared" si="13"/>
        <v>51613</v>
      </c>
    </row>
    <row r="853" spans="2:2">
      <c r="B853" s="16">
        <f t="shared" si="13"/>
        <v>51620</v>
      </c>
    </row>
    <row r="854" spans="2:2">
      <c r="B854" s="16">
        <f t="shared" si="13"/>
        <v>51627</v>
      </c>
    </row>
    <row r="855" spans="2:2">
      <c r="B855" s="16">
        <f t="shared" si="13"/>
        <v>51634</v>
      </c>
    </row>
    <row r="856" spans="2:2">
      <c r="B856" s="16">
        <f t="shared" si="13"/>
        <v>51641</v>
      </c>
    </row>
    <row r="857" spans="2:2">
      <c r="B857" s="16">
        <f t="shared" si="13"/>
        <v>51648</v>
      </c>
    </row>
    <row r="858" spans="2:2">
      <c r="B858" s="16">
        <f t="shared" si="13"/>
        <v>51655</v>
      </c>
    </row>
    <row r="859" spans="2:2">
      <c r="B859" s="16">
        <f t="shared" si="13"/>
        <v>51662</v>
      </c>
    </row>
    <row r="860" spans="2:2">
      <c r="B860" s="16">
        <f t="shared" si="13"/>
        <v>51669</v>
      </c>
    </row>
    <row r="861" spans="2:2">
      <c r="B861" s="16">
        <f t="shared" si="13"/>
        <v>51676</v>
      </c>
    </row>
    <row r="862" spans="2:2">
      <c r="B862" s="16">
        <f t="shared" si="13"/>
        <v>51683</v>
      </c>
    </row>
    <row r="863" spans="2:2">
      <c r="B863" s="16">
        <f t="shared" si="13"/>
        <v>51690</v>
      </c>
    </row>
    <row r="864" spans="2:2">
      <c r="B864" s="16">
        <f t="shared" si="13"/>
        <v>51697</v>
      </c>
    </row>
    <row r="865" spans="2:2">
      <c r="B865" s="16">
        <f t="shared" si="13"/>
        <v>51704</v>
      </c>
    </row>
    <row r="866" spans="2:2">
      <c r="B866" s="16">
        <f t="shared" si="13"/>
        <v>51711</v>
      </c>
    </row>
    <row r="867" spans="2:2">
      <c r="B867" s="16">
        <f t="shared" si="13"/>
        <v>51718</v>
      </c>
    </row>
    <row r="868" spans="2:2">
      <c r="B868" s="16">
        <f t="shared" si="13"/>
        <v>51725</v>
      </c>
    </row>
    <row r="869" spans="2:2">
      <c r="B869" s="16">
        <f t="shared" si="13"/>
        <v>51732</v>
      </c>
    </row>
    <row r="870" spans="2:2">
      <c r="B870" s="16">
        <f t="shared" si="13"/>
        <v>51739</v>
      </c>
    </row>
    <row r="871" spans="2:2">
      <c r="B871" s="16">
        <f t="shared" si="13"/>
        <v>51746</v>
      </c>
    </row>
    <row r="872" spans="2:2">
      <c r="B872" s="16">
        <f t="shared" si="13"/>
        <v>51753</v>
      </c>
    </row>
    <row r="873" spans="2:2">
      <c r="B873" s="16">
        <f t="shared" si="13"/>
        <v>51760</v>
      </c>
    </row>
    <row r="874" spans="2:2">
      <c r="B874" s="16">
        <f t="shared" si="13"/>
        <v>51767</v>
      </c>
    </row>
    <row r="875" spans="2:2">
      <c r="B875" s="16">
        <f t="shared" si="13"/>
        <v>51774</v>
      </c>
    </row>
    <row r="876" spans="2:2">
      <c r="B876" s="16">
        <f t="shared" si="13"/>
        <v>51781</v>
      </c>
    </row>
    <row r="877" spans="2:2">
      <c r="B877" s="16">
        <f t="shared" si="13"/>
        <v>51788</v>
      </c>
    </row>
    <row r="878" spans="2:2">
      <c r="B878" s="16">
        <f t="shared" si="13"/>
        <v>51795</v>
      </c>
    </row>
    <row r="879" spans="2:2">
      <c r="B879" s="16">
        <f t="shared" si="13"/>
        <v>51802</v>
      </c>
    </row>
    <row r="880" spans="2:2">
      <c r="B880" s="16">
        <f t="shared" si="13"/>
        <v>51809</v>
      </c>
    </row>
    <row r="881" spans="2:2">
      <c r="B881" s="16">
        <f t="shared" si="13"/>
        <v>51816</v>
      </c>
    </row>
    <row r="882" spans="2:2">
      <c r="B882" s="16">
        <f t="shared" si="13"/>
        <v>51823</v>
      </c>
    </row>
    <row r="883" spans="2:2">
      <c r="B883" s="16">
        <f t="shared" si="13"/>
        <v>51830</v>
      </c>
    </row>
    <row r="884" spans="2:2">
      <c r="B884" s="16">
        <f t="shared" si="13"/>
        <v>51837</v>
      </c>
    </row>
    <row r="885" spans="2:2">
      <c r="B885" s="16">
        <f t="shared" si="13"/>
        <v>51844</v>
      </c>
    </row>
    <row r="886" spans="2:2">
      <c r="B886" s="16">
        <f t="shared" si="13"/>
        <v>51851</v>
      </c>
    </row>
    <row r="887" spans="2:2">
      <c r="B887" s="16">
        <f t="shared" si="13"/>
        <v>51858</v>
      </c>
    </row>
    <row r="888" spans="2:2">
      <c r="B888" s="16">
        <f t="shared" si="13"/>
        <v>51865</v>
      </c>
    </row>
    <row r="889" spans="2:2">
      <c r="B889" s="16">
        <f t="shared" si="13"/>
        <v>51872</v>
      </c>
    </row>
    <row r="890" spans="2:2">
      <c r="B890" s="16">
        <f t="shared" si="13"/>
        <v>51879</v>
      </c>
    </row>
    <row r="891" spans="2:2">
      <c r="B891" s="16">
        <f t="shared" si="13"/>
        <v>51886</v>
      </c>
    </row>
    <row r="892" spans="2:2">
      <c r="B892" s="16">
        <f t="shared" si="13"/>
        <v>51893</v>
      </c>
    </row>
    <row r="893" spans="2:2">
      <c r="B893" s="16">
        <f t="shared" si="13"/>
        <v>51900</v>
      </c>
    </row>
    <row r="894" spans="2:2">
      <c r="B894" s="16">
        <f t="shared" si="13"/>
        <v>51907</v>
      </c>
    </row>
    <row r="895" spans="2:2">
      <c r="B895" s="16">
        <f t="shared" si="13"/>
        <v>51914</v>
      </c>
    </row>
    <row r="896" spans="2:2">
      <c r="B896" s="16">
        <f t="shared" si="13"/>
        <v>51921</v>
      </c>
    </row>
    <row r="897" spans="2:2">
      <c r="B897" s="16">
        <f t="shared" si="13"/>
        <v>51928</v>
      </c>
    </row>
    <row r="898" spans="2:2">
      <c r="B898" s="16">
        <f t="shared" si="13"/>
        <v>51935</v>
      </c>
    </row>
    <row r="899" spans="2:2">
      <c r="B899" s="16">
        <f t="shared" si="13"/>
        <v>51942</v>
      </c>
    </row>
    <row r="900" spans="2:2">
      <c r="B900" s="16">
        <f t="shared" ref="B900:B963" si="14">B899+7-WEEKDAY(B899,2)+1</f>
        <v>51949</v>
      </c>
    </row>
    <row r="901" spans="2:2">
      <c r="B901" s="16">
        <f t="shared" si="14"/>
        <v>51956</v>
      </c>
    </row>
    <row r="902" spans="2:2">
      <c r="B902" s="16">
        <f t="shared" si="14"/>
        <v>51963</v>
      </c>
    </row>
    <row r="903" spans="2:2">
      <c r="B903" s="16">
        <f t="shared" si="14"/>
        <v>51970</v>
      </c>
    </row>
    <row r="904" spans="2:2">
      <c r="B904" s="16">
        <f t="shared" si="14"/>
        <v>51977</v>
      </c>
    </row>
    <row r="905" spans="2:2">
      <c r="B905" s="16">
        <f t="shared" si="14"/>
        <v>51984</v>
      </c>
    </row>
    <row r="906" spans="2:2">
      <c r="B906" s="16">
        <f t="shared" si="14"/>
        <v>51991</v>
      </c>
    </row>
    <row r="907" spans="2:2">
      <c r="B907" s="16">
        <f t="shared" si="14"/>
        <v>51998</v>
      </c>
    </row>
    <row r="908" spans="2:2">
      <c r="B908" s="16">
        <f t="shared" si="14"/>
        <v>52005</v>
      </c>
    </row>
    <row r="909" spans="2:2">
      <c r="B909" s="16">
        <f t="shared" si="14"/>
        <v>52012</v>
      </c>
    </row>
    <row r="910" spans="2:2">
      <c r="B910" s="16">
        <f t="shared" si="14"/>
        <v>52019</v>
      </c>
    </row>
    <row r="911" spans="2:2">
      <c r="B911" s="16">
        <f t="shared" si="14"/>
        <v>52026</v>
      </c>
    </row>
    <row r="912" spans="2:2">
      <c r="B912" s="16">
        <f t="shared" si="14"/>
        <v>52033</v>
      </c>
    </row>
    <row r="913" spans="2:2">
      <c r="B913" s="16">
        <f t="shared" si="14"/>
        <v>52040</v>
      </c>
    </row>
    <row r="914" spans="2:2">
      <c r="B914" s="16">
        <f t="shared" si="14"/>
        <v>52047</v>
      </c>
    </row>
    <row r="915" spans="2:2">
      <c r="B915" s="16">
        <f t="shared" si="14"/>
        <v>52054</v>
      </c>
    </row>
    <row r="916" spans="2:2">
      <c r="B916" s="16">
        <f t="shared" si="14"/>
        <v>52061</v>
      </c>
    </row>
    <row r="917" spans="2:2">
      <c r="B917" s="16">
        <f t="shared" si="14"/>
        <v>52068</v>
      </c>
    </row>
    <row r="918" spans="2:2">
      <c r="B918" s="16">
        <f t="shared" si="14"/>
        <v>52075</v>
      </c>
    </row>
    <row r="919" spans="2:2">
      <c r="B919" s="16">
        <f t="shared" si="14"/>
        <v>52082</v>
      </c>
    </row>
    <row r="920" spans="2:2">
      <c r="B920" s="16">
        <f t="shared" si="14"/>
        <v>52089</v>
      </c>
    </row>
    <row r="921" spans="2:2">
      <c r="B921" s="16">
        <f t="shared" si="14"/>
        <v>52096</v>
      </c>
    </row>
    <row r="922" spans="2:2">
      <c r="B922" s="16">
        <f t="shared" si="14"/>
        <v>52103</v>
      </c>
    </row>
    <row r="923" spans="2:2">
      <c r="B923" s="16">
        <f t="shared" si="14"/>
        <v>52110</v>
      </c>
    </row>
    <row r="924" spans="2:2">
      <c r="B924" s="16">
        <f t="shared" si="14"/>
        <v>52117</v>
      </c>
    </row>
    <row r="925" spans="2:2">
      <c r="B925" s="16">
        <f t="shared" si="14"/>
        <v>52124</v>
      </c>
    </row>
    <row r="926" spans="2:2">
      <c r="B926" s="16">
        <f t="shared" si="14"/>
        <v>52131</v>
      </c>
    </row>
    <row r="927" spans="2:2">
      <c r="B927" s="16">
        <f t="shared" si="14"/>
        <v>52138</v>
      </c>
    </row>
    <row r="928" spans="2:2">
      <c r="B928" s="16">
        <f t="shared" si="14"/>
        <v>52145</v>
      </c>
    </row>
    <row r="929" spans="2:2">
      <c r="B929" s="16">
        <f t="shared" si="14"/>
        <v>52152</v>
      </c>
    </row>
    <row r="930" spans="2:2">
      <c r="B930" s="16">
        <f t="shared" si="14"/>
        <v>52159</v>
      </c>
    </row>
    <row r="931" spans="2:2">
      <c r="B931" s="16">
        <f t="shared" si="14"/>
        <v>52166</v>
      </c>
    </row>
    <row r="932" spans="2:2">
      <c r="B932" s="16">
        <f t="shared" si="14"/>
        <v>52173</v>
      </c>
    </row>
    <row r="933" spans="2:2">
      <c r="B933" s="16">
        <f t="shared" si="14"/>
        <v>52180</v>
      </c>
    </row>
    <row r="934" spans="2:2">
      <c r="B934" s="16">
        <f t="shared" si="14"/>
        <v>52187</v>
      </c>
    </row>
    <row r="935" spans="2:2">
      <c r="B935" s="16">
        <f t="shared" si="14"/>
        <v>52194</v>
      </c>
    </row>
    <row r="936" spans="2:2">
      <c r="B936" s="16">
        <f t="shared" si="14"/>
        <v>52201</v>
      </c>
    </row>
    <row r="937" spans="2:2">
      <c r="B937" s="16">
        <f t="shared" si="14"/>
        <v>52208</v>
      </c>
    </row>
    <row r="938" spans="2:2">
      <c r="B938" s="16">
        <f t="shared" si="14"/>
        <v>52215</v>
      </c>
    </row>
    <row r="939" spans="2:2">
      <c r="B939" s="16">
        <f t="shared" si="14"/>
        <v>52222</v>
      </c>
    </row>
    <row r="940" spans="2:2">
      <c r="B940" s="16">
        <f t="shared" si="14"/>
        <v>52229</v>
      </c>
    </row>
    <row r="941" spans="2:2">
      <c r="B941" s="16">
        <f t="shared" si="14"/>
        <v>52236</v>
      </c>
    </row>
    <row r="942" spans="2:2">
      <c r="B942" s="16">
        <f t="shared" si="14"/>
        <v>52243</v>
      </c>
    </row>
    <row r="943" spans="2:2">
      <c r="B943" s="16">
        <f t="shared" si="14"/>
        <v>52250</v>
      </c>
    </row>
    <row r="944" spans="2:2">
      <c r="B944" s="16">
        <f t="shared" si="14"/>
        <v>52257</v>
      </c>
    </row>
    <row r="945" spans="2:2">
      <c r="B945" s="16">
        <f t="shared" si="14"/>
        <v>52264</v>
      </c>
    </row>
    <row r="946" spans="2:2">
      <c r="B946" s="16">
        <f t="shared" si="14"/>
        <v>52271</v>
      </c>
    </row>
    <row r="947" spans="2:2">
      <c r="B947" s="16">
        <f t="shared" si="14"/>
        <v>52278</v>
      </c>
    </row>
    <row r="948" spans="2:2">
      <c r="B948" s="16">
        <f t="shared" si="14"/>
        <v>52285</v>
      </c>
    </row>
    <row r="949" spans="2:2">
      <c r="B949" s="16">
        <f t="shared" si="14"/>
        <v>52292</v>
      </c>
    </row>
    <row r="950" spans="2:2">
      <c r="B950" s="16">
        <f t="shared" si="14"/>
        <v>52299</v>
      </c>
    </row>
    <row r="951" spans="2:2">
      <c r="B951" s="16">
        <f t="shared" si="14"/>
        <v>52306</v>
      </c>
    </row>
    <row r="952" spans="2:2">
      <c r="B952" s="16">
        <f t="shared" si="14"/>
        <v>52313</v>
      </c>
    </row>
    <row r="953" spans="2:2">
      <c r="B953" s="16">
        <f t="shared" si="14"/>
        <v>52320</v>
      </c>
    </row>
    <row r="954" spans="2:2">
      <c r="B954" s="16">
        <f t="shared" si="14"/>
        <v>52327</v>
      </c>
    </row>
    <row r="955" spans="2:2">
      <c r="B955" s="16">
        <f t="shared" si="14"/>
        <v>52334</v>
      </c>
    </row>
    <row r="956" spans="2:2">
      <c r="B956" s="16">
        <f t="shared" si="14"/>
        <v>52341</v>
      </c>
    </row>
    <row r="957" spans="2:2">
      <c r="B957" s="16">
        <f t="shared" si="14"/>
        <v>52348</v>
      </c>
    </row>
    <row r="958" spans="2:2">
      <c r="B958" s="16">
        <f t="shared" si="14"/>
        <v>52355</v>
      </c>
    </row>
    <row r="959" spans="2:2">
      <c r="B959" s="16">
        <f t="shared" si="14"/>
        <v>52362</v>
      </c>
    </row>
    <row r="960" spans="2:2">
      <c r="B960" s="16">
        <f t="shared" si="14"/>
        <v>52369</v>
      </c>
    </row>
    <row r="961" spans="2:2">
      <c r="B961" s="16">
        <f t="shared" si="14"/>
        <v>52376</v>
      </c>
    </row>
    <row r="962" spans="2:2">
      <c r="B962" s="16">
        <f t="shared" si="14"/>
        <v>52383</v>
      </c>
    </row>
    <row r="963" spans="2:2">
      <c r="B963" s="16">
        <f t="shared" si="14"/>
        <v>52390</v>
      </c>
    </row>
    <row r="964" spans="2:2">
      <c r="B964" s="16">
        <f t="shared" ref="B964:B1024" si="15">B963+7-WEEKDAY(B963,2)+1</f>
        <v>52397</v>
      </c>
    </row>
    <row r="965" spans="2:2">
      <c r="B965" s="16">
        <f t="shared" si="15"/>
        <v>52404</v>
      </c>
    </row>
    <row r="966" spans="2:2">
      <c r="B966" s="16">
        <f t="shared" si="15"/>
        <v>52411</v>
      </c>
    </row>
    <row r="967" spans="2:2">
      <c r="B967" s="16">
        <f t="shared" si="15"/>
        <v>52418</v>
      </c>
    </row>
    <row r="968" spans="2:2">
      <c r="B968" s="16">
        <f t="shared" si="15"/>
        <v>52425</v>
      </c>
    </row>
    <row r="969" spans="2:2">
      <c r="B969" s="16">
        <f t="shared" si="15"/>
        <v>52432</v>
      </c>
    </row>
    <row r="970" spans="2:2">
      <c r="B970" s="16">
        <f t="shared" si="15"/>
        <v>52439</v>
      </c>
    </row>
    <row r="971" spans="2:2">
      <c r="B971" s="16">
        <f t="shared" si="15"/>
        <v>52446</v>
      </c>
    </row>
    <row r="972" spans="2:2">
      <c r="B972" s="16">
        <f t="shared" si="15"/>
        <v>52453</v>
      </c>
    </row>
    <row r="973" spans="2:2">
      <c r="B973" s="16">
        <f t="shared" si="15"/>
        <v>52460</v>
      </c>
    </row>
    <row r="974" spans="2:2">
      <c r="B974" s="16">
        <f t="shared" si="15"/>
        <v>52467</v>
      </c>
    </row>
    <row r="975" spans="2:2">
      <c r="B975" s="16">
        <f t="shared" si="15"/>
        <v>52474</v>
      </c>
    </row>
    <row r="976" spans="2:2">
      <c r="B976" s="16">
        <f t="shared" si="15"/>
        <v>52481</v>
      </c>
    </row>
    <row r="977" spans="2:2">
      <c r="B977" s="16">
        <f t="shared" si="15"/>
        <v>52488</v>
      </c>
    </row>
    <row r="978" spans="2:2">
      <c r="B978" s="16">
        <f t="shared" si="15"/>
        <v>52495</v>
      </c>
    </row>
    <row r="979" spans="2:2">
      <c r="B979" s="16">
        <f t="shared" si="15"/>
        <v>52502</v>
      </c>
    </row>
    <row r="980" spans="2:2">
      <c r="B980" s="16">
        <f t="shared" si="15"/>
        <v>52509</v>
      </c>
    </row>
    <row r="981" spans="2:2">
      <c r="B981" s="16">
        <f t="shared" si="15"/>
        <v>52516</v>
      </c>
    </row>
    <row r="982" spans="2:2">
      <c r="B982" s="16">
        <f t="shared" si="15"/>
        <v>52523</v>
      </c>
    </row>
    <row r="983" spans="2:2">
      <c r="B983" s="16">
        <f t="shared" si="15"/>
        <v>52530</v>
      </c>
    </row>
    <row r="984" spans="2:2">
      <c r="B984" s="16">
        <f t="shared" si="15"/>
        <v>52537</v>
      </c>
    </row>
    <row r="985" spans="2:2">
      <c r="B985" s="16">
        <f t="shared" si="15"/>
        <v>52544</v>
      </c>
    </row>
    <row r="986" spans="2:2">
      <c r="B986" s="16">
        <f t="shared" si="15"/>
        <v>52551</v>
      </c>
    </row>
    <row r="987" spans="2:2">
      <c r="B987" s="16">
        <f t="shared" si="15"/>
        <v>52558</v>
      </c>
    </row>
    <row r="988" spans="2:2">
      <c r="B988" s="16">
        <f t="shared" si="15"/>
        <v>52565</v>
      </c>
    </row>
    <row r="989" spans="2:2">
      <c r="B989" s="16">
        <f t="shared" si="15"/>
        <v>52572</v>
      </c>
    </row>
    <row r="990" spans="2:2">
      <c r="B990" s="16">
        <f t="shared" si="15"/>
        <v>52579</v>
      </c>
    </row>
    <row r="991" spans="2:2">
      <c r="B991" s="16">
        <f t="shared" si="15"/>
        <v>52586</v>
      </c>
    </row>
    <row r="992" spans="2:2">
      <c r="B992" s="16">
        <f t="shared" si="15"/>
        <v>52593</v>
      </c>
    </row>
    <row r="993" spans="2:2">
      <c r="B993" s="16">
        <f t="shared" si="15"/>
        <v>52600</v>
      </c>
    </row>
    <row r="994" spans="2:2">
      <c r="B994" s="16">
        <f t="shared" si="15"/>
        <v>52607</v>
      </c>
    </row>
    <row r="995" spans="2:2">
      <c r="B995" s="16">
        <f t="shared" si="15"/>
        <v>52614</v>
      </c>
    </row>
    <row r="996" spans="2:2">
      <c r="B996" s="16">
        <f t="shared" si="15"/>
        <v>52621</v>
      </c>
    </row>
    <row r="997" spans="2:2">
      <c r="B997" s="16">
        <f t="shared" si="15"/>
        <v>52628</v>
      </c>
    </row>
    <row r="998" spans="2:2">
      <c r="B998" s="16">
        <f t="shared" si="15"/>
        <v>52635</v>
      </c>
    </row>
    <row r="999" spans="2:2">
      <c r="B999" s="16">
        <f t="shared" si="15"/>
        <v>52642</v>
      </c>
    </row>
    <row r="1000" spans="2:2">
      <c r="B1000" s="16">
        <f t="shared" si="15"/>
        <v>52649</v>
      </c>
    </row>
    <row r="1001" spans="2:2">
      <c r="B1001" s="16">
        <f t="shared" si="15"/>
        <v>52656</v>
      </c>
    </row>
    <row r="1002" spans="2:2">
      <c r="B1002" s="16">
        <f t="shared" si="15"/>
        <v>52663</v>
      </c>
    </row>
    <row r="1003" spans="2:2">
      <c r="B1003" s="16">
        <f t="shared" si="15"/>
        <v>52670</v>
      </c>
    </row>
    <row r="1004" spans="2:2">
      <c r="B1004" s="16">
        <f t="shared" si="15"/>
        <v>52677</v>
      </c>
    </row>
    <row r="1005" spans="2:2">
      <c r="B1005" s="16">
        <f t="shared" si="15"/>
        <v>52684</v>
      </c>
    </row>
    <row r="1006" spans="2:2">
      <c r="B1006" s="16">
        <f t="shared" si="15"/>
        <v>52691</v>
      </c>
    </row>
    <row r="1007" spans="2:2">
      <c r="B1007" s="16">
        <f t="shared" si="15"/>
        <v>52698</v>
      </c>
    </row>
    <row r="1008" spans="2:2">
      <c r="B1008" s="16">
        <f t="shared" si="15"/>
        <v>52705</v>
      </c>
    </row>
    <row r="1009" spans="2:2">
      <c r="B1009" s="16">
        <f t="shared" si="15"/>
        <v>52712</v>
      </c>
    </row>
    <row r="1010" spans="2:2">
      <c r="B1010" s="16">
        <f t="shared" si="15"/>
        <v>52719</v>
      </c>
    </row>
    <row r="1011" spans="2:2">
      <c r="B1011" s="16">
        <f t="shared" si="15"/>
        <v>52726</v>
      </c>
    </row>
    <row r="1012" spans="2:2">
      <c r="B1012" s="16">
        <f t="shared" si="15"/>
        <v>52733</v>
      </c>
    </row>
    <row r="1013" spans="2:2">
      <c r="B1013" s="16">
        <f t="shared" si="15"/>
        <v>52740</v>
      </c>
    </row>
    <row r="1014" spans="2:2">
      <c r="B1014" s="16">
        <f t="shared" si="15"/>
        <v>52747</v>
      </c>
    </row>
    <row r="1015" spans="2:2">
      <c r="B1015" s="16">
        <f t="shared" si="15"/>
        <v>52754</v>
      </c>
    </row>
    <row r="1016" spans="2:2">
      <c r="B1016" s="16">
        <f t="shared" si="15"/>
        <v>52761</v>
      </c>
    </row>
    <row r="1017" spans="2:2">
      <c r="B1017" s="16">
        <f t="shared" si="15"/>
        <v>52768</v>
      </c>
    </row>
    <row r="1018" spans="2:2">
      <c r="B1018" s="16">
        <f t="shared" si="15"/>
        <v>52775</v>
      </c>
    </row>
    <row r="1019" spans="2:2">
      <c r="B1019" s="16">
        <f t="shared" si="15"/>
        <v>52782</v>
      </c>
    </row>
    <row r="1020" spans="2:2">
      <c r="B1020" s="16">
        <f t="shared" si="15"/>
        <v>52789</v>
      </c>
    </row>
    <row r="1021" spans="2:2">
      <c r="B1021" s="16">
        <f t="shared" si="15"/>
        <v>52796</v>
      </c>
    </row>
    <row r="1022" spans="2:2">
      <c r="B1022" s="16">
        <f t="shared" si="15"/>
        <v>52803</v>
      </c>
    </row>
    <row r="1023" spans="2:2">
      <c r="B1023" s="16">
        <f t="shared" si="15"/>
        <v>52810</v>
      </c>
    </row>
    <row r="1024" spans="2:2">
      <c r="B1024" s="16">
        <f t="shared" si="15"/>
        <v>52817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Floor-wise</vt:lpstr>
      <vt:lpstr>S-Curve Wkly</vt:lpstr>
      <vt:lpstr>S-Curve Monthly</vt:lpstr>
      <vt:lpstr>DB</vt:lpstr>
      <vt:lpstr>Master_Data</vt:lpstr>
      <vt:lpstr>DRG_Status</vt:lpstr>
      <vt:lpstr>Sheet3</vt:lpstr>
      <vt:lpstr>S_Curve_Data</vt:lpstr>
      <vt:lpstr>Mappings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dc:creator>
  <cp:lastModifiedBy>Santosh Jadhav</cp:lastModifiedBy>
  <dcterms:created xsi:type="dcterms:W3CDTF">2015-06-05T18:17:20Z</dcterms:created>
  <dcterms:modified xsi:type="dcterms:W3CDTF">2026-08-17T06:24:23Z</dcterms:modified>
</cp:coreProperties>
</file>