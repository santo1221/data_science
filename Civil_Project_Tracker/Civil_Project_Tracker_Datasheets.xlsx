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imelineCaches/timelineCache4.xml" ContentType="application/vnd.ms-excel.timelineCache+xml"/>
  <Override PartName="/xl/timelineCaches/timelineCache5.xml" ContentType="application/vnd.ms-excel.timelineCache+xml"/>
  <Override PartName="/xl/timelineCaches/timelineCache6.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timelines/timeline2.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S:\Santosh\data_science\data_science\Civil_Project_Tracker\"/>
    </mc:Choice>
  </mc:AlternateContent>
  <xr:revisionPtr revIDLastSave="0" documentId="13_ncr:1_{F40D0D0B-6C99-4D04-BA32-3820A640E87C}" xr6:coauthVersionLast="47" xr6:coauthVersionMax="47" xr10:uidLastSave="{00000000-0000-0000-0000-000000000000}"/>
  <bookViews>
    <workbookView xWindow="-110" yWindow="-110" windowWidth="19420" windowHeight="10300" activeTab="7" xr2:uid="{00000000-000D-0000-FFFF-FFFF00000000}"/>
  </bookViews>
  <sheets>
    <sheet name="Floor-wise" sheetId="11" r:id="rId1"/>
    <sheet name="S-Curve Wkly" sheetId="8" r:id="rId2"/>
    <sheet name="S-Curve Monthly" sheetId="12" r:id="rId3"/>
    <sheet name="DB" sheetId="13" r:id="rId4"/>
    <sheet name="Master_Data" sheetId="6" r:id="rId5"/>
    <sheet name="DRG_Status" sheetId="5" r:id="rId6"/>
    <sheet name="S_Curve_Data" sheetId="7" r:id="rId7"/>
    <sheet name="Mappings" sheetId="2" r:id="rId8"/>
  </sheets>
  <definedNames>
    <definedName name="_xlnm._FilterDatabase" localSheetId="5" hidden="1">DRG_Status!$A$1:$J$543</definedName>
    <definedName name="_xlnm._FilterDatabase" localSheetId="4" hidden="1">Master_Data!$A$1:$Q$543</definedName>
    <definedName name="NativeTimeline_Rpt_Month">#N/A</definedName>
    <definedName name="NativeTimeline_Rpt_Month1">#N/A</definedName>
    <definedName name="NativeTimeline_Rpt_Month2">#N/A</definedName>
    <definedName name="NativeTimeline_Rpt_Week">#N/A</definedName>
    <definedName name="NativeTimeline_Rpt_Week1">#N/A</definedName>
    <definedName name="NativeTimeline_Rpt_Week2">#N/A</definedName>
    <definedName name="Slicer_Discipline">#N/A</definedName>
    <definedName name="Slicer_Discipline1">#N/A</definedName>
  </definedNames>
  <calcPr calcId="191029"/>
  <pivotCaches>
    <pivotCache cacheId="8" r:id="rId9"/>
    <pivotCache cacheId="9" r:id="rId10"/>
    <pivotCache cacheId="10" r:id="rId11"/>
    <pivotCache cacheId="11" r:id="rId12"/>
    <pivotCache cacheId="12" r:id="rId13"/>
    <pivotCache cacheId="13" r:id="rId14"/>
    <pivotCache cacheId="14" r:id="rId15"/>
    <pivotCache cacheId="15"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9"/>
        <x15:timelineCacheRef r:id="rId20"/>
        <x15:timelineCacheRef r:id="rId21"/>
        <x15:timelineCacheRef r:id="rId22"/>
        <x15:timelineCacheRef r:id="rId23"/>
        <x15:timelineCacheRef r:id="rId24"/>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7" i="13" l="1"/>
  <c r="D40" i="13" s="1"/>
  <c r="D42" i="13" s="1"/>
  <c r="H26" i="13"/>
  <c r="H25" i="13"/>
  <c r="G27" i="13"/>
  <c r="G26" i="13"/>
  <c r="G25" i="13"/>
  <c r="F26" i="13"/>
  <c r="F27" i="13"/>
  <c r="F25" i="13"/>
  <c r="AS4" i="7" a="1"/>
  <c r="AS5" i="7" a="1"/>
  <c r="AS6" i="7" a="1"/>
  <c r="AS7" i="7" a="1"/>
  <c r="AS8" i="7" a="1"/>
  <c r="AS9" i="7" a="1"/>
  <c r="AS10" i="7" a="1"/>
  <c r="AS11" i="7" a="1"/>
  <c r="AS12" i="7" a="1"/>
  <c r="AS13" i="7" a="1"/>
  <c r="AS14" i="7" a="1"/>
  <c r="AS15" i="7" a="1"/>
  <c r="AS16" i="7" a="1"/>
  <c r="AS17" i="7" a="1"/>
  <c r="AS18" i="7" a="1"/>
  <c r="AS19" i="7" a="1"/>
  <c r="AS20" i="7" a="1"/>
  <c r="AS21" i="7" a="1"/>
  <c r="AS22" i="7" a="1"/>
  <c r="AS3" i="7" a="1"/>
  <c r="AR4" i="7" a="1"/>
  <c r="AR5" i="7" a="1"/>
  <c r="AR6" i="7" a="1"/>
  <c r="AR7" i="7" a="1"/>
  <c r="AR8" i="7" a="1"/>
  <c r="AR9" i="7" a="1"/>
  <c r="AR10" i="7" a="1"/>
  <c r="AR11" i="7" a="1"/>
  <c r="AR12" i="7" a="1"/>
  <c r="AR13" i="7" a="1"/>
  <c r="AR14" i="7" a="1"/>
  <c r="AR15" i="7" a="1"/>
  <c r="AR16" i="7" a="1"/>
  <c r="AR17" i="7" a="1"/>
  <c r="AR18" i="7" a="1"/>
  <c r="AR19" i="7" a="1"/>
  <c r="AR20" i="7" a="1"/>
  <c r="AR21" i="7" a="1"/>
  <c r="AR22" i="7" a="1"/>
  <c r="AR3" i="7" a="1"/>
  <c r="AQ4" i="7" a="1"/>
  <c r="AQ5" i="7" a="1"/>
  <c r="AQ6" i="7" a="1"/>
  <c r="AQ7" i="7" a="1"/>
  <c r="AQ8" i="7" a="1"/>
  <c r="AQ9" i="7" a="1"/>
  <c r="AQ10" i="7" a="1"/>
  <c r="AQ11" i="7" a="1"/>
  <c r="AQ12" i="7" a="1"/>
  <c r="AQ13" i="7" a="1"/>
  <c r="AQ14" i="7" a="1"/>
  <c r="AQ15" i="7" a="1"/>
  <c r="AQ16" i="7" a="1"/>
  <c r="AQ17" i="7" a="1"/>
  <c r="AQ18" i="7" a="1"/>
  <c r="AQ19" i="7" a="1"/>
  <c r="AQ20" i="7" a="1"/>
  <c r="AQ21" i="7" a="1"/>
  <c r="AQ22" i="7" a="1"/>
  <c r="AQ3" i="7" a="1"/>
  <c r="AP4" i="7" a="1"/>
  <c r="AP5" i="7" a="1"/>
  <c r="AP6" i="7" a="1"/>
  <c r="AP7" i="7" a="1"/>
  <c r="AP8" i="7" a="1"/>
  <c r="AP9" i="7" a="1"/>
  <c r="AP10" i="7" a="1"/>
  <c r="AP11" i="7" a="1"/>
  <c r="AP12" i="7" a="1"/>
  <c r="AP13" i="7" a="1"/>
  <c r="AP14" i="7" a="1"/>
  <c r="AP15" i="7" a="1"/>
  <c r="AP16" i="7" a="1"/>
  <c r="AP17" i="7" a="1"/>
  <c r="AP18" i="7" a="1"/>
  <c r="AP19" i="7" a="1"/>
  <c r="AP20" i="7" a="1"/>
  <c r="AP21" i="7" a="1"/>
  <c r="AP22" i="7" a="1"/>
  <c r="AP3" i="7" a="1"/>
  <c r="AI4" i="7" a="1"/>
  <c r="AI5" i="7" a="1"/>
  <c r="AI10" i="7" a="1"/>
  <c r="AI12" i="7" a="1"/>
  <c r="AI13" i="7" a="1"/>
  <c r="AI14" i="7" a="1"/>
  <c r="AI15" i="7" a="1"/>
  <c r="AI16" i="7" a="1"/>
  <c r="AI17" i="7" a="1"/>
  <c r="AI18" i="7" a="1"/>
  <c r="AI19" i="7" a="1"/>
  <c r="AI20" i="7" a="1"/>
  <c r="AI21" i="7" a="1"/>
  <c r="AI22" i="7" a="1"/>
  <c r="AI3" i="7" a="1"/>
  <c r="AP1" i="7"/>
  <c r="AI1" i="7"/>
  <c r="AE4" i="7" a="1"/>
  <c r="AE5" i="7" a="1"/>
  <c r="AE6" i="7" a="1"/>
  <c r="AE7" i="7" a="1"/>
  <c r="AE8" i="7" a="1"/>
  <c r="AE9" i="7" a="1"/>
  <c r="AE10" i="7" a="1"/>
  <c r="AE11" i="7" a="1"/>
  <c r="AE12" i="7" a="1"/>
  <c r="AE13" i="7" a="1"/>
  <c r="AE14" i="7" a="1"/>
  <c r="AE15" i="7" a="1"/>
  <c r="AE16" i="7" a="1"/>
  <c r="AE17" i="7" a="1"/>
  <c r="AE18" i="7" a="1"/>
  <c r="AE19" i="7" a="1"/>
  <c r="AE20" i="7" a="1"/>
  <c r="AE21" i="7" a="1"/>
  <c r="AE22" i="7" a="1"/>
  <c r="AE3" i="7" a="1"/>
  <c r="AD4" i="7" a="1"/>
  <c r="AD5" i="7" a="1"/>
  <c r="AD6" i="7" a="1"/>
  <c r="AD7" i="7" a="1"/>
  <c r="AD8" i="7" a="1"/>
  <c r="AD9" i="7" a="1"/>
  <c r="AD10" i="7" a="1"/>
  <c r="AD11" i="7" a="1"/>
  <c r="AD12" i="7" a="1"/>
  <c r="AD13" i="7" a="1"/>
  <c r="AD14" i="7" a="1"/>
  <c r="AD15" i="7" a="1"/>
  <c r="AD16" i="7" a="1"/>
  <c r="AD17" i="7" a="1"/>
  <c r="AD18" i="7" a="1"/>
  <c r="AD19" i="7" a="1"/>
  <c r="AD20" i="7" a="1"/>
  <c r="AD21" i="7" a="1"/>
  <c r="AD22" i="7" a="1"/>
  <c r="AD3" i="7" a="1"/>
  <c r="AC4" i="7" a="1"/>
  <c r="AC5" i="7" a="1"/>
  <c r="AC6" i="7" a="1"/>
  <c r="AC7" i="7" a="1"/>
  <c r="AC8" i="7" a="1"/>
  <c r="AC9" i="7" a="1"/>
  <c r="AC10" i="7" a="1"/>
  <c r="AC11" i="7" a="1"/>
  <c r="AC12" i="7" a="1"/>
  <c r="AC13" i="7" a="1"/>
  <c r="AC14" i="7" a="1"/>
  <c r="AC15" i="7" a="1"/>
  <c r="AC16" i="7" a="1"/>
  <c r="AC17" i="7" a="1"/>
  <c r="AC18" i="7" a="1"/>
  <c r="AC19" i="7" a="1"/>
  <c r="AC20" i="7" a="1"/>
  <c r="AC21" i="7" a="1"/>
  <c r="AC22" i="7" a="1"/>
  <c r="AC3" i="7" a="1"/>
  <c r="AB4" i="7" a="1"/>
  <c r="AB5" i="7" a="1"/>
  <c r="AB6" i="7" a="1"/>
  <c r="AB7" i="7" a="1"/>
  <c r="AB8" i="7" a="1"/>
  <c r="AB9" i="7" a="1"/>
  <c r="AB10" i="7" a="1"/>
  <c r="AB11" i="7" a="1"/>
  <c r="AB12" i="7" a="1"/>
  <c r="AB13" i="7" a="1"/>
  <c r="AB14" i="7" a="1"/>
  <c r="AB15" i="7" a="1"/>
  <c r="AB16" i="7" a="1"/>
  <c r="AB17" i="7" a="1"/>
  <c r="AB18" i="7" a="1"/>
  <c r="AB19" i="7" a="1"/>
  <c r="AB20" i="7" a="1"/>
  <c r="AB21" i="7" a="1"/>
  <c r="AB22" i="7" a="1"/>
  <c r="AB3" i="7" a="1"/>
  <c r="AB1" i="7"/>
  <c r="X3" i="7" a="1"/>
  <c r="W3" i="7" a="1"/>
  <c r="V3" i="7" a="1"/>
  <c r="U3" i="7" a="1"/>
  <c r="T4" i="7"/>
  <c r="T3" i="7"/>
  <c r="U1" i="7"/>
  <c r="M3" i="7"/>
  <c r="N1" i="7"/>
  <c r="G1" i="7"/>
  <c r="F3" i="7"/>
  <c r="G3" i="7" s="1" a="1"/>
  <c r="A246" i="5"/>
  <c r="F4" i="7"/>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2" i="5"/>
  <c r="B3" i="2"/>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2" i="5"/>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2" i="5"/>
  <c r="A3" i="5"/>
  <c r="A4" i="5"/>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A108" i="5"/>
  <c r="A109" i="5"/>
  <c r="A110" i="5"/>
  <c r="A111" i="5"/>
  <c r="A112" i="5"/>
  <c r="A113" i="5"/>
  <c r="A114" i="5"/>
  <c r="A115" i="5"/>
  <c r="A116" i="5"/>
  <c r="A117" i="5"/>
  <c r="A118" i="5"/>
  <c r="A119" i="5"/>
  <c r="A120" i="5"/>
  <c r="A121" i="5"/>
  <c r="A122" i="5"/>
  <c r="A123" i="5"/>
  <c r="A124" i="5"/>
  <c r="A125" i="5"/>
  <c r="A126" i="5"/>
  <c r="A127" i="5"/>
  <c r="A128" i="5"/>
  <c r="A129" i="5"/>
  <c r="A130" i="5"/>
  <c r="A131" i="5"/>
  <c r="A132" i="5"/>
  <c r="A133" i="5"/>
  <c r="A134" i="5"/>
  <c r="A135" i="5"/>
  <c r="A136" i="5"/>
  <c r="A137" i="5"/>
  <c r="A138" i="5"/>
  <c r="A139" i="5"/>
  <c r="A140" i="5"/>
  <c r="A141" i="5"/>
  <c r="A142" i="5"/>
  <c r="A143" i="5"/>
  <c r="A144" i="5"/>
  <c r="A145" i="5"/>
  <c r="A146" i="5"/>
  <c r="A147" i="5"/>
  <c r="A148" i="5"/>
  <c r="A149" i="5"/>
  <c r="A150" i="5"/>
  <c r="A151" i="5"/>
  <c r="A152" i="5"/>
  <c r="A153" i="5"/>
  <c r="A154" i="5"/>
  <c r="A155" i="5"/>
  <c r="A156" i="5"/>
  <c r="A157" i="5"/>
  <c r="A158" i="5"/>
  <c r="A159" i="5"/>
  <c r="A160" i="5"/>
  <c r="A161" i="5"/>
  <c r="A162" i="5"/>
  <c r="A163" i="5"/>
  <c r="A164" i="5"/>
  <c r="A165" i="5"/>
  <c r="A166" i="5"/>
  <c r="A167" i="5"/>
  <c r="A168" i="5"/>
  <c r="A169" i="5"/>
  <c r="A170" i="5"/>
  <c r="A171" i="5"/>
  <c r="A172" i="5"/>
  <c r="A173" i="5"/>
  <c r="A174" i="5"/>
  <c r="A175" i="5"/>
  <c r="A176" i="5"/>
  <c r="A177" i="5"/>
  <c r="A178" i="5"/>
  <c r="A179" i="5"/>
  <c r="A180" i="5"/>
  <c r="A181" i="5"/>
  <c r="A182" i="5"/>
  <c r="A183" i="5"/>
  <c r="A184" i="5"/>
  <c r="A185" i="5"/>
  <c r="A186" i="5"/>
  <c r="A187" i="5"/>
  <c r="A188" i="5"/>
  <c r="A189" i="5"/>
  <c r="A190" i="5"/>
  <c r="A191" i="5"/>
  <c r="A192" i="5"/>
  <c r="A193" i="5"/>
  <c r="A194" i="5"/>
  <c r="A195" i="5"/>
  <c r="A196" i="5"/>
  <c r="A197" i="5"/>
  <c r="A198" i="5"/>
  <c r="A199" i="5"/>
  <c r="A200" i="5"/>
  <c r="A201" i="5"/>
  <c r="A202" i="5"/>
  <c r="A203" i="5"/>
  <c r="A204" i="5"/>
  <c r="A205" i="5"/>
  <c r="A206" i="5"/>
  <c r="A207" i="5"/>
  <c r="A208" i="5"/>
  <c r="A209" i="5"/>
  <c r="A210" i="5"/>
  <c r="A211" i="5"/>
  <c r="A212" i="5"/>
  <c r="A213" i="5"/>
  <c r="A214" i="5"/>
  <c r="A215" i="5"/>
  <c r="A216" i="5"/>
  <c r="A217" i="5"/>
  <c r="A218" i="5"/>
  <c r="A219" i="5"/>
  <c r="A220" i="5"/>
  <c r="A221" i="5"/>
  <c r="A222" i="5"/>
  <c r="A223" i="5"/>
  <c r="A224" i="5"/>
  <c r="A225" i="5"/>
  <c r="A226" i="5"/>
  <c r="A227" i="5"/>
  <c r="A228" i="5"/>
  <c r="A229" i="5"/>
  <c r="A230" i="5"/>
  <c r="A231" i="5"/>
  <c r="A232" i="5"/>
  <c r="A233" i="5"/>
  <c r="A234" i="5"/>
  <c r="A235" i="5"/>
  <c r="A236" i="5"/>
  <c r="A237" i="5"/>
  <c r="A238" i="5"/>
  <c r="A239" i="5"/>
  <c r="A240" i="5"/>
  <c r="A241" i="5"/>
  <c r="A242" i="5"/>
  <c r="A243" i="5"/>
  <c r="A244" i="5"/>
  <c r="A245" i="5"/>
  <c r="A2" i="5"/>
  <c r="AL4" i="7" l="1" a="1"/>
  <c r="AL19" i="7" a="1"/>
  <c r="AK9" i="7" a="1"/>
  <c r="AK22" i="7" a="1"/>
  <c r="AJ22" i="7" a="1"/>
  <c r="AL7" i="7" a="1"/>
  <c r="AK4" i="7" a="1"/>
  <c r="AK19" i="7" a="1"/>
  <c r="AJ7" i="7" a="1"/>
  <c r="AJ21" i="7" a="1"/>
  <c r="AL8" i="7" a="1"/>
  <c r="AL17" i="7" a="1"/>
  <c r="AK6" i="7" a="1"/>
  <c r="AK16" i="7" a="1"/>
  <c r="AJ11" i="7" a="1"/>
  <c r="AI6" i="7" a="1"/>
  <c r="AL5" i="7" a="1"/>
  <c r="AK8" i="7" a="1"/>
  <c r="AJ12" i="7" a="1"/>
  <c r="AL6" i="7" a="1"/>
  <c r="AL20" i="7" a="1"/>
  <c r="AK11" i="7" a="1"/>
  <c r="AJ5" i="7" a="1"/>
  <c r="AI7" i="7" a="1"/>
  <c r="AL10" i="7" a="1"/>
  <c r="AK7" i="7" a="1"/>
  <c r="AJ18" i="7" a="1"/>
  <c r="AL14" i="7" a="1"/>
  <c r="AK13" i="7" a="1"/>
  <c r="AK3" i="7" a="1"/>
  <c r="AJ16" i="7" a="1"/>
  <c r="AI11" i="7" a="1"/>
  <c r="AL12" i="7" a="1"/>
  <c r="AK12" i="7" a="1"/>
  <c r="AJ14" i="7" a="1"/>
  <c r="AI9" i="7" a="1"/>
  <c r="AL9" i="7" a="1"/>
  <c r="AK5" i="7" a="1"/>
  <c r="AK21" i="7" a="1"/>
  <c r="AJ15" i="7" a="1"/>
  <c r="AL18" i="7" a="1"/>
  <c r="AK18" i="7" a="1"/>
  <c r="AJ10" i="7" a="1"/>
  <c r="AJ19" i="7" a="1"/>
  <c r="AL11" i="7" a="1"/>
  <c r="AL3" i="7" a="1"/>
  <c r="AK14" i="7" a="1"/>
  <c r="AJ13" i="7" a="1"/>
  <c r="AI8" i="7" a="1"/>
  <c r="AL13" i="7" a="1"/>
  <c r="AK10" i="7" a="1"/>
  <c r="AJ8" i="7" a="1"/>
  <c r="AL21" i="7" a="1"/>
  <c r="AK20" i="7" a="1"/>
  <c r="AL22" i="7" a="1"/>
  <c r="AJ4" i="7" a="1"/>
  <c r="AJ3" i="7" a="1"/>
  <c r="AL16" i="7" a="1"/>
  <c r="AK17" i="7" a="1"/>
  <c r="AJ9" i="7" a="1"/>
  <c r="AJ20" i="7" a="1"/>
  <c r="AL15" i="7" a="1"/>
  <c r="AK15" i="7" a="1"/>
  <c r="AJ6" i="7" a="1"/>
  <c r="AJ17" i="7" a="1"/>
  <c r="W4" i="7" a="1"/>
  <c r="X4" i="7" a="1"/>
  <c r="U4" i="7" a="1"/>
  <c r="V4" i="7" a="1"/>
  <c r="M4" i="7"/>
  <c r="B4" i="2"/>
  <c r="N4" i="7" a="1"/>
  <c r="P3" i="7" a="1"/>
  <c r="N3" i="7" a="1"/>
  <c r="O3" i="7" a="1"/>
  <c r="Q3" i="7" a="1"/>
  <c r="J4" i="7" a="1"/>
  <c r="G4" i="7" a="1"/>
  <c r="J3" i="7" a="1"/>
  <c r="H4" i="7" a="1"/>
  <c r="I4" i="7" a="1"/>
  <c r="I3" i="7" a="1"/>
  <c r="H3" i="7" a="1"/>
  <c r="F5" i="7" l="1"/>
  <c r="M5" i="7"/>
  <c r="T5" i="7"/>
  <c r="B5" i="2"/>
  <c r="O4" i="7" a="1"/>
  <c r="Q4" i="7" a="1"/>
  <c r="P4" i="7" a="1"/>
  <c r="H5" i="7" l="1" a="1"/>
  <c r="J5" i="7" a="1"/>
  <c r="I5" i="7" a="1"/>
  <c r="G5" i="7" a="1"/>
  <c r="N5" i="7" a="1"/>
  <c r="P5" i="7" a="1"/>
  <c r="Q5" i="7" a="1"/>
  <c r="O5" i="7" a="1"/>
  <c r="X5" i="7" a="1"/>
  <c r="V5" i="7" a="1"/>
  <c r="W5" i="7" a="1"/>
  <c r="U5" i="7" a="1"/>
  <c r="F6" i="7"/>
  <c r="M6" i="7"/>
  <c r="T6" i="7"/>
  <c r="B6" i="2"/>
  <c r="I6" i="7" l="1" a="1"/>
  <c r="H6" i="7" a="1"/>
  <c r="J6" i="7" a="1"/>
  <c r="G6" i="7" a="1"/>
  <c r="N6" i="7" a="1"/>
  <c r="P6" i="7" a="1"/>
  <c r="Q6" i="7" a="1"/>
  <c r="O6" i="7" a="1"/>
  <c r="U6" i="7" a="1"/>
  <c r="W6" i="7" a="1"/>
  <c r="X6" i="7" a="1"/>
  <c r="V6" i="7" a="1"/>
  <c r="F7" i="7"/>
  <c r="M7" i="7"/>
  <c r="T7" i="7"/>
  <c r="B7" i="2"/>
  <c r="I7" i="7" l="1" a="1"/>
  <c r="H7" i="7" a="1"/>
  <c r="G7" i="7" a="1"/>
  <c r="J7" i="7" a="1"/>
  <c r="N7" i="7" a="1"/>
  <c r="P7" i="7" a="1"/>
  <c r="Q7" i="7" a="1"/>
  <c r="O7" i="7" a="1"/>
  <c r="V7" i="7" a="1"/>
  <c r="X7" i="7" a="1"/>
  <c r="U7" i="7" a="1"/>
  <c r="W7" i="7" a="1"/>
  <c r="F8" i="7"/>
  <c r="M8" i="7"/>
  <c r="T8" i="7"/>
  <c r="B8" i="2"/>
  <c r="H8" i="7" l="1" a="1"/>
  <c r="J8" i="7" a="1"/>
  <c r="I8" i="7" a="1"/>
  <c r="G8" i="7" a="1"/>
  <c r="Q8" i="7" a="1"/>
  <c r="P8" i="7" a="1"/>
  <c r="O8" i="7" a="1"/>
  <c r="N8" i="7" a="1"/>
  <c r="W8" i="7" a="1"/>
  <c r="X8" i="7" a="1"/>
  <c r="V8" i="7" a="1"/>
  <c r="U8" i="7" a="1"/>
  <c r="F9" i="7"/>
  <c r="M9" i="7"/>
  <c r="T9" i="7"/>
  <c r="B9" i="2"/>
  <c r="I9" i="7" l="1" a="1"/>
  <c r="J9" i="7" a="1"/>
  <c r="H9" i="7" a="1"/>
  <c r="G9" i="7" a="1"/>
  <c r="P9" i="7" a="1"/>
  <c r="Q9" i="7" a="1"/>
  <c r="O9" i="7" a="1"/>
  <c r="N9" i="7" a="1"/>
  <c r="U9" i="7" a="1"/>
  <c r="X9" i="7" a="1"/>
  <c r="V9" i="7" a="1"/>
  <c r="W9" i="7" a="1"/>
  <c r="F10" i="7"/>
  <c r="M10" i="7"/>
  <c r="T10" i="7"/>
  <c r="B10" i="2"/>
  <c r="H10" i="7" l="1" a="1"/>
  <c r="I10" i="7" a="1"/>
  <c r="J10" i="7" a="1"/>
  <c r="G10" i="7" a="1"/>
  <c r="P10" i="7" a="1"/>
  <c r="Q10" i="7" a="1"/>
  <c r="N10" i="7" a="1"/>
  <c r="O10" i="7" a="1"/>
  <c r="W10" i="7" a="1"/>
  <c r="X10" i="7" a="1"/>
  <c r="U10" i="7" a="1"/>
  <c r="V10" i="7" a="1"/>
  <c r="F11" i="7"/>
  <c r="M11" i="7"/>
  <c r="T11" i="7"/>
  <c r="B11" i="2"/>
  <c r="I11" i="7" l="1" a="1"/>
  <c r="J11" i="7" a="1"/>
  <c r="H11" i="7" a="1"/>
  <c r="G11" i="7" a="1"/>
  <c r="P11" i="7" a="1"/>
  <c r="Q11" i="7" a="1"/>
  <c r="O11" i="7" a="1"/>
  <c r="N11" i="7" a="1"/>
  <c r="V11" i="7" a="1"/>
  <c r="U11" i="7" a="1"/>
  <c r="W11" i="7" a="1"/>
  <c r="X11" i="7" a="1"/>
  <c r="F12" i="7"/>
  <c r="M12" i="7"/>
  <c r="T12" i="7"/>
  <c r="B12" i="2"/>
  <c r="J12" i="7" l="1" a="1"/>
  <c r="I12" i="7" a="1"/>
  <c r="H12" i="7" a="1"/>
  <c r="G12" i="7" a="1"/>
  <c r="Q12" i="7" a="1"/>
  <c r="P12" i="7" a="1"/>
  <c r="O12" i="7" a="1"/>
  <c r="N12" i="7" a="1"/>
  <c r="W12" i="7" a="1"/>
  <c r="V12" i="7" a="1"/>
  <c r="X12" i="7" a="1"/>
  <c r="U12" i="7" a="1"/>
  <c r="F13" i="7"/>
  <c r="M13" i="7"/>
  <c r="T13" i="7"/>
  <c r="B13" i="2"/>
  <c r="J13" i="7" l="1" a="1"/>
  <c r="I13" i="7" a="1"/>
  <c r="H13" i="7" a="1"/>
  <c r="G13" i="7" a="1"/>
  <c r="N13" i="7" a="1"/>
  <c r="Q13" i="7" a="1"/>
  <c r="P13" i="7" a="1"/>
  <c r="O13" i="7" a="1"/>
  <c r="V13" i="7" a="1"/>
  <c r="W13" i="7" a="1"/>
  <c r="X13" i="7" a="1"/>
  <c r="U13" i="7" a="1"/>
  <c r="F14" i="7"/>
  <c r="M14" i="7"/>
  <c r="T14" i="7"/>
  <c r="B14" i="2"/>
  <c r="I14" i="7" l="1" a="1"/>
  <c r="J14" i="7" a="1"/>
  <c r="H14" i="7" a="1"/>
  <c r="G14" i="7" a="1"/>
  <c r="P14" i="7" a="1"/>
  <c r="N14" i="7" a="1"/>
  <c r="Q14" i="7" a="1"/>
  <c r="O14" i="7" a="1"/>
  <c r="U14" i="7" a="1"/>
  <c r="X14" i="7" a="1"/>
  <c r="V14" i="7" a="1"/>
  <c r="W14" i="7" a="1"/>
  <c r="F15" i="7"/>
  <c r="M15" i="7"/>
  <c r="T15" i="7"/>
  <c r="B15" i="2"/>
  <c r="J15" i="7" l="1" a="1"/>
  <c r="H15" i="7" a="1"/>
  <c r="I15" i="7" a="1"/>
  <c r="G15" i="7" a="1"/>
  <c r="N15" i="7" a="1"/>
  <c r="Q15" i="7" a="1"/>
  <c r="P15" i="7" a="1"/>
  <c r="O15" i="7" a="1"/>
  <c r="U15" i="7" a="1"/>
  <c r="V15" i="7" a="1"/>
  <c r="X15" i="7" a="1"/>
  <c r="W15" i="7" a="1"/>
  <c r="F16" i="7"/>
  <c r="M16" i="7"/>
  <c r="T16" i="7"/>
  <c r="B16" i="2"/>
  <c r="H16" i="7" l="1" a="1"/>
  <c r="I16" i="7" a="1"/>
  <c r="J16" i="7" a="1"/>
  <c r="G16" i="7" a="1"/>
  <c r="N16" i="7" a="1"/>
  <c r="P16" i="7" a="1"/>
  <c r="Q16" i="7" a="1"/>
  <c r="O16" i="7" a="1"/>
  <c r="X16" i="7" a="1"/>
  <c r="V16" i="7" a="1"/>
  <c r="U16" i="7" a="1"/>
  <c r="W16" i="7" a="1"/>
  <c r="F17" i="7"/>
  <c r="M17" i="7"/>
  <c r="T17" i="7"/>
  <c r="B17" i="2"/>
  <c r="J17" i="7" l="1" a="1"/>
  <c r="I17" i="7" a="1"/>
  <c r="H17" i="7" a="1"/>
  <c r="G17" i="7" a="1"/>
  <c r="Q17" i="7" a="1"/>
  <c r="P17" i="7" a="1"/>
  <c r="O17" i="7" a="1"/>
  <c r="N17" i="7" a="1"/>
  <c r="U17" i="7" a="1"/>
  <c r="W17" i="7" a="1"/>
  <c r="V17" i="7" a="1"/>
  <c r="X17" i="7" a="1"/>
  <c r="F18" i="7"/>
  <c r="M18" i="7"/>
  <c r="T18" i="7"/>
  <c r="B18" i="2"/>
  <c r="J18" i="7" l="1" a="1"/>
  <c r="I18" i="7" a="1"/>
  <c r="H18" i="7" a="1"/>
  <c r="G18" i="7" a="1"/>
  <c r="N18" i="7" a="1"/>
  <c r="Q18" i="7" a="1"/>
  <c r="P18" i="7" a="1"/>
  <c r="O18" i="7" a="1"/>
  <c r="V18" i="7" a="1"/>
  <c r="W18" i="7" a="1"/>
  <c r="U18" i="7" a="1"/>
  <c r="X18" i="7" a="1"/>
  <c r="F19" i="7"/>
  <c r="M19" i="7"/>
  <c r="T19" i="7"/>
  <c r="B19" i="2"/>
  <c r="H19" i="7" l="1" a="1"/>
  <c r="I19" i="7" a="1"/>
  <c r="J19" i="7" a="1"/>
  <c r="G19" i="7" a="1"/>
  <c r="Q19" i="7" a="1"/>
  <c r="P19" i="7" a="1"/>
  <c r="O19" i="7" a="1"/>
  <c r="N19" i="7" a="1"/>
  <c r="U19" i="7" a="1"/>
  <c r="X19" i="7" a="1"/>
  <c r="W19" i="7" a="1"/>
  <c r="V19" i="7" a="1"/>
  <c r="F20" i="7"/>
  <c r="M20" i="7"/>
  <c r="T20" i="7"/>
  <c r="B20" i="2"/>
  <c r="I20" i="7" l="1" a="1"/>
  <c r="J20" i="7" a="1"/>
  <c r="H20" i="7" a="1"/>
  <c r="G20" i="7" a="1"/>
  <c r="N20" i="7" a="1"/>
  <c r="P20" i="7" a="1"/>
  <c r="Q20" i="7" a="1"/>
  <c r="O20" i="7" a="1"/>
  <c r="X20" i="7" a="1"/>
  <c r="W20" i="7" a="1"/>
  <c r="V20" i="7" a="1"/>
  <c r="U20" i="7" a="1"/>
  <c r="F21" i="7"/>
  <c r="M21" i="7"/>
  <c r="T21" i="7"/>
  <c r="B21" i="2"/>
  <c r="J21" i="7" l="1" a="1"/>
  <c r="H21" i="7" a="1"/>
  <c r="I21" i="7" a="1"/>
  <c r="G21" i="7" a="1"/>
  <c r="P21" i="7" a="1"/>
  <c r="O21" i="7" a="1"/>
  <c r="Q21" i="7" a="1"/>
  <c r="N21" i="7" a="1"/>
  <c r="X21" i="7" a="1"/>
  <c r="W21" i="7" a="1"/>
  <c r="V21" i="7" a="1"/>
  <c r="U21" i="7" a="1"/>
  <c r="F22" i="7"/>
  <c r="M22" i="7"/>
  <c r="T22" i="7"/>
  <c r="B22" i="2"/>
  <c r="H22" i="7" l="1" a="1"/>
  <c r="I22" i="7" a="1"/>
  <c r="G22" i="7" a="1"/>
  <c r="J22" i="7" a="1"/>
  <c r="N22" i="7" a="1"/>
  <c r="Q22" i="7" a="1"/>
  <c r="P22" i="7" a="1"/>
  <c r="O22" i="7" a="1"/>
  <c r="X22" i="7" a="1"/>
  <c r="W22" i="7" a="1"/>
  <c r="U22" i="7" a="1"/>
  <c r="V22" i="7" a="1"/>
  <c r="F23" i="7"/>
  <c r="M23" i="7"/>
  <c r="T23" i="7"/>
  <c r="B23" i="2"/>
  <c r="H23" i="7" l="1" a="1"/>
  <c r="J23" i="7" a="1"/>
  <c r="I23" i="7" a="1"/>
  <c r="G23" i="7" a="1"/>
  <c r="Q23" i="7" a="1"/>
  <c r="P23" i="7" a="1"/>
  <c r="O23" i="7" a="1"/>
  <c r="N23" i="7" a="1"/>
  <c r="W23" i="7" a="1"/>
  <c r="V23" i="7" a="1"/>
  <c r="X23" i="7" a="1"/>
  <c r="U23" i="7" a="1"/>
  <c r="F24" i="7"/>
  <c r="M24" i="7"/>
  <c r="T24" i="7"/>
  <c r="B24" i="2"/>
  <c r="G24" i="7" l="1" a="1"/>
  <c r="I24" i="7" a="1"/>
  <c r="J24" i="7" a="1"/>
  <c r="H24" i="7" a="1"/>
  <c r="Q24" i="7" a="1"/>
  <c r="O24" i="7" a="1"/>
  <c r="N24" i="7" a="1"/>
  <c r="P24" i="7" a="1"/>
  <c r="X24" i="7" a="1"/>
  <c r="V24" i="7" a="1"/>
  <c r="W24" i="7" a="1"/>
  <c r="U24" i="7" a="1"/>
  <c r="F25" i="7"/>
  <c r="M25" i="7"/>
  <c r="T25" i="7"/>
  <c r="B25" i="2"/>
  <c r="G25" i="7" l="1" a="1"/>
  <c r="H25" i="7" a="1"/>
  <c r="I25" i="7" a="1"/>
  <c r="J25" i="7" a="1"/>
  <c r="P25" i="7" a="1"/>
  <c r="Q25" i="7" a="1"/>
  <c r="O25" i="7" a="1"/>
  <c r="N25" i="7" a="1"/>
  <c r="V25" i="7" a="1"/>
  <c r="W25" i="7" a="1"/>
  <c r="U25" i="7" a="1"/>
  <c r="X25" i="7" a="1"/>
  <c r="F26" i="7"/>
  <c r="M26" i="7"/>
  <c r="T26" i="7"/>
  <c r="B26" i="2"/>
  <c r="G26" i="7" l="1" a="1"/>
  <c r="I26" i="7" a="1"/>
  <c r="J26" i="7" a="1"/>
  <c r="H26" i="7" a="1"/>
  <c r="N26" i="7" a="1"/>
  <c r="Q26" i="7" a="1"/>
  <c r="P26" i="7" a="1"/>
  <c r="O26" i="7" a="1"/>
  <c r="V26" i="7" a="1"/>
  <c r="X26" i="7" a="1"/>
  <c r="W26" i="7" a="1"/>
  <c r="U26" i="7" a="1"/>
  <c r="F27" i="7"/>
  <c r="M27" i="7"/>
  <c r="T27" i="7"/>
  <c r="B27" i="2"/>
  <c r="I27" i="7" l="1" a="1"/>
  <c r="H27" i="7" a="1"/>
  <c r="G27" i="7" a="1"/>
  <c r="J27" i="7" a="1"/>
  <c r="P27" i="7" a="1"/>
  <c r="N27" i="7" a="1"/>
  <c r="Q27" i="7" a="1"/>
  <c r="O27" i="7" a="1"/>
  <c r="V27" i="7" a="1"/>
  <c r="U27" i="7" a="1"/>
  <c r="W27" i="7" a="1"/>
  <c r="X27" i="7" a="1"/>
  <c r="F28" i="7"/>
  <c r="M28" i="7"/>
  <c r="T28" i="7"/>
  <c r="B28" i="2"/>
  <c r="H28" i="7" l="1" a="1"/>
  <c r="J28" i="7" a="1"/>
  <c r="G28" i="7" a="1"/>
  <c r="I28" i="7" a="1"/>
  <c r="N28" i="7" a="1"/>
  <c r="P28" i="7" a="1"/>
  <c r="Q28" i="7" a="1"/>
  <c r="O28" i="7" a="1"/>
  <c r="U28" i="7" a="1"/>
  <c r="X28" i="7" a="1"/>
  <c r="V28" i="7" a="1"/>
  <c r="W28" i="7" a="1"/>
  <c r="F29" i="7"/>
  <c r="M29" i="7"/>
  <c r="T29" i="7"/>
  <c r="B29" i="2"/>
  <c r="I29" i="7" l="1" a="1"/>
  <c r="H29" i="7" a="1"/>
  <c r="J29" i="7" a="1"/>
  <c r="G29" i="7" a="1"/>
  <c r="Q29" i="7" a="1"/>
  <c r="O29" i="7" a="1"/>
  <c r="P29" i="7" a="1"/>
  <c r="N29" i="7" a="1"/>
  <c r="W29" i="7" a="1"/>
  <c r="U29" i="7" a="1"/>
  <c r="X29" i="7" a="1"/>
  <c r="V29" i="7" a="1"/>
  <c r="F30" i="7"/>
  <c r="M30" i="7"/>
  <c r="T30" i="7"/>
  <c r="B30" i="2"/>
  <c r="G30" i="7" l="1" a="1"/>
  <c r="H30" i="7" a="1"/>
  <c r="I30" i="7" a="1"/>
  <c r="J30" i="7" a="1"/>
  <c r="Q30" i="7" a="1"/>
  <c r="O30" i="7" a="1"/>
  <c r="P30" i="7" a="1"/>
  <c r="N30" i="7" a="1"/>
  <c r="V30" i="7" a="1"/>
  <c r="W30" i="7" a="1"/>
  <c r="X30" i="7" a="1"/>
  <c r="U30" i="7" a="1"/>
  <c r="F31" i="7"/>
  <c r="M31" i="7"/>
  <c r="T31" i="7"/>
  <c r="B31" i="2"/>
  <c r="J31" i="7" l="1" a="1"/>
  <c r="I31" i="7" a="1"/>
  <c r="H31" i="7" a="1"/>
  <c r="G31" i="7" a="1"/>
  <c r="Q31" i="7" a="1"/>
  <c r="P31" i="7" a="1"/>
  <c r="O31" i="7" a="1"/>
  <c r="N31" i="7" a="1"/>
  <c r="U31" i="7" a="1"/>
  <c r="W31" i="7" a="1"/>
  <c r="V31" i="7" a="1"/>
  <c r="X31" i="7" a="1"/>
  <c r="F32" i="7"/>
  <c r="M32" i="7"/>
  <c r="T32" i="7"/>
  <c r="B32" i="2"/>
  <c r="I32" i="7" l="1" a="1"/>
  <c r="J32" i="7" a="1"/>
  <c r="H32" i="7" a="1"/>
  <c r="G32" i="7" a="1"/>
  <c r="Q32" i="7" a="1"/>
  <c r="P32" i="7" a="1"/>
  <c r="O32" i="7" a="1"/>
  <c r="N32" i="7" a="1"/>
  <c r="X32" i="7" a="1"/>
  <c r="V32" i="7" a="1"/>
  <c r="U32" i="7" a="1"/>
  <c r="W32" i="7" a="1"/>
  <c r="F33" i="7"/>
  <c r="M33" i="7"/>
  <c r="T33" i="7"/>
  <c r="B33" i="2"/>
  <c r="J33" i="7" l="1" a="1"/>
  <c r="I33" i="7" a="1"/>
  <c r="H33" i="7" a="1"/>
  <c r="G33" i="7" a="1"/>
  <c r="P33" i="7" a="1"/>
  <c r="Q33" i="7" a="1"/>
  <c r="O33" i="7" a="1"/>
  <c r="N33" i="7" a="1"/>
  <c r="U33" i="7" a="1"/>
  <c r="W33" i="7" a="1"/>
  <c r="V33" i="7" a="1"/>
  <c r="X33" i="7" a="1"/>
  <c r="F34" i="7"/>
  <c r="M34" i="7"/>
  <c r="T34" i="7"/>
  <c r="B34" i="2"/>
  <c r="J34" i="7" l="1" a="1"/>
  <c r="G34" i="7" a="1"/>
  <c r="I34" i="7" a="1"/>
  <c r="H34" i="7" a="1"/>
  <c r="P34" i="7" a="1"/>
  <c r="Q34" i="7" a="1"/>
  <c r="N34" i="7" a="1"/>
  <c r="O34" i="7" a="1"/>
  <c r="X34" i="7" a="1"/>
  <c r="W34" i="7" a="1"/>
  <c r="V34" i="7" a="1"/>
  <c r="U34" i="7" a="1"/>
  <c r="F35" i="7"/>
  <c r="M35" i="7"/>
  <c r="T35" i="7"/>
  <c r="B35" i="2"/>
  <c r="G35" i="7" l="1" a="1"/>
  <c r="I35" i="7" a="1"/>
  <c r="J35" i="7" a="1"/>
  <c r="H35" i="7" a="1"/>
  <c r="N35" i="7" a="1"/>
  <c r="P35" i="7" a="1"/>
  <c r="Q35" i="7" a="1"/>
  <c r="O35" i="7" a="1"/>
  <c r="V35" i="7" a="1"/>
  <c r="X35" i="7" a="1"/>
  <c r="W35" i="7" a="1"/>
  <c r="U35" i="7" a="1"/>
  <c r="F36" i="7"/>
  <c r="M36" i="7"/>
  <c r="T36" i="7"/>
  <c r="B36" i="2"/>
  <c r="G36" i="7" l="1" a="1"/>
  <c r="H36" i="7" a="1"/>
  <c r="J36" i="7" a="1"/>
  <c r="I36" i="7" a="1"/>
  <c r="N36" i="7" a="1"/>
  <c r="O36" i="7" a="1"/>
  <c r="Q36" i="7" a="1"/>
  <c r="P36" i="7" a="1"/>
  <c r="W36" i="7" a="1"/>
  <c r="U36" i="7" a="1"/>
  <c r="X36" i="7" a="1"/>
  <c r="V36" i="7" a="1"/>
  <c r="F37" i="7"/>
  <c r="M37" i="7"/>
  <c r="T37" i="7"/>
  <c r="B37" i="2"/>
  <c r="I37" i="7" l="1" a="1"/>
  <c r="G37" i="7" a="1"/>
  <c r="J37" i="7" a="1"/>
  <c r="H37" i="7" a="1"/>
  <c r="N37" i="7" a="1"/>
  <c r="Q37" i="7" a="1"/>
  <c r="O37" i="7" a="1"/>
  <c r="P37" i="7" a="1"/>
  <c r="X37" i="7" a="1"/>
  <c r="V37" i="7" a="1"/>
  <c r="W37" i="7" a="1"/>
  <c r="U37" i="7" a="1"/>
  <c r="F38" i="7"/>
  <c r="M38" i="7"/>
  <c r="T38" i="7"/>
  <c r="B38" i="2"/>
  <c r="H38" i="7" l="1" a="1"/>
  <c r="J38" i="7" a="1"/>
  <c r="G38" i="7" a="1"/>
  <c r="I38" i="7" a="1"/>
  <c r="Q38" i="7" a="1"/>
  <c r="P38" i="7" a="1"/>
  <c r="O38" i="7" a="1"/>
  <c r="N38" i="7" a="1"/>
  <c r="U38" i="7" a="1"/>
  <c r="X38" i="7" a="1"/>
  <c r="V38" i="7" a="1"/>
  <c r="W38" i="7" a="1"/>
  <c r="F39" i="7"/>
  <c r="M39" i="7"/>
  <c r="T39" i="7"/>
  <c r="B39" i="2"/>
  <c r="G39" i="7" l="1" a="1"/>
  <c r="H39" i="7" a="1"/>
  <c r="I39" i="7" a="1"/>
  <c r="J39" i="7" a="1"/>
  <c r="N39" i="7" a="1"/>
  <c r="Q39" i="7" a="1"/>
  <c r="O39" i="7" a="1"/>
  <c r="P39" i="7" a="1"/>
  <c r="X39" i="7" a="1"/>
  <c r="V39" i="7" a="1"/>
  <c r="U39" i="7" a="1"/>
  <c r="W39" i="7" a="1"/>
  <c r="F40" i="7"/>
  <c r="M40" i="7"/>
  <c r="T40" i="7"/>
  <c r="B40" i="2"/>
  <c r="H40" i="7" l="1" a="1"/>
  <c r="I40" i="7" a="1"/>
  <c r="J40" i="7" a="1"/>
  <c r="G40" i="7" a="1"/>
  <c r="Q40" i="7" a="1"/>
  <c r="P40" i="7" a="1"/>
  <c r="O40" i="7" a="1"/>
  <c r="N40" i="7" a="1"/>
  <c r="U40" i="7" a="1"/>
  <c r="V40" i="7" a="1"/>
  <c r="W40" i="7" a="1"/>
  <c r="X40" i="7" a="1"/>
  <c r="F41" i="7"/>
  <c r="M41" i="7"/>
  <c r="T41" i="7"/>
  <c r="B41" i="2"/>
  <c r="G41" i="7" l="1" a="1"/>
  <c r="J41" i="7" a="1"/>
  <c r="H41" i="7" a="1"/>
  <c r="I41" i="7" a="1"/>
  <c r="Q41" i="7" a="1"/>
  <c r="O41" i="7" a="1"/>
  <c r="P41" i="7" a="1"/>
  <c r="N41" i="7" a="1"/>
  <c r="U41" i="7" a="1"/>
  <c r="V41" i="7" a="1"/>
  <c r="X41" i="7" a="1"/>
  <c r="W41" i="7" a="1"/>
  <c r="F42" i="7"/>
  <c r="M42" i="7"/>
  <c r="T42" i="7"/>
  <c r="B42" i="2"/>
  <c r="G42" i="7" l="1" a="1"/>
  <c r="J42" i="7" a="1"/>
  <c r="I42" i="7" a="1"/>
  <c r="H42" i="7" a="1"/>
  <c r="Q42" i="7" a="1"/>
  <c r="N42" i="7" a="1"/>
  <c r="P42" i="7" a="1"/>
  <c r="O42" i="7" a="1"/>
  <c r="U42" i="7" a="1"/>
  <c r="V42" i="7" a="1"/>
  <c r="W42" i="7" a="1"/>
  <c r="X42" i="7" a="1"/>
  <c r="F43" i="7"/>
  <c r="M43" i="7"/>
  <c r="T43" i="7"/>
  <c r="B43" i="2"/>
  <c r="G43" i="7" l="1" a="1"/>
  <c r="J43" i="7" a="1"/>
  <c r="I43" i="7" a="1"/>
  <c r="H43" i="7" a="1"/>
  <c r="N43" i="7" a="1"/>
  <c r="Q43" i="7" a="1"/>
  <c r="P43" i="7" a="1"/>
  <c r="O43" i="7" a="1"/>
  <c r="V43" i="7" a="1"/>
  <c r="W43" i="7" a="1"/>
  <c r="X43" i="7" a="1"/>
  <c r="U43" i="7" a="1"/>
  <c r="F44" i="7"/>
  <c r="M44" i="7"/>
  <c r="T44" i="7"/>
  <c r="B44" i="2"/>
  <c r="I44" i="7" l="1" a="1"/>
  <c r="J44" i="7" a="1"/>
  <c r="G44" i="7" a="1"/>
  <c r="H44" i="7" a="1"/>
  <c r="N44" i="7" a="1"/>
  <c r="Q44" i="7" a="1"/>
  <c r="O44" i="7" a="1"/>
  <c r="P44" i="7" a="1"/>
  <c r="V44" i="7" a="1"/>
  <c r="U44" i="7" a="1"/>
  <c r="W44" i="7" a="1"/>
  <c r="X44" i="7" a="1"/>
  <c r="F45" i="7"/>
  <c r="M45" i="7"/>
  <c r="T45" i="7"/>
  <c r="B45" i="2"/>
  <c r="H45" i="7" l="1" a="1"/>
  <c r="J45" i="7" a="1"/>
  <c r="G45" i="7" a="1"/>
  <c r="I45" i="7" a="1"/>
  <c r="Q45" i="7" a="1"/>
  <c r="O45" i="7" a="1"/>
  <c r="P45" i="7" a="1"/>
  <c r="N45" i="7" a="1"/>
  <c r="W45" i="7" a="1"/>
  <c r="V45" i="7" a="1"/>
  <c r="U45" i="7" a="1"/>
  <c r="X45" i="7" a="1"/>
  <c r="F46" i="7"/>
  <c r="M46" i="7"/>
  <c r="T46" i="7"/>
  <c r="B46" i="2"/>
  <c r="G46" i="7" l="1" a="1"/>
  <c r="I46" i="7" a="1"/>
  <c r="J46" i="7" a="1"/>
  <c r="H46" i="7" a="1"/>
  <c r="Q46" i="7" a="1"/>
  <c r="O46" i="7" a="1"/>
  <c r="P46" i="7" a="1"/>
  <c r="N46" i="7" a="1"/>
  <c r="W46" i="7" a="1"/>
  <c r="X46" i="7" a="1"/>
  <c r="V46" i="7" a="1"/>
  <c r="U46" i="7" a="1"/>
  <c r="F47" i="7"/>
  <c r="M47" i="7"/>
  <c r="T47" i="7"/>
  <c r="B47" i="2"/>
  <c r="J47" i="7" l="1" a="1"/>
  <c r="H47" i="7" a="1"/>
  <c r="I47" i="7" a="1"/>
  <c r="G47" i="7" a="1"/>
  <c r="Q47" i="7" a="1"/>
  <c r="O47" i="7" a="1"/>
  <c r="P47" i="7" a="1"/>
  <c r="N47" i="7" a="1"/>
  <c r="U47" i="7" a="1"/>
  <c r="W47" i="7" a="1"/>
  <c r="V47" i="7" a="1"/>
  <c r="X47" i="7" a="1"/>
  <c r="F48" i="7"/>
  <c r="M48" i="7"/>
  <c r="T48" i="7"/>
  <c r="B48" i="2"/>
  <c r="J48" i="7" l="1" a="1"/>
  <c r="H48" i="7" a="1"/>
  <c r="I48" i="7" a="1"/>
  <c r="G48" i="7" a="1"/>
  <c r="Q48" i="7" a="1"/>
  <c r="O48" i="7" a="1"/>
  <c r="P48" i="7" a="1"/>
  <c r="N48" i="7" a="1"/>
  <c r="U48" i="7" a="1"/>
  <c r="V48" i="7" a="1"/>
  <c r="W48" i="7" a="1"/>
  <c r="X48" i="7" a="1"/>
  <c r="F49" i="7"/>
  <c r="M49" i="7"/>
  <c r="T49" i="7"/>
  <c r="B49" i="2"/>
  <c r="I49" i="7" l="1" a="1"/>
  <c r="G49" i="7" a="1"/>
  <c r="H49" i="7" a="1"/>
  <c r="J49" i="7" a="1"/>
  <c r="N49" i="7" a="1"/>
  <c r="Q49" i="7" a="1"/>
  <c r="O49" i="7" a="1"/>
  <c r="P49" i="7" a="1"/>
  <c r="V49" i="7" a="1"/>
  <c r="X49" i="7" a="1"/>
  <c r="U49" i="7" a="1"/>
  <c r="W49" i="7" a="1"/>
  <c r="F50" i="7"/>
  <c r="M50" i="7"/>
  <c r="T50" i="7"/>
  <c r="B50" i="2"/>
  <c r="H50" i="7" l="1" a="1"/>
  <c r="G50" i="7" a="1"/>
  <c r="J50" i="7" a="1"/>
  <c r="I50" i="7" a="1"/>
  <c r="N50" i="7" a="1"/>
  <c r="P50" i="7" a="1"/>
  <c r="O50" i="7" a="1"/>
  <c r="Q50" i="7" a="1"/>
  <c r="W50" i="7" a="1"/>
  <c r="X50" i="7" a="1"/>
  <c r="V50" i="7" a="1"/>
  <c r="U50" i="7" a="1"/>
  <c r="F51" i="7"/>
  <c r="M51" i="7"/>
  <c r="T51" i="7"/>
  <c r="B51" i="2"/>
  <c r="I51" i="7" l="1" a="1"/>
  <c r="H51" i="7" a="1"/>
  <c r="J51" i="7" a="1"/>
  <c r="G51" i="7" a="1"/>
  <c r="N51" i="7" a="1"/>
  <c r="Q51" i="7" a="1"/>
  <c r="O51" i="7" a="1"/>
  <c r="P51" i="7" a="1"/>
  <c r="U51" i="7" a="1"/>
  <c r="V51" i="7" a="1"/>
  <c r="X51" i="7" a="1"/>
  <c r="W51" i="7" a="1"/>
  <c r="F52" i="7"/>
  <c r="M52" i="7"/>
  <c r="T52" i="7"/>
  <c r="B52" i="2"/>
  <c r="G52" i="7" l="1" a="1"/>
  <c r="J52" i="7" a="1"/>
  <c r="I52" i="7" a="1"/>
  <c r="H52" i="7" a="1"/>
  <c r="Q52" i="7" a="1"/>
  <c r="P52" i="7" a="1"/>
  <c r="N52" i="7" a="1"/>
  <c r="O52" i="7" a="1"/>
  <c r="X52" i="7" a="1"/>
  <c r="W52" i="7" a="1"/>
  <c r="V52" i="7" a="1"/>
  <c r="U52" i="7" a="1"/>
  <c r="F53" i="7"/>
  <c r="M53" i="7"/>
  <c r="T53" i="7"/>
  <c r="B53" i="2"/>
  <c r="G53" i="7" l="1" a="1"/>
  <c r="H53" i="7" a="1"/>
  <c r="I53" i="7" a="1"/>
  <c r="J53" i="7" a="1"/>
  <c r="N53" i="7" a="1"/>
  <c r="Q53" i="7" a="1"/>
  <c r="P53" i="7" a="1"/>
  <c r="O53" i="7" a="1"/>
  <c r="X53" i="7" a="1"/>
  <c r="V53" i="7" a="1"/>
  <c r="U53" i="7" a="1"/>
  <c r="W53" i="7" a="1"/>
  <c r="F54" i="7"/>
  <c r="M54" i="7"/>
  <c r="T54" i="7"/>
  <c r="B54" i="2"/>
  <c r="H54" i="7" l="1" a="1"/>
  <c r="J54" i="7" a="1"/>
  <c r="I54" i="7" a="1"/>
  <c r="G54" i="7" a="1"/>
  <c r="Q54" i="7" a="1"/>
  <c r="P54" i="7" a="1"/>
  <c r="O54" i="7" a="1"/>
  <c r="N54" i="7" a="1"/>
  <c r="U54" i="7" a="1"/>
  <c r="V54" i="7" a="1"/>
  <c r="X54" i="7" a="1"/>
  <c r="W54" i="7" a="1"/>
  <c r="F55" i="7"/>
  <c r="M55" i="7"/>
  <c r="T55" i="7"/>
  <c r="B55" i="2"/>
  <c r="I55" i="7" l="1" a="1"/>
  <c r="J55" i="7" a="1"/>
  <c r="H55" i="7" a="1"/>
  <c r="G55" i="7" a="1"/>
  <c r="Q55" i="7" a="1"/>
  <c r="O55" i="7" a="1"/>
  <c r="P55" i="7" a="1"/>
  <c r="N55" i="7" a="1"/>
  <c r="V55" i="7" a="1"/>
  <c r="X55" i="7" a="1"/>
  <c r="W55" i="7" a="1"/>
  <c r="U55" i="7" a="1"/>
  <c r="F56" i="7"/>
  <c r="M56" i="7"/>
  <c r="T56" i="7"/>
  <c r="B56" i="2"/>
  <c r="G56" i="7" l="1" a="1"/>
  <c r="J56" i="7" a="1"/>
  <c r="H56" i="7" a="1"/>
  <c r="I56" i="7" a="1"/>
  <c r="Q56" i="7" a="1"/>
  <c r="O56" i="7" a="1"/>
  <c r="P56" i="7" a="1"/>
  <c r="N56" i="7" a="1"/>
  <c r="W56" i="7" a="1"/>
  <c r="U56" i="7" a="1"/>
  <c r="X56" i="7" a="1"/>
  <c r="V56" i="7" a="1"/>
  <c r="F57" i="7"/>
  <c r="M57" i="7"/>
  <c r="T57" i="7"/>
  <c r="B57" i="2"/>
  <c r="H57" i="7" l="1" a="1"/>
  <c r="J57" i="7" a="1"/>
  <c r="G57" i="7" a="1"/>
  <c r="I57" i="7" a="1"/>
  <c r="N57" i="7" a="1"/>
  <c r="Q57" i="7" a="1"/>
  <c r="P57" i="7" a="1"/>
  <c r="O57" i="7" a="1"/>
  <c r="U57" i="7" a="1"/>
  <c r="X57" i="7" a="1"/>
  <c r="V57" i="7" a="1"/>
  <c r="W57" i="7" a="1"/>
  <c r="F58" i="7"/>
  <c r="M58" i="7"/>
  <c r="T58" i="7"/>
  <c r="B58" i="2"/>
  <c r="G58" i="7" l="1" a="1"/>
  <c r="J58" i="7" a="1"/>
  <c r="H58" i="7" a="1"/>
  <c r="I58" i="7" a="1"/>
  <c r="Q58" i="7" a="1"/>
  <c r="O58" i="7" a="1"/>
  <c r="P58" i="7" a="1"/>
  <c r="N58" i="7" a="1"/>
  <c r="W58" i="7" a="1"/>
  <c r="V58" i="7" a="1"/>
  <c r="U58" i="7" a="1"/>
  <c r="X58" i="7" a="1"/>
  <c r="F59" i="7"/>
  <c r="M59" i="7"/>
  <c r="T59" i="7"/>
  <c r="B59" i="2"/>
  <c r="I59" i="7" l="1" a="1"/>
  <c r="G59" i="7" a="1"/>
  <c r="H59" i="7" a="1"/>
  <c r="J59" i="7" a="1"/>
  <c r="N59" i="7" a="1"/>
  <c r="Q59" i="7" a="1"/>
  <c r="O59" i="7" a="1"/>
  <c r="P59" i="7" a="1"/>
  <c r="W59" i="7" a="1"/>
  <c r="X59" i="7" a="1"/>
  <c r="U59" i="7" a="1"/>
  <c r="V59" i="7" a="1"/>
  <c r="F60" i="7"/>
  <c r="M60" i="7"/>
  <c r="T60" i="7"/>
  <c r="B60" i="2"/>
  <c r="J60" i="7" l="1" a="1"/>
  <c r="I60" i="7" a="1"/>
  <c r="G60" i="7" a="1"/>
  <c r="H60" i="7" a="1"/>
  <c r="Q60" i="7" a="1"/>
  <c r="P60" i="7" a="1"/>
  <c r="O60" i="7" a="1"/>
  <c r="N60" i="7" a="1"/>
  <c r="V60" i="7" a="1"/>
  <c r="U60" i="7" a="1"/>
  <c r="W60" i="7" a="1"/>
  <c r="X60" i="7" a="1"/>
  <c r="F61" i="7"/>
  <c r="M61" i="7"/>
  <c r="T61" i="7"/>
  <c r="B61" i="2"/>
  <c r="I61" i="7" l="1" a="1"/>
  <c r="G61" i="7" a="1"/>
  <c r="J61" i="7" a="1"/>
  <c r="H61" i="7" a="1"/>
  <c r="Q61" i="7" a="1"/>
  <c r="P61" i="7" a="1"/>
  <c r="O61" i="7" a="1"/>
  <c r="N61" i="7" a="1"/>
  <c r="V61" i="7" a="1"/>
  <c r="U61" i="7" a="1"/>
  <c r="W61" i="7" a="1"/>
  <c r="X61" i="7" a="1"/>
  <c r="F62" i="7"/>
  <c r="M62" i="7"/>
  <c r="T62" i="7"/>
  <c r="B62" i="2"/>
  <c r="G62" i="7" l="1" a="1"/>
  <c r="J62" i="7" a="1"/>
  <c r="I62" i="7" a="1"/>
  <c r="H62" i="7" a="1"/>
  <c r="Q62" i="7" a="1"/>
  <c r="O62" i="7" a="1"/>
  <c r="P62" i="7" a="1"/>
  <c r="N62" i="7" a="1"/>
  <c r="U62" i="7" a="1"/>
  <c r="V62" i="7" a="1"/>
  <c r="X62" i="7" a="1"/>
  <c r="W62" i="7" a="1"/>
  <c r="F63" i="7"/>
  <c r="M63" i="7"/>
  <c r="T63" i="7"/>
  <c r="B63" i="2"/>
  <c r="J63" i="7" l="1" a="1"/>
  <c r="H63" i="7" a="1"/>
  <c r="I63" i="7" a="1"/>
  <c r="G63" i="7" a="1"/>
  <c r="Q63" i="7" a="1"/>
  <c r="P63" i="7" a="1"/>
  <c r="O63" i="7" a="1"/>
  <c r="N63" i="7" a="1"/>
  <c r="V63" i="7" a="1"/>
  <c r="X63" i="7" a="1"/>
  <c r="W63" i="7" a="1"/>
  <c r="U63" i="7" a="1"/>
  <c r="F64" i="7"/>
  <c r="M64" i="7"/>
  <c r="T64" i="7"/>
  <c r="B64" i="2"/>
  <c r="H64" i="7" l="1" a="1"/>
  <c r="J64" i="7" a="1"/>
  <c r="G64" i="7" a="1"/>
  <c r="I64" i="7" a="1"/>
  <c r="Q64" i="7" a="1"/>
  <c r="O64" i="7" a="1"/>
  <c r="P64" i="7" a="1"/>
  <c r="N64" i="7" a="1"/>
  <c r="U64" i="7" a="1"/>
  <c r="V64" i="7" a="1"/>
  <c r="X64" i="7" a="1"/>
  <c r="W64" i="7" a="1"/>
  <c r="F65" i="7"/>
  <c r="M65" i="7"/>
  <c r="T65" i="7"/>
  <c r="B65" i="2"/>
  <c r="I65" i="7" l="1" a="1"/>
  <c r="G65" i="7" a="1"/>
  <c r="H65" i="7" a="1"/>
  <c r="J65" i="7" a="1"/>
  <c r="O65" i="7" a="1"/>
  <c r="Q65" i="7" a="1"/>
  <c r="P65" i="7" a="1"/>
  <c r="N65" i="7" a="1"/>
  <c r="W65" i="7" a="1"/>
  <c r="V65" i="7" a="1"/>
  <c r="X65" i="7" a="1"/>
  <c r="U65" i="7" a="1"/>
  <c r="F66" i="7"/>
  <c r="M66" i="7"/>
  <c r="T66" i="7"/>
  <c r="B66" i="2"/>
  <c r="J66" i="7" l="1" a="1"/>
  <c r="I66" i="7" a="1"/>
  <c r="H66" i="7" a="1"/>
  <c r="G66" i="7" a="1"/>
  <c r="Q66" i="7" a="1"/>
  <c r="O66" i="7" a="1"/>
  <c r="P66" i="7" a="1"/>
  <c r="N66" i="7" a="1"/>
  <c r="U66" i="7" a="1"/>
  <c r="X66" i="7" a="1"/>
  <c r="W66" i="7" a="1"/>
  <c r="V66" i="7" a="1"/>
  <c r="F67" i="7"/>
  <c r="M67" i="7"/>
  <c r="T67" i="7"/>
  <c r="B67" i="2"/>
  <c r="G67" i="7" l="1" a="1"/>
  <c r="J67" i="7" a="1"/>
  <c r="H67" i="7" a="1"/>
  <c r="I67" i="7" a="1"/>
  <c r="Q67" i="7" a="1"/>
  <c r="P67" i="7" a="1"/>
  <c r="O67" i="7" a="1"/>
  <c r="N67" i="7" a="1"/>
  <c r="U67" i="7" a="1"/>
  <c r="X67" i="7" a="1"/>
  <c r="V67" i="7" a="1"/>
  <c r="W67" i="7" a="1"/>
  <c r="F68" i="7"/>
  <c r="M68" i="7"/>
  <c r="T68" i="7"/>
  <c r="B68" i="2"/>
  <c r="I68" i="7" l="1" a="1"/>
  <c r="J68" i="7" a="1"/>
  <c r="H68" i="7" a="1"/>
  <c r="G68" i="7" a="1"/>
  <c r="Q68" i="7" a="1"/>
  <c r="P68" i="7" a="1"/>
  <c r="O68" i="7" a="1"/>
  <c r="N68" i="7" a="1"/>
  <c r="V68" i="7" a="1"/>
  <c r="W68" i="7" a="1"/>
  <c r="X68" i="7" a="1"/>
  <c r="U68" i="7" a="1"/>
  <c r="F69" i="7"/>
  <c r="M69" i="7"/>
  <c r="T69" i="7"/>
  <c r="B69" i="2"/>
  <c r="I69" i="7" l="1" a="1"/>
  <c r="J69" i="7" a="1"/>
  <c r="G69" i="7" a="1"/>
  <c r="H69" i="7" a="1"/>
  <c r="O69" i="7" a="1"/>
  <c r="N69" i="7" a="1"/>
  <c r="Q69" i="7" a="1"/>
  <c r="P69" i="7" a="1"/>
  <c r="X69" i="7" a="1"/>
  <c r="W69" i="7" a="1"/>
  <c r="U69" i="7" a="1"/>
  <c r="V69" i="7" a="1"/>
  <c r="F70" i="7"/>
  <c r="M70" i="7"/>
  <c r="T70" i="7"/>
  <c r="B70" i="2"/>
  <c r="G70" i="7" l="1" a="1"/>
  <c r="H70" i="7" a="1"/>
  <c r="I70" i="7" a="1"/>
  <c r="J70" i="7" a="1"/>
  <c r="Q70" i="7" a="1"/>
  <c r="P70" i="7" a="1"/>
  <c r="O70" i="7" a="1"/>
  <c r="N70" i="7" a="1"/>
  <c r="U70" i="7" a="1"/>
  <c r="W70" i="7" a="1"/>
  <c r="V70" i="7" a="1"/>
  <c r="X70" i="7" a="1"/>
  <c r="F71" i="7"/>
  <c r="M71" i="7"/>
  <c r="T71" i="7"/>
  <c r="B71" i="2"/>
  <c r="H71" i="7" l="1" a="1"/>
  <c r="J71" i="7" a="1"/>
  <c r="I71" i="7" a="1"/>
  <c r="G71" i="7" a="1"/>
  <c r="Q71" i="7" a="1"/>
  <c r="N71" i="7" a="1"/>
  <c r="O71" i="7" a="1"/>
  <c r="P71" i="7" a="1"/>
  <c r="W71" i="7" a="1"/>
  <c r="V71" i="7" a="1"/>
  <c r="X71" i="7" a="1"/>
  <c r="U71" i="7" a="1"/>
  <c r="F72" i="7"/>
  <c r="M72" i="7"/>
  <c r="T72" i="7"/>
  <c r="B72" i="2"/>
  <c r="H72" i="7" l="1" a="1"/>
  <c r="J72" i="7" a="1"/>
  <c r="I72" i="7" a="1"/>
  <c r="G72" i="7" a="1"/>
  <c r="Q72" i="7" a="1"/>
  <c r="P72" i="7" a="1"/>
  <c r="O72" i="7" a="1"/>
  <c r="N72" i="7" a="1"/>
  <c r="V72" i="7" a="1"/>
  <c r="U72" i="7" a="1"/>
  <c r="X72" i="7" a="1"/>
  <c r="W72" i="7" a="1"/>
  <c r="F73" i="7"/>
  <c r="M73" i="7"/>
  <c r="T73" i="7"/>
  <c r="B73" i="2"/>
  <c r="J73" i="7" l="1" a="1"/>
  <c r="H73" i="7" a="1"/>
  <c r="I73" i="7" a="1"/>
  <c r="G73" i="7" a="1"/>
  <c r="Q73" i="7" a="1"/>
  <c r="O73" i="7" a="1"/>
  <c r="P73" i="7" a="1"/>
  <c r="N73" i="7" a="1"/>
  <c r="X73" i="7" a="1"/>
  <c r="V73" i="7" a="1"/>
  <c r="U73" i="7" a="1"/>
  <c r="W73" i="7" a="1"/>
  <c r="F74" i="7"/>
  <c r="M74" i="7"/>
  <c r="T74" i="7"/>
  <c r="B74" i="2"/>
  <c r="H74" i="7" l="1" a="1"/>
  <c r="J74" i="7" a="1"/>
  <c r="G74" i="7" a="1"/>
  <c r="I74" i="7" a="1"/>
  <c r="Q74" i="7" a="1"/>
  <c r="P74" i="7" a="1"/>
  <c r="O74" i="7" a="1"/>
  <c r="N74" i="7" a="1"/>
  <c r="U74" i="7" a="1"/>
  <c r="W74" i="7" a="1"/>
  <c r="V74" i="7" a="1"/>
  <c r="X74" i="7" a="1"/>
  <c r="F75" i="7"/>
  <c r="M75" i="7"/>
  <c r="T75" i="7"/>
  <c r="B75" i="2"/>
  <c r="G75" i="7" l="1" a="1"/>
  <c r="J75" i="7" a="1"/>
  <c r="H75" i="7" a="1"/>
  <c r="I75" i="7" a="1"/>
  <c r="Q75" i="7" a="1"/>
  <c r="P75" i="7" a="1"/>
  <c r="O75" i="7" a="1"/>
  <c r="N75" i="7" a="1"/>
  <c r="V75" i="7" a="1"/>
  <c r="U75" i="7" a="1"/>
  <c r="W75" i="7" a="1"/>
  <c r="X75" i="7" a="1"/>
  <c r="F76" i="7"/>
  <c r="M76" i="7"/>
  <c r="T76" i="7"/>
  <c r="B76" i="2"/>
  <c r="I76" i="7" l="1" a="1"/>
  <c r="H76" i="7" a="1"/>
  <c r="G76" i="7" a="1"/>
  <c r="J76" i="7" a="1"/>
  <c r="Q76" i="7" a="1"/>
  <c r="O76" i="7" a="1"/>
  <c r="P76" i="7" a="1"/>
  <c r="N76" i="7" a="1"/>
  <c r="W76" i="7" a="1"/>
  <c r="V76" i="7" a="1"/>
  <c r="U76" i="7" a="1"/>
  <c r="X76" i="7" a="1"/>
  <c r="F77" i="7"/>
  <c r="M77" i="7"/>
  <c r="T77" i="7"/>
  <c r="B77" i="2"/>
  <c r="G77" i="7" l="1" a="1"/>
  <c r="J77" i="7" a="1"/>
  <c r="I77" i="7" a="1"/>
  <c r="H77" i="7" a="1"/>
  <c r="Q77" i="7" a="1"/>
  <c r="P77" i="7" a="1"/>
  <c r="N77" i="7" a="1"/>
  <c r="O77" i="7" a="1"/>
  <c r="W77" i="7" a="1"/>
  <c r="X77" i="7" a="1"/>
  <c r="U77" i="7" a="1"/>
  <c r="V77" i="7" a="1"/>
  <c r="F78" i="7"/>
  <c r="M78" i="7"/>
  <c r="T78" i="7"/>
  <c r="B78" i="2"/>
  <c r="G78" i="7" l="1" a="1"/>
  <c r="J78" i="7" a="1"/>
  <c r="I78" i="7" a="1"/>
  <c r="H78" i="7" a="1"/>
  <c r="Q78" i="7" a="1"/>
  <c r="P78" i="7" a="1"/>
  <c r="O78" i="7" a="1"/>
  <c r="N78" i="7" a="1"/>
  <c r="V78" i="7" a="1"/>
  <c r="X78" i="7" a="1"/>
  <c r="W78" i="7" a="1"/>
  <c r="U78" i="7" a="1"/>
  <c r="F79" i="7"/>
  <c r="M79" i="7"/>
  <c r="T79" i="7"/>
  <c r="B79" i="2"/>
  <c r="I79" i="7" l="1" a="1"/>
  <c r="J79" i="7" a="1"/>
  <c r="H79" i="7" a="1"/>
  <c r="G79" i="7" a="1"/>
  <c r="Q79" i="7" a="1"/>
  <c r="O79" i="7" a="1"/>
  <c r="P79" i="7" a="1"/>
  <c r="N79" i="7" a="1"/>
  <c r="U79" i="7" a="1"/>
  <c r="V79" i="7" a="1"/>
  <c r="X79" i="7" a="1"/>
  <c r="W79" i="7" a="1"/>
  <c r="F80" i="7"/>
  <c r="M80" i="7"/>
  <c r="T80" i="7"/>
  <c r="B80" i="2"/>
  <c r="I80" i="7" l="1" a="1"/>
  <c r="G80" i="7" a="1"/>
  <c r="J80" i="7" a="1"/>
  <c r="H80" i="7" a="1"/>
  <c r="Q80" i="7" a="1"/>
  <c r="N80" i="7" a="1"/>
  <c r="P80" i="7" a="1"/>
  <c r="O80" i="7" a="1"/>
  <c r="W80" i="7" a="1"/>
  <c r="X80" i="7" a="1"/>
  <c r="U80" i="7" a="1"/>
  <c r="V80" i="7" a="1"/>
  <c r="F81" i="7"/>
  <c r="M81" i="7"/>
  <c r="T81" i="7"/>
  <c r="B81" i="2"/>
  <c r="I81" i="7" l="1" a="1"/>
  <c r="J81" i="7" a="1"/>
  <c r="H81" i="7" a="1"/>
  <c r="G81" i="7" a="1"/>
  <c r="Q81" i="7" a="1"/>
  <c r="N81" i="7" a="1"/>
  <c r="O81" i="7" a="1"/>
  <c r="P81" i="7" a="1"/>
  <c r="X81" i="7" a="1"/>
  <c r="V81" i="7" a="1"/>
  <c r="W81" i="7" a="1"/>
  <c r="U81" i="7" a="1"/>
  <c r="F82" i="7"/>
  <c r="M82" i="7"/>
  <c r="T82" i="7"/>
  <c r="B82" i="2"/>
  <c r="G82" i="7" l="1" a="1"/>
  <c r="H82" i="7" a="1"/>
  <c r="J82" i="7" a="1"/>
  <c r="I82" i="7" a="1"/>
  <c r="Q82" i="7" a="1"/>
  <c r="N82" i="7" a="1"/>
  <c r="O82" i="7" a="1"/>
  <c r="P82" i="7" a="1"/>
  <c r="V82" i="7" a="1"/>
  <c r="X82" i="7" a="1"/>
  <c r="W82" i="7" a="1"/>
  <c r="U82" i="7" a="1"/>
  <c r="F83" i="7"/>
  <c r="M83" i="7"/>
  <c r="T83" i="7"/>
  <c r="B83" i="2"/>
  <c r="G83" i="7" l="1" a="1"/>
  <c r="I83" i="7" a="1"/>
  <c r="H83" i="7" a="1"/>
  <c r="J83" i="7" a="1"/>
  <c r="Q83" i="7" a="1"/>
  <c r="N83" i="7" a="1"/>
  <c r="P83" i="7" a="1"/>
  <c r="O83" i="7" a="1"/>
  <c r="W83" i="7" a="1"/>
  <c r="X83" i="7" a="1"/>
  <c r="V83" i="7" a="1"/>
  <c r="U83" i="7" a="1"/>
  <c r="F84" i="7"/>
  <c r="M84" i="7"/>
  <c r="T84" i="7"/>
  <c r="B84" i="2"/>
  <c r="G84" i="7" l="1" a="1"/>
  <c r="J84" i="7" a="1"/>
  <c r="I84" i="7" a="1"/>
  <c r="H84" i="7" a="1"/>
  <c r="Q84" i="7" a="1"/>
  <c r="N84" i="7" a="1"/>
  <c r="P84" i="7" a="1"/>
  <c r="O84" i="7" a="1"/>
  <c r="U84" i="7" a="1"/>
  <c r="X84" i="7" a="1"/>
  <c r="V84" i="7" a="1"/>
  <c r="W84" i="7" a="1"/>
  <c r="F85" i="7"/>
  <c r="M85" i="7"/>
  <c r="T85" i="7"/>
  <c r="B85" i="2"/>
  <c r="H85" i="7" l="1" a="1"/>
  <c r="G85" i="7" a="1"/>
  <c r="J85" i="7" a="1"/>
  <c r="I85" i="7" a="1"/>
  <c r="N85" i="7" a="1"/>
  <c r="Q85" i="7" a="1"/>
  <c r="P85" i="7" a="1"/>
  <c r="O85" i="7" a="1"/>
  <c r="V85" i="7" a="1"/>
  <c r="U85" i="7" a="1"/>
  <c r="W85" i="7" a="1"/>
  <c r="X85" i="7" a="1"/>
  <c r="F86" i="7"/>
  <c r="M86" i="7"/>
  <c r="T86" i="7"/>
  <c r="B86" i="2"/>
  <c r="H86" i="7" l="1" a="1"/>
  <c r="I86" i="7" a="1"/>
  <c r="J86" i="7" a="1"/>
  <c r="G86" i="7" a="1"/>
  <c r="Q86" i="7" a="1"/>
  <c r="O86" i="7" a="1"/>
  <c r="N86" i="7" a="1"/>
  <c r="P86" i="7" a="1"/>
  <c r="U86" i="7" a="1"/>
  <c r="W86" i="7" a="1"/>
  <c r="X86" i="7" a="1"/>
  <c r="V86" i="7" a="1"/>
  <c r="F87" i="7"/>
  <c r="M87" i="7"/>
  <c r="T87" i="7"/>
  <c r="B87" i="2"/>
  <c r="I87" i="7" l="1" a="1"/>
  <c r="G87" i="7" a="1"/>
  <c r="J87" i="7" a="1"/>
  <c r="H87" i="7" a="1"/>
  <c r="Q87" i="7" a="1"/>
  <c r="N87" i="7" a="1"/>
  <c r="P87" i="7" a="1"/>
  <c r="O87" i="7" a="1"/>
  <c r="X87" i="7" a="1"/>
  <c r="U87" i="7" a="1"/>
  <c r="V87" i="7" a="1"/>
  <c r="W87" i="7" a="1"/>
  <c r="F88" i="7"/>
  <c r="M88" i="7"/>
  <c r="T88" i="7"/>
  <c r="B88" i="2"/>
  <c r="J88" i="7" l="1" a="1"/>
  <c r="H88" i="7" a="1"/>
  <c r="I88" i="7" a="1"/>
  <c r="G88" i="7" a="1"/>
  <c r="Q88" i="7" a="1"/>
  <c r="N88" i="7" a="1"/>
  <c r="O88" i="7" a="1"/>
  <c r="P88" i="7" a="1"/>
  <c r="V88" i="7" a="1"/>
  <c r="U88" i="7" a="1"/>
  <c r="X88" i="7" a="1"/>
  <c r="W88" i="7" a="1"/>
  <c r="F89" i="7"/>
  <c r="M89" i="7"/>
  <c r="T89" i="7"/>
  <c r="B89" i="2"/>
  <c r="B90" i="2" s="1"/>
  <c r="B91" i="2" s="1"/>
  <c r="B92" i="2" s="1"/>
  <c r="B93" i="2" s="1"/>
  <c r="B94" i="2" s="1"/>
  <c r="B95" i="2" s="1"/>
  <c r="B96" i="2" s="1"/>
  <c r="B97" i="2" s="1"/>
  <c r="B98" i="2" s="1"/>
  <c r="B99" i="2" s="1"/>
  <c r="B100" i="2" s="1"/>
  <c r="B101" i="2" s="1"/>
  <c r="B102" i="2" s="1"/>
  <c r="B103" i="2" s="1"/>
  <c r="B104" i="2" s="1"/>
  <c r="B105" i="2" s="1"/>
  <c r="B106" i="2" s="1"/>
  <c r="B107" i="2" s="1"/>
  <c r="B108" i="2" s="1"/>
  <c r="B109" i="2" s="1"/>
  <c r="B110" i="2" s="1"/>
  <c r="B111" i="2" s="1"/>
  <c r="B112" i="2" s="1"/>
  <c r="B113" i="2" s="1"/>
  <c r="B114" i="2" s="1"/>
  <c r="B115" i="2" s="1"/>
  <c r="B116" i="2" s="1"/>
  <c r="B117" i="2" s="1"/>
  <c r="B118" i="2" s="1"/>
  <c r="B119" i="2" s="1"/>
  <c r="B120" i="2" s="1"/>
  <c r="B121" i="2" s="1"/>
  <c r="B122" i="2" s="1"/>
  <c r="B123" i="2" s="1"/>
  <c r="B124" i="2" s="1"/>
  <c r="B125" i="2" s="1"/>
  <c r="B126" i="2" s="1"/>
  <c r="B127" i="2" s="1"/>
  <c r="B128" i="2" s="1"/>
  <c r="B129" i="2" s="1"/>
  <c r="B130" i="2" s="1"/>
  <c r="B131" i="2" s="1"/>
  <c r="B132" i="2" s="1"/>
  <c r="B133" i="2" s="1"/>
  <c r="B134" i="2" s="1"/>
  <c r="B135" i="2" s="1"/>
  <c r="B136" i="2" s="1"/>
  <c r="B137" i="2" s="1"/>
  <c r="B138" i="2" s="1"/>
  <c r="B139" i="2" s="1"/>
  <c r="B140" i="2" s="1"/>
  <c r="B141" i="2" s="1"/>
  <c r="B142" i="2" s="1"/>
  <c r="B143" i="2" s="1"/>
  <c r="B144" i="2" s="1"/>
  <c r="B145" i="2" s="1"/>
  <c r="B146" i="2" s="1"/>
  <c r="B147" i="2" s="1"/>
  <c r="B148" i="2" s="1"/>
  <c r="B149" i="2" s="1"/>
  <c r="B150" i="2" s="1"/>
  <c r="B151" i="2" s="1"/>
  <c r="B152" i="2" s="1"/>
  <c r="B153" i="2" s="1"/>
  <c r="B154" i="2" s="1"/>
  <c r="B155" i="2" s="1"/>
  <c r="B156" i="2" s="1"/>
  <c r="B157" i="2" s="1"/>
  <c r="B158" i="2" s="1"/>
  <c r="B159" i="2" s="1"/>
  <c r="B160" i="2" s="1"/>
  <c r="B161" i="2" s="1"/>
  <c r="B162" i="2" s="1"/>
  <c r="B163" i="2" s="1"/>
  <c r="B164" i="2" s="1"/>
  <c r="B165" i="2" s="1"/>
  <c r="B166" i="2" s="1"/>
  <c r="B167" i="2" s="1"/>
  <c r="B168" i="2" s="1"/>
  <c r="B169" i="2" s="1"/>
  <c r="B170" i="2" s="1"/>
  <c r="B171" i="2" s="1"/>
  <c r="B172" i="2" s="1"/>
  <c r="B173" i="2" s="1"/>
  <c r="B174" i="2" s="1"/>
  <c r="B175" i="2" s="1"/>
  <c r="B176" i="2" s="1"/>
  <c r="B177" i="2" s="1"/>
  <c r="B178" i="2" s="1"/>
  <c r="B179" i="2" s="1"/>
  <c r="B180" i="2" s="1"/>
  <c r="B181" i="2" s="1"/>
  <c r="B182" i="2" s="1"/>
  <c r="B183" i="2" s="1"/>
  <c r="B184" i="2" s="1"/>
  <c r="B185" i="2" s="1"/>
  <c r="B186" i="2" s="1"/>
  <c r="B187" i="2" s="1"/>
  <c r="B188" i="2" s="1"/>
  <c r="B189" i="2" s="1"/>
  <c r="B190" i="2" s="1"/>
  <c r="B191" i="2" s="1"/>
  <c r="B192" i="2" s="1"/>
  <c r="B193" i="2" s="1"/>
  <c r="B194" i="2" s="1"/>
  <c r="B195" i="2" s="1"/>
  <c r="B196" i="2" s="1"/>
  <c r="B197" i="2" s="1"/>
  <c r="B198" i="2" s="1"/>
  <c r="B199" i="2" s="1"/>
  <c r="B200" i="2" s="1"/>
  <c r="B201" i="2" s="1"/>
  <c r="B202" i="2" s="1"/>
  <c r="B203" i="2" s="1"/>
  <c r="B204" i="2" s="1"/>
  <c r="B205" i="2" s="1"/>
  <c r="B206" i="2" s="1"/>
  <c r="B207" i="2" s="1"/>
  <c r="B208" i="2" s="1"/>
  <c r="B209" i="2" s="1"/>
  <c r="B210" i="2" s="1"/>
  <c r="B211" i="2" s="1"/>
  <c r="B212" i="2" s="1"/>
  <c r="B213" i="2" s="1"/>
  <c r="B214" i="2" s="1"/>
  <c r="B215" i="2" s="1"/>
  <c r="B216" i="2" s="1"/>
  <c r="B217" i="2" s="1"/>
  <c r="B218" i="2" s="1"/>
  <c r="B219" i="2" s="1"/>
  <c r="B220" i="2" s="1"/>
  <c r="B221" i="2" s="1"/>
  <c r="B222" i="2" s="1"/>
  <c r="B223" i="2" s="1"/>
  <c r="B224" i="2" s="1"/>
  <c r="B225" i="2" s="1"/>
  <c r="B226" i="2" s="1"/>
  <c r="B227" i="2" s="1"/>
  <c r="B228" i="2" s="1"/>
  <c r="B229" i="2" s="1"/>
  <c r="B230" i="2" s="1"/>
  <c r="B231" i="2" s="1"/>
  <c r="B232" i="2" s="1"/>
  <c r="B233" i="2" s="1"/>
  <c r="B234" i="2" s="1"/>
  <c r="B235" i="2" s="1"/>
  <c r="B236" i="2" s="1"/>
  <c r="B237" i="2" s="1"/>
  <c r="B238" i="2" s="1"/>
  <c r="B239" i="2" s="1"/>
  <c r="B240" i="2" s="1"/>
  <c r="B241" i="2" s="1"/>
  <c r="B242" i="2" s="1"/>
  <c r="B243" i="2" s="1"/>
  <c r="B244" i="2" s="1"/>
  <c r="B245" i="2" s="1"/>
  <c r="B246" i="2" s="1"/>
  <c r="B247" i="2" s="1"/>
  <c r="B248" i="2" s="1"/>
  <c r="B249" i="2" s="1"/>
  <c r="B250" i="2" s="1"/>
  <c r="B251" i="2" s="1"/>
  <c r="B252" i="2" s="1"/>
  <c r="B253" i="2" s="1"/>
  <c r="B254" i="2" s="1"/>
  <c r="B255" i="2" s="1"/>
  <c r="B256" i="2" s="1"/>
  <c r="B257" i="2" s="1"/>
  <c r="B258" i="2" s="1"/>
  <c r="B259" i="2" s="1"/>
  <c r="B260" i="2" s="1"/>
  <c r="B261" i="2" s="1"/>
  <c r="B262" i="2" s="1"/>
  <c r="B263" i="2" s="1"/>
  <c r="B264" i="2" s="1"/>
  <c r="B265" i="2" s="1"/>
  <c r="B266" i="2" s="1"/>
  <c r="B267" i="2" s="1"/>
  <c r="B268" i="2" s="1"/>
  <c r="B269" i="2" s="1"/>
  <c r="B270" i="2" s="1"/>
  <c r="B271" i="2" s="1"/>
  <c r="B272" i="2" s="1"/>
  <c r="B273" i="2" s="1"/>
  <c r="B274" i="2" s="1"/>
  <c r="B275" i="2" s="1"/>
  <c r="B276" i="2" s="1"/>
  <c r="B277" i="2" s="1"/>
  <c r="B278" i="2" s="1"/>
  <c r="B279" i="2" s="1"/>
  <c r="B280" i="2" s="1"/>
  <c r="B281" i="2" s="1"/>
  <c r="B282" i="2" s="1"/>
  <c r="B283" i="2" s="1"/>
  <c r="B284" i="2" s="1"/>
  <c r="B285" i="2" s="1"/>
  <c r="B286" i="2" s="1"/>
  <c r="B287" i="2" s="1"/>
  <c r="B288" i="2" s="1"/>
  <c r="B289" i="2" s="1"/>
  <c r="B290" i="2" s="1"/>
  <c r="B291" i="2" s="1"/>
  <c r="B292" i="2" s="1"/>
  <c r="B293" i="2" s="1"/>
  <c r="B294" i="2" s="1"/>
  <c r="B295" i="2" s="1"/>
  <c r="B296" i="2" s="1"/>
  <c r="B297" i="2" s="1"/>
  <c r="B298" i="2" s="1"/>
  <c r="B299" i="2" s="1"/>
  <c r="B300" i="2" s="1"/>
  <c r="B301" i="2" s="1"/>
  <c r="B302" i="2" s="1"/>
  <c r="B303" i="2" s="1"/>
  <c r="B304" i="2" s="1"/>
  <c r="B305" i="2" s="1"/>
  <c r="B306" i="2" s="1"/>
  <c r="B307" i="2" s="1"/>
  <c r="B308" i="2" s="1"/>
  <c r="B309" i="2" s="1"/>
  <c r="B310" i="2" s="1"/>
  <c r="B311" i="2" s="1"/>
  <c r="B312" i="2" s="1"/>
  <c r="B313" i="2" s="1"/>
  <c r="B314" i="2" s="1"/>
  <c r="B315" i="2" s="1"/>
  <c r="B316" i="2" s="1"/>
  <c r="B317" i="2" s="1"/>
  <c r="B318" i="2" s="1"/>
  <c r="B319" i="2" s="1"/>
  <c r="B320" i="2" s="1"/>
  <c r="B321" i="2" s="1"/>
  <c r="B322" i="2" s="1"/>
  <c r="B323" i="2" s="1"/>
  <c r="B324" i="2" s="1"/>
  <c r="B325" i="2" s="1"/>
  <c r="B326" i="2" s="1"/>
  <c r="B327" i="2" s="1"/>
  <c r="B328" i="2" s="1"/>
  <c r="B329" i="2" s="1"/>
  <c r="B330" i="2" s="1"/>
  <c r="B331" i="2" s="1"/>
  <c r="B332" i="2" s="1"/>
  <c r="B333" i="2" s="1"/>
  <c r="B334" i="2" s="1"/>
  <c r="B335" i="2" s="1"/>
  <c r="B336" i="2" s="1"/>
  <c r="B337" i="2" s="1"/>
  <c r="B338" i="2" s="1"/>
  <c r="B339" i="2" s="1"/>
  <c r="B340" i="2" s="1"/>
  <c r="B341" i="2" s="1"/>
  <c r="B342" i="2" s="1"/>
  <c r="B343" i="2" s="1"/>
  <c r="B344" i="2" s="1"/>
  <c r="B345" i="2" s="1"/>
  <c r="B346" i="2" s="1"/>
  <c r="B347" i="2" s="1"/>
  <c r="B348" i="2" s="1"/>
  <c r="B349" i="2" s="1"/>
  <c r="B350" i="2" s="1"/>
  <c r="B351" i="2" s="1"/>
  <c r="B352" i="2" s="1"/>
  <c r="B353" i="2" s="1"/>
  <c r="B354" i="2" s="1"/>
  <c r="B355" i="2" s="1"/>
  <c r="B356" i="2" s="1"/>
  <c r="B357" i="2" s="1"/>
  <c r="B358" i="2" s="1"/>
  <c r="B359" i="2" s="1"/>
  <c r="B360" i="2" s="1"/>
  <c r="B361" i="2" s="1"/>
  <c r="B362" i="2" s="1"/>
  <c r="B363" i="2" s="1"/>
  <c r="B364" i="2" s="1"/>
  <c r="B365" i="2" s="1"/>
  <c r="B366" i="2" s="1"/>
  <c r="B367" i="2" s="1"/>
  <c r="B368" i="2" s="1"/>
  <c r="B369" i="2" s="1"/>
  <c r="B370" i="2" s="1"/>
  <c r="B371" i="2" s="1"/>
  <c r="B372" i="2" s="1"/>
  <c r="B373" i="2" s="1"/>
  <c r="B374" i="2" s="1"/>
  <c r="B375" i="2" s="1"/>
  <c r="B376" i="2" s="1"/>
  <c r="B377" i="2" s="1"/>
  <c r="B378" i="2" s="1"/>
  <c r="B379" i="2" s="1"/>
  <c r="B380" i="2" s="1"/>
  <c r="B381" i="2" s="1"/>
  <c r="B382" i="2" s="1"/>
  <c r="B383" i="2" s="1"/>
  <c r="B384" i="2" s="1"/>
  <c r="B385" i="2" s="1"/>
  <c r="B386" i="2" s="1"/>
  <c r="B387" i="2" s="1"/>
  <c r="B388" i="2" s="1"/>
  <c r="B389" i="2" s="1"/>
  <c r="B390" i="2" s="1"/>
  <c r="B391" i="2" s="1"/>
  <c r="B392" i="2" s="1"/>
  <c r="B393" i="2" s="1"/>
  <c r="B394" i="2" s="1"/>
  <c r="B395" i="2" s="1"/>
  <c r="B396" i="2" s="1"/>
  <c r="B397" i="2" s="1"/>
  <c r="B398" i="2" s="1"/>
  <c r="B399" i="2" s="1"/>
  <c r="B400" i="2" s="1"/>
  <c r="B401" i="2" s="1"/>
  <c r="B402" i="2" s="1"/>
  <c r="B403" i="2" s="1"/>
  <c r="B404" i="2" s="1"/>
  <c r="B405" i="2" s="1"/>
  <c r="B406" i="2" s="1"/>
  <c r="B407" i="2" s="1"/>
  <c r="B408" i="2" s="1"/>
  <c r="B409" i="2" s="1"/>
  <c r="B410" i="2" s="1"/>
  <c r="B411" i="2" s="1"/>
  <c r="B412" i="2" s="1"/>
  <c r="B413" i="2" s="1"/>
  <c r="B414" i="2" s="1"/>
  <c r="B415" i="2" s="1"/>
  <c r="B416" i="2" s="1"/>
  <c r="B417" i="2" s="1"/>
  <c r="B418" i="2" s="1"/>
  <c r="B419" i="2" s="1"/>
  <c r="B420" i="2" s="1"/>
  <c r="B421" i="2" s="1"/>
  <c r="B422" i="2" s="1"/>
  <c r="B423" i="2" s="1"/>
  <c r="B424" i="2" s="1"/>
  <c r="B425" i="2" s="1"/>
  <c r="B426" i="2" s="1"/>
  <c r="B427" i="2" s="1"/>
  <c r="B428" i="2" s="1"/>
  <c r="B429" i="2" s="1"/>
  <c r="B430" i="2" s="1"/>
  <c r="B431" i="2" s="1"/>
  <c r="B432" i="2" s="1"/>
  <c r="B433" i="2" s="1"/>
  <c r="B434" i="2" s="1"/>
  <c r="B435" i="2" s="1"/>
  <c r="B436" i="2" s="1"/>
  <c r="B437" i="2" s="1"/>
  <c r="B438" i="2" s="1"/>
  <c r="B439" i="2" s="1"/>
  <c r="B440" i="2" s="1"/>
  <c r="B441" i="2" s="1"/>
  <c r="B442" i="2" s="1"/>
  <c r="B443" i="2" s="1"/>
  <c r="B444" i="2" s="1"/>
  <c r="B445" i="2" s="1"/>
  <c r="B446" i="2" s="1"/>
  <c r="B447" i="2" s="1"/>
  <c r="B448" i="2" s="1"/>
  <c r="B449" i="2" s="1"/>
  <c r="B450" i="2" s="1"/>
  <c r="B451" i="2" s="1"/>
  <c r="B452" i="2" s="1"/>
  <c r="B453" i="2" s="1"/>
  <c r="B454" i="2" s="1"/>
  <c r="B455" i="2" s="1"/>
  <c r="B456" i="2" s="1"/>
  <c r="B457" i="2" s="1"/>
  <c r="B458" i="2" s="1"/>
  <c r="B459" i="2" s="1"/>
  <c r="B460" i="2" s="1"/>
  <c r="B461" i="2" s="1"/>
  <c r="B462" i="2" s="1"/>
  <c r="B463" i="2" s="1"/>
  <c r="B464" i="2" s="1"/>
  <c r="B465" i="2" s="1"/>
  <c r="B466" i="2" s="1"/>
  <c r="B467" i="2" s="1"/>
  <c r="B468" i="2" s="1"/>
  <c r="B469" i="2" s="1"/>
  <c r="B470" i="2" s="1"/>
  <c r="B471" i="2" s="1"/>
  <c r="B472" i="2" s="1"/>
  <c r="B473" i="2" s="1"/>
  <c r="B474" i="2" s="1"/>
  <c r="B475" i="2" s="1"/>
  <c r="B476" i="2" s="1"/>
  <c r="B477" i="2" s="1"/>
  <c r="B478" i="2" s="1"/>
  <c r="B479" i="2" s="1"/>
  <c r="B480" i="2" s="1"/>
  <c r="B481" i="2" s="1"/>
  <c r="B482" i="2" s="1"/>
  <c r="B483" i="2" s="1"/>
  <c r="B484" i="2" s="1"/>
  <c r="B485" i="2" s="1"/>
  <c r="B486" i="2" s="1"/>
  <c r="B487" i="2" s="1"/>
  <c r="B488" i="2" s="1"/>
  <c r="B489" i="2" s="1"/>
  <c r="B490" i="2" s="1"/>
  <c r="B491" i="2" s="1"/>
  <c r="B492" i="2" s="1"/>
  <c r="B493" i="2" s="1"/>
  <c r="B494" i="2" s="1"/>
  <c r="B495" i="2" s="1"/>
  <c r="B496" i="2" s="1"/>
  <c r="B497" i="2" s="1"/>
  <c r="B498" i="2" s="1"/>
  <c r="B499" i="2" s="1"/>
  <c r="B500" i="2" s="1"/>
  <c r="B501" i="2" s="1"/>
  <c r="B502" i="2" s="1"/>
  <c r="B503" i="2" s="1"/>
  <c r="B504" i="2" s="1"/>
  <c r="B505" i="2" s="1"/>
  <c r="B506" i="2" s="1"/>
  <c r="B507" i="2" s="1"/>
  <c r="B508" i="2" s="1"/>
  <c r="B509" i="2" s="1"/>
  <c r="B510" i="2" s="1"/>
  <c r="B511" i="2" s="1"/>
  <c r="B512" i="2" s="1"/>
  <c r="B513" i="2" s="1"/>
  <c r="B514" i="2" s="1"/>
  <c r="B515" i="2" s="1"/>
  <c r="B516" i="2" s="1"/>
  <c r="B517" i="2" s="1"/>
  <c r="B518" i="2" s="1"/>
  <c r="B519" i="2" s="1"/>
  <c r="B520" i="2" s="1"/>
  <c r="B521" i="2" s="1"/>
  <c r="B522" i="2" s="1"/>
  <c r="B523" i="2" s="1"/>
  <c r="B524" i="2" s="1"/>
  <c r="B525" i="2" s="1"/>
  <c r="B526" i="2" s="1"/>
  <c r="B527" i="2" s="1"/>
  <c r="B528" i="2" s="1"/>
  <c r="B529" i="2" s="1"/>
  <c r="B530" i="2" s="1"/>
  <c r="B531" i="2" s="1"/>
  <c r="B532" i="2" s="1"/>
  <c r="B533" i="2" s="1"/>
  <c r="B534" i="2" s="1"/>
  <c r="B535" i="2" s="1"/>
  <c r="B536" i="2" s="1"/>
  <c r="B537" i="2" s="1"/>
  <c r="B538" i="2" s="1"/>
  <c r="B539" i="2" s="1"/>
  <c r="B540" i="2" s="1"/>
  <c r="B541" i="2" s="1"/>
  <c r="B542" i="2" s="1"/>
  <c r="B543" i="2" s="1"/>
  <c r="B544" i="2" s="1"/>
  <c r="B545" i="2" s="1"/>
  <c r="B546" i="2" s="1"/>
  <c r="B547" i="2" s="1"/>
  <c r="B548" i="2" s="1"/>
  <c r="B549" i="2" s="1"/>
  <c r="B550" i="2" s="1"/>
  <c r="B551" i="2" s="1"/>
  <c r="B552" i="2" s="1"/>
  <c r="B553" i="2" s="1"/>
  <c r="B554" i="2" s="1"/>
  <c r="B555" i="2" s="1"/>
  <c r="B556" i="2" s="1"/>
  <c r="B557" i="2" s="1"/>
  <c r="B558" i="2" s="1"/>
  <c r="B559" i="2" s="1"/>
  <c r="B560" i="2" s="1"/>
  <c r="B561" i="2" s="1"/>
  <c r="B562" i="2" s="1"/>
  <c r="B563" i="2" s="1"/>
  <c r="B564" i="2" s="1"/>
  <c r="B565" i="2" s="1"/>
  <c r="B566" i="2" s="1"/>
  <c r="B567" i="2" s="1"/>
  <c r="B568" i="2" s="1"/>
  <c r="B569" i="2" s="1"/>
  <c r="B570" i="2" s="1"/>
  <c r="B571" i="2" s="1"/>
  <c r="B572" i="2" s="1"/>
  <c r="B573" i="2" s="1"/>
  <c r="B574" i="2" s="1"/>
  <c r="B575" i="2" s="1"/>
  <c r="B576" i="2" s="1"/>
  <c r="B577" i="2" s="1"/>
  <c r="B578" i="2" s="1"/>
  <c r="B579" i="2" s="1"/>
  <c r="B580" i="2" s="1"/>
  <c r="B581" i="2" s="1"/>
  <c r="B582" i="2" s="1"/>
  <c r="B583" i="2" s="1"/>
  <c r="B584" i="2" s="1"/>
  <c r="B585" i="2" s="1"/>
  <c r="B586" i="2" s="1"/>
  <c r="B587" i="2" s="1"/>
  <c r="B588" i="2" s="1"/>
  <c r="B589" i="2" s="1"/>
  <c r="B590" i="2" s="1"/>
  <c r="B591" i="2" s="1"/>
  <c r="B592" i="2" s="1"/>
  <c r="B593" i="2" s="1"/>
  <c r="B594" i="2" s="1"/>
  <c r="B595" i="2" s="1"/>
  <c r="B596" i="2" s="1"/>
  <c r="B597" i="2" s="1"/>
  <c r="B598" i="2" s="1"/>
  <c r="B599" i="2" s="1"/>
  <c r="B600" i="2" s="1"/>
  <c r="B601" i="2" s="1"/>
  <c r="B602" i="2" s="1"/>
  <c r="B603" i="2" s="1"/>
  <c r="B604" i="2" s="1"/>
  <c r="B605" i="2" s="1"/>
  <c r="B606" i="2" s="1"/>
  <c r="B607" i="2" s="1"/>
  <c r="B608" i="2" s="1"/>
  <c r="B609" i="2" s="1"/>
  <c r="B610" i="2" s="1"/>
  <c r="B611" i="2" s="1"/>
  <c r="B612" i="2" s="1"/>
  <c r="B613" i="2" s="1"/>
  <c r="B614" i="2" s="1"/>
  <c r="B615" i="2" s="1"/>
  <c r="B616" i="2" s="1"/>
  <c r="B617" i="2" s="1"/>
  <c r="B618" i="2" s="1"/>
  <c r="B619" i="2" s="1"/>
  <c r="B620" i="2" s="1"/>
  <c r="B621" i="2" s="1"/>
  <c r="B622" i="2" s="1"/>
  <c r="B623" i="2" s="1"/>
  <c r="B624" i="2" s="1"/>
  <c r="B625" i="2" s="1"/>
  <c r="B626" i="2" s="1"/>
  <c r="B627" i="2" s="1"/>
  <c r="B628" i="2" s="1"/>
  <c r="B629" i="2" s="1"/>
  <c r="B630" i="2" s="1"/>
  <c r="B631" i="2" s="1"/>
  <c r="B632" i="2" s="1"/>
  <c r="B633" i="2" s="1"/>
  <c r="B634" i="2" s="1"/>
  <c r="B635" i="2" s="1"/>
  <c r="B636" i="2" s="1"/>
  <c r="B637" i="2" s="1"/>
  <c r="B638" i="2" s="1"/>
  <c r="B639" i="2" s="1"/>
  <c r="B640" i="2" s="1"/>
  <c r="B641" i="2" s="1"/>
  <c r="B642" i="2" s="1"/>
  <c r="B643" i="2" s="1"/>
  <c r="B644" i="2" s="1"/>
  <c r="B645" i="2" s="1"/>
  <c r="B646" i="2" s="1"/>
  <c r="B647" i="2" s="1"/>
  <c r="B648" i="2" s="1"/>
  <c r="B649" i="2" s="1"/>
  <c r="B650" i="2" s="1"/>
  <c r="B651" i="2" s="1"/>
  <c r="B652" i="2" s="1"/>
  <c r="B653" i="2" s="1"/>
  <c r="B654" i="2" s="1"/>
  <c r="B655" i="2" s="1"/>
  <c r="B656" i="2" s="1"/>
  <c r="B657" i="2" s="1"/>
  <c r="B658" i="2" s="1"/>
  <c r="B659" i="2" s="1"/>
  <c r="B660" i="2" s="1"/>
  <c r="B661" i="2" s="1"/>
  <c r="B662" i="2" s="1"/>
  <c r="B663" i="2" s="1"/>
  <c r="B664" i="2" s="1"/>
  <c r="B665" i="2" s="1"/>
  <c r="B666" i="2" s="1"/>
  <c r="B667" i="2" s="1"/>
  <c r="B668" i="2" s="1"/>
  <c r="B669" i="2" s="1"/>
  <c r="B670" i="2" s="1"/>
  <c r="B671" i="2" s="1"/>
  <c r="B672" i="2" s="1"/>
  <c r="B673" i="2" s="1"/>
  <c r="B674" i="2" s="1"/>
  <c r="B675" i="2" s="1"/>
  <c r="B676" i="2" s="1"/>
  <c r="B677" i="2" s="1"/>
  <c r="B678" i="2" s="1"/>
  <c r="B679" i="2" s="1"/>
  <c r="B680" i="2" s="1"/>
  <c r="B681" i="2" s="1"/>
  <c r="B682" i="2" s="1"/>
  <c r="B683" i="2" s="1"/>
  <c r="B684" i="2" s="1"/>
  <c r="B685" i="2" s="1"/>
  <c r="B686" i="2" s="1"/>
  <c r="B687" i="2" s="1"/>
  <c r="B688" i="2" s="1"/>
  <c r="B689" i="2" s="1"/>
  <c r="B690" i="2" s="1"/>
  <c r="B691" i="2" s="1"/>
  <c r="B692" i="2" s="1"/>
  <c r="B693" i="2" s="1"/>
  <c r="B694" i="2" s="1"/>
  <c r="B695" i="2" s="1"/>
  <c r="B696" i="2" s="1"/>
  <c r="B697" i="2" s="1"/>
  <c r="B698" i="2" s="1"/>
  <c r="B699" i="2" s="1"/>
  <c r="B700" i="2" s="1"/>
  <c r="B701" i="2" s="1"/>
  <c r="B702" i="2" s="1"/>
  <c r="B703" i="2" s="1"/>
  <c r="B704" i="2" s="1"/>
  <c r="B705" i="2" s="1"/>
  <c r="B706" i="2" s="1"/>
  <c r="B707" i="2" s="1"/>
  <c r="B708" i="2" s="1"/>
  <c r="B709" i="2" s="1"/>
  <c r="B710" i="2" s="1"/>
  <c r="B711" i="2" s="1"/>
  <c r="B712" i="2" s="1"/>
  <c r="B713" i="2" s="1"/>
  <c r="B714" i="2" s="1"/>
  <c r="B715" i="2" s="1"/>
  <c r="B716" i="2" s="1"/>
  <c r="B717" i="2" s="1"/>
  <c r="B718" i="2" s="1"/>
  <c r="B719" i="2" s="1"/>
  <c r="B720" i="2" s="1"/>
  <c r="B721" i="2" s="1"/>
  <c r="B722" i="2" s="1"/>
  <c r="B723" i="2" s="1"/>
  <c r="B724" i="2" s="1"/>
  <c r="B725" i="2" s="1"/>
  <c r="B726" i="2" s="1"/>
  <c r="B727" i="2" s="1"/>
  <c r="B728" i="2" s="1"/>
  <c r="B729" i="2" s="1"/>
  <c r="B730" i="2" s="1"/>
  <c r="B731" i="2" s="1"/>
  <c r="B732" i="2" s="1"/>
  <c r="B733" i="2" s="1"/>
  <c r="B734" i="2" s="1"/>
  <c r="B735" i="2" s="1"/>
  <c r="B736" i="2" s="1"/>
  <c r="B737" i="2" s="1"/>
  <c r="B738" i="2" s="1"/>
  <c r="B739" i="2" s="1"/>
  <c r="B740" i="2" s="1"/>
  <c r="B741" i="2" s="1"/>
  <c r="B742" i="2" s="1"/>
  <c r="B743" i="2" s="1"/>
  <c r="B744" i="2" s="1"/>
  <c r="B745" i="2" s="1"/>
  <c r="B746" i="2" s="1"/>
  <c r="B747" i="2" s="1"/>
  <c r="B748" i="2" s="1"/>
  <c r="B749" i="2" s="1"/>
  <c r="B750" i="2" s="1"/>
  <c r="B751" i="2" s="1"/>
  <c r="B752" i="2" s="1"/>
  <c r="B753" i="2" s="1"/>
  <c r="B754" i="2" s="1"/>
  <c r="B755" i="2" s="1"/>
  <c r="B756" i="2" s="1"/>
  <c r="B757" i="2" s="1"/>
  <c r="B758" i="2" s="1"/>
  <c r="B759" i="2" s="1"/>
  <c r="B760" i="2" s="1"/>
  <c r="B761" i="2" s="1"/>
  <c r="B762" i="2" s="1"/>
  <c r="B763" i="2" s="1"/>
  <c r="B764" i="2" s="1"/>
  <c r="B765" i="2" s="1"/>
  <c r="B766" i="2" s="1"/>
  <c r="B767" i="2" s="1"/>
  <c r="B768" i="2" s="1"/>
  <c r="B769" i="2" s="1"/>
  <c r="B770" i="2" s="1"/>
  <c r="B771" i="2" s="1"/>
  <c r="B772" i="2" s="1"/>
  <c r="B773" i="2" s="1"/>
  <c r="B774" i="2" s="1"/>
  <c r="B775" i="2" s="1"/>
  <c r="B776" i="2" s="1"/>
  <c r="B777" i="2" s="1"/>
  <c r="B778" i="2" s="1"/>
  <c r="B779" i="2" s="1"/>
  <c r="B780" i="2" s="1"/>
  <c r="B781" i="2" s="1"/>
  <c r="B782" i="2" s="1"/>
  <c r="B783" i="2" s="1"/>
  <c r="B784" i="2" s="1"/>
  <c r="B785" i="2" s="1"/>
  <c r="B786" i="2" s="1"/>
  <c r="B787" i="2" s="1"/>
  <c r="B788" i="2" s="1"/>
  <c r="B789" i="2" s="1"/>
  <c r="B790" i="2" s="1"/>
  <c r="B791" i="2" s="1"/>
  <c r="B792" i="2" s="1"/>
  <c r="B793" i="2" s="1"/>
  <c r="B794" i="2" s="1"/>
  <c r="B795" i="2" s="1"/>
  <c r="B796" i="2" s="1"/>
  <c r="B797" i="2" s="1"/>
  <c r="B798" i="2" s="1"/>
  <c r="B799" i="2" s="1"/>
  <c r="B800" i="2" s="1"/>
  <c r="B801" i="2" s="1"/>
  <c r="B802" i="2" s="1"/>
  <c r="B803" i="2" s="1"/>
  <c r="B804" i="2" s="1"/>
  <c r="B805" i="2" s="1"/>
  <c r="B806" i="2" s="1"/>
  <c r="B807" i="2" s="1"/>
  <c r="B808" i="2" s="1"/>
  <c r="B809" i="2" s="1"/>
  <c r="B810" i="2" s="1"/>
  <c r="B811" i="2" s="1"/>
  <c r="B812" i="2" s="1"/>
  <c r="B813" i="2" s="1"/>
  <c r="B814" i="2" s="1"/>
  <c r="B815" i="2" s="1"/>
  <c r="B816" i="2" s="1"/>
  <c r="B817" i="2" s="1"/>
  <c r="B818" i="2" s="1"/>
  <c r="B819" i="2" s="1"/>
  <c r="B820" i="2" s="1"/>
  <c r="B821" i="2" s="1"/>
  <c r="B822" i="2" s="1"/>
  <c r="B823" i="2" s="1"/>
  <c r="B824" i="2" s="1"/>
  <c r="B825" i="2" s="1"/>
  <c r="B826" i="2" s="1"/>
  <c r="B827" i="2" s="1"/>
  <c r="B828" i="2" s="1"/>
  <c r="B829" i="2" s="1"/>
  <c r="B830" i="2" s="1"/>
  <c r="B831" i="2" s="1"/>
  <c r="B832" i="2" s="1"/>
  <c r="B833" i="2" s="1"/>
  <c r="B834" i="2" s="1"/>
  <c r="B835" i="2" s="1"/>
  <c r="B836" i="2" s="1"/>
  <c r="B837" i="2" s="1"/>
  <c r="B838" i="2" s="1"/>
  <c r="B839" i="2" s="1"/>
  <c r="B840" i="2" s="1"/>
  <c r="B841" i="2" s="1"/>
  <c r="B842" i="2" s="1"/>
  <c r="B843" i="2" s="1"/>
  <c r="B844" i="2" s="1"/>
  <c r="B845" i="2" s="1"/>
  <c r="B846" i="2" s="1"/>
  <c r="B847" i="2" s="1"/>
  <c r="B848" i="2" s="1"/>
  <c r="B849" i="2" s="1"/>
  <c r="B850" i="2" s="1"/>
  <c r="B851" i="2" s="1"/>
  <c r="B852" i="2" s="1"/>
  <c r="B853" i="2" s="1"/>
  <c r="B854" i="2" s="1"/>
  <c r="B855" i="2" s="1"/>
  <c r="B856" i="2" s="1"/>
  <c r="B857" i="2" s="1"/>
  <c r="B858" i="2" s="1"/>
  <c r="B859" i="2" s="1"/>
  <c r="B860" i="2" s="1"/>
  <c r="B861" i="2" s="1"/>
  <c r="B862" i="2" s="1"/>
  <c r="B863" i="2" s="1"/>
  <c r="B864" i="2" s="1"/>
  <c r="B865" i="2" s="1"/>
  <c r="B866" i="2" s="1"/>
  <c r="B867" i="2" s="1"/>
  <c r="B868" i="2" s="1"/>
  <c r="B869" i="2" s="1"/>
  <c r="B870" i="2" s="1"/>
  <c r="B871" i="2" s="1"/>
  <c r="B872" i="2" s="1"/>
  <c r="B873" i="2" s="1"/>
  <c r="B874" i="2" s="1"/>
  <c r="B875" i="2" s="1"/>
  <c r="B876" i="2" s="1"/>
  <c r="B877" i="2" s="1"/>
  <c r="B878" i="2" s="1"/>
  <c r="B879" i="2" s="1"/>
  <c r="B880" i="2" s="1"/>
  <c r="B881" i="2" s="1"/>
  <c r="B882" i="2" s="1"/>
  <c r="B883" i="2" s="1"/>
  <c r="B884" i="2" s="1"/>
  <c r="B885" i="2" s="1"/>
  <c r="B886" i="2" s="1"/>
  <c r="B887" i="2" s="1"/>
  <c r="B888" i="2" s="1"/>
  <c r="B889" i="2" s="1"/>
  <c r="B890" i="2" s="1"/>
  <c r="B891" i="2" s="1"/>
  <c r="B892" i="2" s="1"/>
  <c r="B893" i="2" s="1"/>
  <c r="B894" i="2" s="1"/>
  <c r="B895" i="2" s="1"/>
  <c r="B896" i="2" s="1"/>
  <c r="B897" i="2" s="1"/>
  <c r="B898" i="2" s="1"/>
  <c r="B899" i="2" s="1"/>
  <c r="B900" i="2" s="1"/>
  <c r="B901" i="2" s="1"/>
  <c r="B902" i="2" s="1"/>
  <c r="B903" i="2" s="1"/>
  <c r="B904" i="2" s="1"/>
  <c r="B905" i="2" s="1"/>
  <c r="B906" i="2" s="1"/>
  <c r="B907" i="2" s="1"/>
  <c r="B908" i="2" s="1"/>
  <c r="B909" i="2" s="1"/>
  <c r="B910" i="2" s="1"/>
  <c r="B911" i="2" s="1"/>
  <c r="B912" i="2" s="1"/>
  <c r="B913" i="2" s="1"/>
  <c r="B914" i="2" s="1"/>
  <c r="B915" i="2" s="1"/>
  <c r="B916" i="2" s="1"/>
  <c r="B917" i="2" s="1"/>
  <c r="B918" i="2" s="1"/>
  <c r="B919" i="2" s="1"/>
  <c r="B920" i="2" s="1"/>
  <c r="B921" i="2" s="1"/>
  <c r="B922" i="2" s="1"/>
  <c r="B923" i="2" s="1"/>
  <c r="B924" i="2" s="1"/>
  <c r="B925" i="2" s="1"/>
  <c r="B926" i="2" s="1"/>
  <c r="B927" i="2" s="1"/>
  <c r="B928" i="2" s="1"/>
  <c r="B929" i="2" s="1"/>
  <c r="B930" i="2" s="1"/>
  <c r="B931" i="2" s="1"/>
  <c r="B932" i="2" s="1"/>
  <c r="B933" i="2" s="1"/>
  <c r="B934" i="2" s="1"/>
  <c r="B935" i="2" s="1"/>
  <c r="B936" i="2" s="1"/>
  <c r="B937" i="2" s="1"/>
  <c r="B938" i="2" s="1"/>
  <c r="B939" i="2" s="1"/>
  <c r="B940" i="2" s="1"/>
  <c r="B941" i="2" s="1"/>
  <c r="B942" i="2" s="1"/>
  <c r="B943" i="2" s="1"/>
  <c r="B944" i="2" s="1"/>
  <c r="B945" i="2" s="1"/>
  <c r="B946" i="2" s="1"/>
  <c r="B947" i="2" s="1"/>
  <c r="B948" i="2" s="1"/>
  <c r="B949" i="2" s="1"/>
  <c r="B950" i="2" s="1"/>
  <c r="B951" i="2" s="1"/>
  <c r="B952" i="2" s="1"/>
  <c r="B953" i="2" s="1"/>
  <c r="B954" i="2" s="1"/>
  <c r="B955" i="2" s="1"/>
  <c r="B956" i="2" s="1"/>
  <c r="B957" i="2" s="1"/>
  <c r="B958" i="2" s="1"/>
  <c r="B959" i="2" s="1"/>
  <c r="B960" i="2" s="1"/>
  <c r="B961" i="2" s="1"/>
  <c r="B962" i="2" s="1"/>
  <c r="B963" i="2" s="1"/>
  <c r="B964" i="2" s="1"/>
  <c r="B965" i="2" s="1"/>
  <c r="B966" i="2" s="1"/>
  <c r="B967" i="2" s="1"/>
  <c r="B968" i="2" s="1"/>
  <c r="B969" i="2" s="1"/>
  <c r="B970" i="2" s="1"/>
  <c r="B971" i="2" s="1"/>
  <c r="B972" i="2" s="1"/>
  <c r="B973" i="2" s="1"/>
  <c r="B974" i="2" s="1"/>
  <c r="B975" i="2" s="1"/>
  <c r="B976" i="2" s="1"/>
  <c r="B977" i="2" s="1"/>
  <c r="B978" i="2" s="1"/>
  <c r="B979" i="2" s="1"/>
  <c r="B980" i="2" s="1"/>
  <c r="B981" i="2" s="1"/>
  <c r="B982" i="2" s="1"/>
  <c r="B983" i="2" s="1"/>
  <c r="B984" i="2" s="1"/>
  <c r="B985" i="2" s="1"/>
  <c r="B986" i="2" s="1"/>
  <c r="B987" i="2" s="1"/>
  <c r="B988" i="2" s="1"/>
  <c r="B989" i="2" s="1"/>
  <c r="B990" i="2" s="1"/>
  <c r="B991" i="2" s="1"/>
  <c r="B992" i="2" s="1"/>
  <c r="B993" i="2" s="1"/>
  <c r="B994" i="2" s="1"/>
  <c r="B995" i="2" s="1"/>
  <c r="B996" i="2" s="1"/>
  <c r="B997" i="2" s="1"/>
  <c r="B998" i="2" s="1"/>
  <c r="B999" i="2" s="1"/>
  <c r="B1000" i="2" s="1"/>
  <c r="B1001" i="2" s="1"/>
  <c r="B1002" i="2" s="1"/>
  <c r="B1003" i="2" s="1"/>
  <c r="B1004" i="2" s="1"/>
  <c r="B1005" i="2" s="1"/>
  <c r="B1006" i="2" s="1"/>
  <c r="B1007" i="2" s="1"/>
  <c r="B1008" i="2" s="1"/>
  <c r="B1009" i="2" s="1"/>
  <c r="B1010" i="2" s="1"/>
  <c r="B1011" i="2" s="1"/>
  <c r="B1012" i="2" s="1"/>
  <c r="B1013" i="2" s="1"/>
  <c r="B1014" i="2" s="1"/>
  <c r="B1015" i="2" s="1"/>
  <c r="B1016" i="2" s="1"/>
  <c r="B1017" i="2" s="1"/>
  <c r="B1018" i="2" s="1"/>
  <c r="B1019" i="2" s="1"/>
  <c r="B1020" i="2" s="1"/>
  <c r="B1021" i="2" s="1"/>
  <c r="B1022" i="2" s="1"/>
  <c r="B1023" i="2" s="1"/>
  <c r="B1024" i="2" s="1"/>
  <c r="G89" i="7" l="1" a="1"/>
  <c r="J89" i="7" a="1"/>
  <c r="H89" i="7" a="1"/>
  <c r="I89" i="7" a="1"/>
  <c r="Q89" i="7" a="1"/>
  <c r="N89" i="7" a="1"/>
  <c r="O89" i="7" a="1"/>
  <c r="P89" i="7" a="1"/>
  <c r="V89" i="7" a="1"/>
  <c r="U89" i="7" a="1"/>
  <c r="X89" i="7" a="1"/>
  <c r="W89" i="7"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<sst xmlns="http://schemas.openxmlformats.org/spreadsheetml/2006/main" count="3738" uniqueCount="1147">
  <si>
    <t>S.no</t>
  </si>
  <si>
    <t>Discipline</t>
  </si>
  <si>
    <t>Category</t>
  </si>
  <si>
    <t>DRG ID</t>
  </si>
  <si>
    <t>Responsible Person</t>
  </si>
  <si>
    <t>1st Submission Plan</t>
  </si>
  <si>
    <t>1st Submission
Plan (Before changes in scope)</t>
  </si>
  <si>
    <t>Actual Submission to Client</t>
  </si>
  <si>
    <t>Revised  Submission date (Plan)</t>
  </si>
  <si>
    <t>Actual Revised submission</t>
  </si>
  <si>
    <t>Planned Approval Date</t>
  </si>
  <si>
    <t>Actual  Approval Date</t>
  </si>
  <si>
    <t>Planned Hard copy Sub.dates</t>
  </si>
  <si>
    <t>Actual Hard copy sub.dates</t>
  </si>
  <si>
    <t>Dependency</t>
  </si>
  <si>
    <t>MEP</t>
  </si>
  <si>
    <t>PHE</t>
  </si>
  <si>
    <t>WLH/KEC/SIEC/SEWAGE/BASEMENT/00</t>
  </si>
  <si>
    <t>Basement</t>
  </si>
  <si>
    <t xml:space="preserve"> PHE BASEMENT SEWARAGE FLOOR PLAN</t>
  </si>
  <si>
    <t>Aashish</t>
  </si>
  <si>
    <t>WLH/KEC/SIEC/DRAINAGE/BASEMENT/00</t>
  </si>
  <si>
    <t xml:space="preserve"> SANITARY &amp; DRAINAGE BASEMENT CIELING PLAN</t>
  </si>
  <si>
    <t>WLH/KEC/SIEC/WATER SUPPLY/GF FL/00</t>
  </si>
  <si>
    <t>Ground Floor</t>
  </si>
  <si>
    <t xml:space="preserve"> PHE WATER SUPPLY GROUND FLOOR PLAN</t>
  </si>
  <si>
    <t>WLH/KEC/SIEC/DRAINAGE/GF FL/00</t>
  </si>
  <si>
    <t>SANITARY &amp; DRAINAGE GROUND CIELING PLAN</t>
  </si>
  <si>
    <t>WLH/KEC/SIEC/WATER SUPPLY/1ST FL/00</t>
  </si>
  <si>
    <t>First Floor</t>
  </si>
  <si>
    <t xml:space="preserve"> PHE WATER SUPPLY 1ST FLOOR PLAN</t>
  </si>
  <si>
    <t>WLH/KEC/SIEC/DRAINAGE/1ST FL/00</t>
  </si>
  <si>
    <t xml:space="preserve"> SANITARY &amp; DRAINAGE 1ST CIELING PLAN</t>
  </si>
  <si>
    <t>WLH/KEC/SIEC/WATER SUPPLY/2ND FL/00</t>
  </si>
  <si>
    <t>Second Floor</t>
  </si>
  <si>
    <t xml:space="preserve"> PHE WATER SUPPLY 2ND FLOOR PLAN</t>
  </si>
  <si>
    <t>WLH/KEC/SIEC/DRAINAGE/2ND FL/00</t>
  </si>
  <si>
    <t xml:space="preserve"> SANITARY &amp; DRAINAGE 2ND CIELING PLAN</t>
  </si>
  <si>
    <t>WLH/KEC/SIEC/WATER SUPPLY/3RD FL/00</t>
  </si>
  <si>
    <t>Third Floor</t>
  </si>
  <si>
    <t xml:space="preserve"> PHE WATER SUPPLY 3RD FLOOR PLAN</t>
  </si>
  <si>
    <t>WLH/KEC/SIEC/DRAINAGE/3RD FL/00</t>
  </si>
  <si>
    <t xml:space="preserve"> SANITARY &amp; DRAINAGE 3RD CIELING PLAN</t>
  </si>
  <si>
    <t>WLH/KEC/SIEC/WATER SUPPLY/4TH FL/00</t>
  </si>
  <si>
    <t>Fourth Floor</t>
  </si>
  <si>
    <t xml:space="preserve"> PHE WATER SUPPLY 4TH FLOOR PLAN</t>
  </si>
  <si>
    <t>WLH/KEC/SIEC/DRAINAGE/4TH FL/00</t>
  </si>
  <si>
    <t>SANITARY &amp; DRAINAGE 4TH CIELING PLAN</t>
  </si>
  <si>
    <t>WLH/KEC/SIEC/WATER SUPPLY/5TH FL/00</t>
  </si>
  <si>
    <t>Fifth Floor</t>
  </si>
  <si>
    <t xml:space="preserve"> PHE WATER SUPPLY 5TH FLOOR PLAN</t>
  </si>
  <si>
    <t>WLH/KEC/SIEC/DRAINAGE/5TH FL/00</t>
  </si>
  <si>
    <t xml:space="preserve"> SANITARY &amp; DRAINAGE 5TH CIELING PLAN</t>
  </si>
  <si>
    <t>WLH/KEC/SIEC/WATER SUPPLY/6TH FL/00</t>
  </si>
  <si>
    <t>Sixth Floor</t>
  </si>
  <si>
    <t xml:space="preserve"> PHE WATER SUPPLY 6TH  FLOOR PLAN</t>
  </si>
  <si>
    <t>WLH/KEC/SIEC/DRAINAGE/6TH FL/00</t>
  </si>
  <si>
    <t xml:space="preserve"> SANITARY &amp; DRAINAGE 6TH  CIELING PLAN</t>
  </si>
  <si>
    <t>WLH/KEC/SIEC/WATER SUPPLY/7TH FL/00</t>
  </si>
  <si>
    <t>Seventh Floor</t>
  </si>
  <si>
    <t xml:space="preserve"> PHE WATER SUPPLY 7TH FLOOR PLAN </t>
  </si>
  <si>
    <t>WLH/KEC/SIEC/DRAINAGE/7TH FL/00</t>
  </si>
  <si>
    <t xml:space="preserve"> SANITARY &amp; DRAINAGE 7TH CIELING PLAN </t>
  </si>
  <si>
    <t>WLH/KEC/SIEC/WATER SUPPLY/8TH FL/00</t>
  </si>
  <si>
    <t>Eighth Floor</t>
  </si>
  <si>
    <t>GFC PHE WATER SUPPLY 8TH FLOOR PLAN</t>
  </si>
  <si>
    <t>WLH/KEC/SIEC/DRAINAGE/8TH FL/00</t>
  </si>
  <si>
    <t xml:space="preserve"> SANITARY &amp; DRAINAGE 8TH CIELING PLAN</t>
  </si>
  <si>
    <t>WLH/KEC/SIEC/WATER SUPPLY/9TH FL/00</t>
  </si>
  <si>
    <t>Ninth floor</t>
  </si>
  <si>
    <t xml:space="preserve"> PHE WATER SUPPLY 9th FLOOR PLAN</t>
  </si>
  <si>
    <t>WLH/KEC/SIEC/DRAINAGE/9TH FL/00</t>
  </si>
  <si>
    <t xml:space="preserve"> SANITARY &amp; DRAINAGE 9th CIELING PLAN</t>
  </si>
  <si>
    <t>WLH/KEC/SIEC/WATER SUPPLY/10TH FL/00</t>
  </si>
  <si>
    <t>Tenth Floor</t>
  </si>
  <si>
    <t>PHE WATER SUPPLY 10th FLOOR PLAN</t>
  </si>
  <si>
    <t>WLH/KEC/SIEC/DRAINAGE/10TH FL/00</t>
  </si>
  <si>
    <t xml:space="preserve"> SANITARY &amp; DRAINAGE 10th CIELING PLAN</t>
  </si>
  <si>
    <t>WLH/KEC/SIEC/WATER SUPPLY/TERRACE FL/00</t>
  </si>
  <si>
    <t>Terrace floor</t>
  </si>
  <si>
    <t xml:space="preserve"> PHE WATER SUPPLY TERRACE PLAN</t>
  </si>
  <si>
    <t>WLH/KEC/SIEC/DRAINAGE/TRRRACE FL/00</t>
  </si>
  <si>
    <t>SANITARY &amp; DRAINAGE  TERRACE PLAN</t>
  </si>
  <si>
    <t>WLH/KEC/SIEC/DRAINAGE/MUMTY TERRACE FL/00</t>
  </si>
  <si>
    <t xml:space="preserve"> SANITARY &amp; DRAINAGE MUMTY TERRACE PLAN</t>
  </si>
  <si>
    <t>WLH/KEC/SIEC/PHE/INFRA/EXTSEWERAGE/00</t>
  </si>
  <si>
    <t>External</t>
  </si>
  <si>
    <t>PHE EXTERNAL SEWERAGE LAYOUT</t>
  </si>
  <si>
    <t>WLH/KEC/SIEC/PHE/INFRA/00</t>
  </si>
  <si>
    <t>PHE EXTERNAL CO-ORDINATED LAYOUT</t>
  </si>
  <si>
    <t>WLH/KEC/SIEC/PHE/INFRA WATER SUPPLY/00</t>
  </si>
  <si>
    <t>PHE INFRASTRUCTURE WATER SUPPLY LAYOUT</t>
  </si>
  <si>
    <t>WLH/KEC/SIEC/PHE/INFRA/EXTSTORMWATER/00</t>
  </si>
  <si>
    <t>PHE EXTERNAL STORM WATER LAYOUT</t>
  </si>
  <si>
    <t>WLH/KEC/SIEC/PHE/INFRA/RECHARGE BOREWELL00</t>
  </si>
  <si>
    <t>PHE EXTERNAL RECHARGE BOREWELL DRAWING</t>
  </si>
  <si>
    <t>WLH/KEC/SIEC/WATER SUPPLY SLD/00</t>
  </si>
  <si>
    <t>Common</t>
  </si>
  <si>
    <t>WATER SUPPLY SINGLE LINE DIAGRAM</t>
  </si>
  <si>
    <t>WLH/KEC/SIEC/SANITARY DRAINAGE/SLD/00</t>
  </si>
  <si>
    <t>SANITARY DRAINAGE SINGLE LINE DIAGRAM</t>
  </si>
  <si>
    <t>WLH/KEC/SIEC/RAIN WATER DRAINAGE/SLD/00</t>
  </si>
  <si>
    <t>RAINWATER DRAINAGE SINGLE LINE DIAGRAM</t>
  </si>
  <si>
    <t>WLH/KEC/SIEC/OWT/PHE/00</t>
  </si>
  <si>
    <t>OVERHEAD WATER TANK &amp; EQUIPMENT ROOM DETAILS</t>
  </si>
  <si>
    <t>WLH/KEC/SIEC/DRAINAGE/BASEMENT/DEWATERING/00</t>
  </si>
  <si>
    <t xml:space="preserve"> BASEMENT DEWATERING LAYOUT</t>
  </si>
  <si>
    <t>WLH/KEC/SIEC/PHE/CONST. DETAILS/00</t>
  </si>
  <si>
    <t>PHE TYPICAL STANDARD CONSTRUCTION DETAILS</t>
  </si>
  <si>
    <t>WLH/KEC/SIEC/WATER SUPPLY/EXTERNAL/00</t>
  </si>
  <si>
    <t xml:space="preserve"> PHE WATER SUPPLY  EXTERNAL LAYOUT</t>
  </si>
  <si>
    <t>WLH/KEC/SIEC/PHE/BASEMENT TOILET/00</t>
  </si>
  <si>
    <t xml:space="preserve"> PHE BASEMENT TOILET SEWAGE LAYOUT</t>
  </si>
  <si>
    <t>WLH/KEC/SIEC/DRAINAGE/SUMP DETAIL/00</t>
  </si>
  <si>
    <t>PHE SUMP DETAILS LAYOUT</t>
  </si>
  <si>
    <t>WLH/KEC/STP/BASEMENT/00</t>
  </si>
  <si>
    <t>STP DESIGN DRAWINGS</t>
  </si>
  <si>
    <t>WLH/KEC/STP/SCHEMATIC</t>
  </si>
  <si>
    <t>STP DESIGN SCHEMATIC</t>
  </si>
  <si>
    <t>WLH/KEC/ETP/SCHEMATIC</t>
  </si>
  <si>
    <t>ETP DESIGN SCHEMATIC</t>
  </si>
  <si>
    <t>WLH/KEC/ETP/BASEMENT/00</t>
  </si>
  <si>
    <t xml:space="preserve"> ETP DESIGN DRAWINGS</t>
  </si>
  <si>
    <t>WLH/KEC/SIEC/PHE/IRRIGATION/00</t>
  </si>
  <si>
    <t>IRRIGATION LAYOUT</t>
  </si>
  <si>
    <t>Electrical</t>
  </si>
  <si>
    <t>WLH/KEC/SIEC/ELEC/INFRA/00</t>
  </si>
  <si>
    <t>ELECTRICAL INFRASTRUCTURE LAYOUT</t>
  </si>
  <si>
    <t>T Surya</t>
  </si>
  <si>
    <t>WLH/KEC/SIEC/ELEC/DG/00</t>
  </si>
  <si>
    <t>ELECTRICAL DG SET DRAWING WITH DG STACK</t>
  </si>
  <si>
    <t>Dependent on DG Vendor</t>
  </si>
  <si>
    <t>WLH/KEC/SIEC/ELEC/EXTERNAL LIGHTING/00</t>
  </si>
  <si>
    <t>ELECTRICAL EXTERNAL LIGHTING LAYOUT</t>
  </si>
  <si>
    <t>WLH/KEC/SIEC/ELEC/SUBSTATION/00</t>
  </si>
  <si>
    <t>ELECTRICAL SUBSTATION LAYOUT</t>
  </si>
  <si>
    <t>WLH/KEC/SIEC/ELEC/EARTHING GRID SCHEMATIC/00</t>
  </si>
  <si>
    <t>EARTHING GRID SCHEMATIC LAYOUT</t>
  </si>
  <si>
    <t>WLH/KEC/SIEC/ELECTRICAL/DBR/00</t>
  </si>
  <si>
    <t>ELECTRICAL DBR COMMENTARY</t>
  </si>
  <si>
    <t>WLH/KEC/SIEC/ELEC/MUMTY TERRACE SOLAR/00</t>
  </si>
  <si>
    <t>Above Roof</t>
  </si>
  <si>
    <t>ELECTRICAL SOLAR SYSTEM F PLAN</t>
  </si>
  <si>
    <t>WLH/KEC/SIEC/ELEC/EQUIPMENT &amp; EARTHING/00</t>
  </si>
  <si>
    <t>ELECTRICAL EQUIPMENT LAYOUT WITH EARTHING LAYOUT</t>
  </si>
  <si>
    <t>WLH/KEC/SIEC/ELEC/HEIGHT SCHEDULE/00</t>
  </si>
  <si>
    <t>TYPICAL ELECTRICAL INSTALLATION DETAILS WITH HEIGHT SCHEDULE</t>
  </si>
  <si>
    <t>WLH/KEC/SIEC/ELEC/EXTCT/00</t>
  </si>
  <si>
    <t>ELECTRICAL EXTERNAL CABLE TRAY LAYOUT</t>
  </si>
  <si>
    <t>WLH/KEC/SIEC/ELEC/MAIN ROOM DETAILED LAYOUT/00</t>
  </si>
  <si>
    <t>MAIN ELECTRICAL ROOM DETAILED LAYOUT</t>
  </si>
  <si>
    <t>WLH/KEC/SIEC/ELEC/UPS/00</t>
  </si>
  <si>
    <t>ELECTRICAL UPS DRAWING</t>
  </si>
  <si>
    <t>Vendor shortlisted, PO to be release</t>
  </si>
  <si>
    <t>WLH/KEC/SIEC/ELEC/POWER CONDUIT/BASEMENT/01</t>
  </si>
  <si>
    <t>POWER LAYOUT WITH SLD BASEMNET PLAN</t>
  </si>
  <si>
    <t>WLH/KEC/SIEC/ELEC/POWER CONDUIT/BASEMENT/02</t>
  </si>
  <si>
    <t>WLH/KEC/SIEC/ELEC/POWER CONDUIT/BASEMENT/03</t>
  </si>
  <si>
    <t>WLH/KEC/SIEC/ELEC/LIGHTING CONDUIT/BASEMENT/00</t>
  </si>
  <si>
    <t>LIGHTING LAYOUT WITH SLD BASEMENT PLAN</t>
  </si>
  <si>
    <t>WLH/KEC/SIEC/ELEC/BASEMENT/00</t>
  </si>
  <si>
    <t>ELECTRICAL BASEMENT CABLE TRAY LAYOUT</t>
  </si>
  <si>
    <t>WLH/KEC/SIEC/ELEC/POWER CONDUIT/GR FL/01</t>
  </si>
  <si>
    <t>POWER LAYOUT WITH SLD GROUND FLOOR PLAN</t>
  </si>
  <si>
    <t>WLH/KEC/SIEC/ELEC/POWER CONDUIT/GR FL/02</t>
  </si>
  <si>
    <t>WLH/KEC/SIEC/ELEC/POWER CONDUIT/GR FL/03</t>
  </si>
  <si>
    <t>WLH/KEC/SIEC/ELEC/LIGHTING CONDUIT/GR FL/00</t>
  </si>
  <si>
    <t>LIGHTING LAYOUT WITH SLD GROUND FLOOR PLAN</t>
  </si>
  <si>
    <t>WLH/KEC/SIEC/ELEC/GFCT/00</t>
  </si>
  <si>
    <t>ELECTRICAL GROUND  FLOOR CABLE TRAY LAYOUT</t>
  </si>
  <si>
    <t>WLH/KEC/SIEC/ELEC/POWER CONDUIT/1ST FL/01</t>
  </si>
  <si>
    <t>POWER LAYOUT WITH SLD 1ST FLOOR PLAN</t>
  </si>
  <si>
    <t>WLH/KEC/SIEC/ELEC/POWER CONDUIT/1ST FL/02</t>
  </si>
  <si>
    <t>WLH/KEC/SIEC/ELEC/POWER CONDUIT/1ST FL/03</t>
  </si>
  <si>
    <t>WLH/KEC/SIEC/ELEC/LIGHTING CONDUIT/1ST FL/00</t>
  </si>
  <si>
    <t>LIGHTING LAYOUT WITH SLD 1ST FLOOR PLAN</t>
  </si>
  <si>
    <t>WLH/KEC/SIEC/ELEC/POWERCONDUIT/2ND FL/01</t>
  </si>
  <si>
    <t>POWER LAYOUT WITH SLD 2ND FLOOR PLAN</t>
  </si>
  <si>
    <t>WLH/KEC/SIEC/ELEC/POWERCONDUIT/2ND FL/02</t>
  </si>
  <si>
    <t>WLH/KEC/SIEC/ELEC/POWERCONDUIT/2ND FL/03</t>
  </si>
  <si>
    <t>WLH/KEC/SIEC/ELEC/LIGHTING CONDUIT/2ND FL/00</t>
  </si>
  <si>
    <t>LIGHTING LAYOUT WITH SLD 2ND FLOOR PLAN</t>
  </si>
  <si>
    <t>WLH/KEC/SIEC/ELEC/2NDCT/00</t>
  </si>
  <si>
    <t>ELECTRICAL 2ND FLOOR CABLE TRAY LAYOUT</t>
  </si>
  <si>
    <t>WLH/KEC/SIEC/ELEC/POWER CONDUIT/3RD FL/01</t>
  </si>
  <si>
    <t>POWER LAYOUT WITH SLD 3RD FLOOR PLAN</t>
  </si>
  <si>
    <t>WLH/KEC/SIEC/ELEC/POWER CONDUIT/3RD FL/02</t>
  </si>
  <si>
    <t>WLH/KEC/SIEC/ELEC/POWER CONDUIT/3RD FL/03</t>
  </si>
  <si>
    <t>WLH/KEC/SIEC/ELEC/LIGHTING CONDUIT/3RD FL/00</t>
  </si>
  <si>
    <t>LIGHTING LAYOUT WITH SLD 3RD FLOOR PLAN</t>
  </si>
  <si>
    <t>WLH/KEC/SIEC/ELEC/3RDCT/00</t>
  </si>
  <si>
    <t>ELECTRICAL 3RD FLOOR CABLE TRAY LAYOUT</t>
  </si>
  <si>
    <t>WLH/KEC/SIEC/ELEC/POWER CONDUIT/4TH FL/01</t>
  </si>
  <si>
    <t>POWER LAYOUT WITH SLD 4TH FLOOR PLAN</t>
  </si>
  <si>
    <t>WLH/KEC/SIEC/ELEC/POWER CONDUIT/4TH FL/02</t>
  </si>
  <si>
    <t>WLH/KEC/SIEC/ELEC/POWER CONDUIT/4TH FL/03</t>
  </si>
  <si>
    <t>WLH/KEC/SIEC/ELEC/LIGHTING CONDUIT/4TH FL/00</t>
  </si>
  <si>
    <t>LIGHTING LAYOUT WITH SLD 4TH FLOOR PLAN</t>
  </si>
  <si>
    <t>WLH/KEC/SIEC/ELEC/4THCT/00</t>
  </si>
  <si>
    <t>ELECTRICAL 4TH FLOOR CABLE TRAY LAYOUT</t>
  </si>
  <si>
    <t>WLH/KEC/SIEC/ELEC/POWER CONDUIT/5TH FL/01</t>
  </si>
  <si>
    <t>POWER LAYOUT WITH SLD 5TH FLOOR PLAN</t>
  </si>
  <si>
    <t>WLH/KEC/SIEC/ELEC/POWER CONDUIT/5TH FL/02</t>
  </si>
  <si>
    <t>WLH/KEC/SIEC/ELEC/POWER CONDUIT/5TH FL/03</t>
  </si>
  <si>
    <t>WLH/KEC/SIEC/ELEC/LIGHTING CONDUIT/5TH FL/00</t>
  </si>
  <si>
    <t>LIGHTING LAYOUT WITH SLD 5TH FLOOR PLAN</t>
  </si>
  <si>
    <t>WLH/KEC/SIEC/ELEC/5THCT/00</t>
  </si>
  <si>
    <t>ELECTRICAL 5TH FLOOR CABLE TRAY LAYOUT</t>
  </si>
  <si>
    <t>WLH/KEC/SIEC/ELEC/POWER CONDUIT/6TH FL/01</t>
  </si>
  <si>
    <t>POWER LAYOUT WITH SLD 6TH FLOOR PLAN</t>
  </si>
  <si>
    <t>WLH/KEC/SIEC/ELEC/POWER CONDUIT/6TH FL/02</t>
  </si>
  <si>
    <t>WLH/KEC/SIEC/ELEC/POWER CONDUIT/6TH FL/03</t>
  </si>
  <si>
    <t>WLH/KEC/SIEC/ELEC/LIGHTING CONDUIT/6TH FL/00</t>
  </si>
  <si>
    <t>LIGHTING LAYOUT WITH SLD 6TH FLOOR PLAN</t>
  </si>
  <si>
    <t>WLH/KEC/SIEC/ELEC/6THCT/00</t>
  </si>
  <si>
    <t>ELECTRICAL 6TH  FLOOR CABLE TRAY LAYOUT</t>
  </si>
  <si>
    <t>WLH/KEC/SIEC/ELEC/POWER CONDUIT/7TH FL/01</t>
  </si>
  <si>
    <t>POWER LAYOUT WITH SLD 7TH FLOOR PLAN</t>
  </si>
  <si>
    <t>WLH/KEC/SIEC/ELEC/POWER CONDUIT/7TH FL/02</t>
  </si>
  <si>
    <t>WLH/KEC/SIEC/ELEC/POWER CONDUIT/7TH FL/03</t>
  </si>
  <si>
    <t>WLH/KEC/SIEC/ELEC/LIGHTING CONDUIT/7TH FL/00</t>
  </si>
  <si>
    <t>LIGHTING LAYOUT WITH SLD 7TH FLOOR PLAN</t>
  </si>
  <si>
    <t>WLH/KEC/SIEC/ELEC/7THCT/00</t>
  </si>
  <si>
    <t xml:space="preserve">ELECTRICAL 7TH FLOOR CABLE TRAY LAYOUT </t>
  </si>
  <si>
    <t>WLH/KEC/SIEC/ELEC/POWER CONDUIT/8TH FL/01</t>
  </si>
  <si>
    <t>POWER LAYOUT WITH SLD 8TH FLOOR PLAN</t>
  </si>
  <si>
    <t>WLH/KEC/SIEC/ELEC/POWER CONDUIT/8TH FL/02</t>
  </si>
  <si>
    <t>WLH/KEC/SIEC/ELEC/POWER CONDUIT/8TH FL/03</t>
  </si>
  <si>
    <t>WLH/KEC/SIEC/ELEC/LIGHTING CONDUIT/8TH FL/00</t>
  </si>
  <si>
    <t>LIGHTING LAYOUT WITH SLD 8TH FLOOR PLAN</t>
  </si>
  <si>
    <t>WLH/KEC/SIEC/ELEC/8THCT/00</t>
  </si>
  <si>
    <t>ELECTRICAL 8TH FLOOR CABLE TRAY LAYOUT</t>
  </si>
  <si>
    <t>WLH/KEC/SIEC/ELEC/POWER CONDUIT/9TH FL/01</t>
  </si>
  <si>
    <t>POWER LAYOUT WITH SLD 9TH FLOOR PLAN</t>
  </si>
  <si>
    <t>WLH/KEC/SIEC/ELEC/POWER CONDUIT/9TH FL/02</t>
  </si>
  <si>
    <t>WLH/KEC/SIEC/ELEC/POWER CONDUIT/9TH FL/03</t>
  </si>
  <si>
    <t>WLH/KEC/SIEC/ELEC/LIGHTING CONDUIT/9TH FL/00</t>
  </si>
  <si>
    <t>LIGHTING LAYOUT WITH SLD 9TH FLOOR PLAN</t>
  </si>
  <si>
    <t>WLH/KEC/SIEC/ELEC/9TH CT/00</t>
  </si>
  <si>
    <t>ELECTRICAL 9TH FLOOR CABLE TRAY LAYOUT</t>
  </si>
  <si>
    <t>WLH/KEC/SIEC/ELEC/POWER CONDUIT/10TH FL/01</t>
  </si>
  <si>
    <t>POWER LAYOUT WITH SLD 10TH FLOOR PLAN</t>
  </si>
  <si>
    <t>WLH/KEC/SIEC/ELEC/POWER CONDUIT/10TH FL/02</t>
  </si>
  <si>
    <t>WLH/KEC/SIEC/ELEC/POWER CONDUIT/10TH FL/03</t>
  </si>
  <si>
    <t>WLH/KEC/SIEC/ELEC/LIGHTING CONDUIT/10TH FL/00</t>
  </si>
  <si>
    <t>LIGHTING LAYOUT WITH SLD 10TH FLOOR PLAN</t>
  </si>
  <si>
    <t>WLH/KEC/SIEC/ELEC/10THCT/00</t>
  </si>
  <si>
    <t>ELECTRICAL 10TH FLOOR CABLE TRAY LAYOUT</t>
  </si>
  <si>
    <t>WLH/KEC/SIEC/ELEC/POWER/TERRACE/00</t>
  </si>
  <si>
    <t>POWER LAYOUT WITH SLD TERRACE FLOOR PLAN</t>
  </si>
  <si>
    <t>WLH/KEC/SIEC/ELEC/POWER CONDUIT/TERRACE FL/00</t>
  </si>
  <si>
    <t>WLH/KEC/SIEC/ELEC/LIGHTING CONDUIT/TERRACE FL/00</t>
  </si>
  <si>
    <t>LIGHTING LAYOUT WITH SLD TERRACE FLOOR PLAN</t>
  </si>
  <si>
    <t>WLH/KEC/SIEC/ELEC/TERRACECT/00</t>
  </si>
  <si>
    <t>ELECTRICAL TERRACE CABLE TRAY LAYOUT</t>
  </si>
  <si>
    <t>WLH/KEC/SIEC/ELEC/SCHEMATIC DIAGRAM/00</t>
  </si>
  <si>
    <t>ELECTRICAL SINGLE LINE DIAGRAM</t>
  </si>
  <si>
    <t>WLH/KEC/SIEC/ELEC/LT ARRESTOR/00</t>
  </si>
  <si>
    <t>LAYOUT OF LIGHTNING ARRESTOR</t>
  </si>
  <si>
    <t>WLH/KEC/SIEC/ELEC/AVIATION/00</t>
  </si>
  <si>
    <t>LAYOUT OF AVIATION OBSTRUCTION LIGHT</t>
  </si>
  <si>
    <t>WLH/KEC/SIEC/ELEC/EXTPOWER/00</t>
  </si>
  <si>
    <t>ELECTRICAL EXTERNAL POWER LAYOUT</t>
  </si>
  <si>
    <t>ELV</t>
  </si>
  <si>
    <t>WLH/KEC/SIEC/ELV/INFRA/00</t>
  </si>
  <si>
    <t>ELV INFRASTRUCTURE LAYOUT</t>
  </si>
  <si>
    <t>WLH/KEC/SIEC/ELV/CCTV/00</t>
  </si>
  <si>
    <t>ELV CCTV LAYOUT</t>
  </si>
  <si>
    <t>WLH/KEC/SIEC/ELV/DBR/00</t>
  </si>
  <si>
    <t>ELV DBR COMMENTARY</t>
  </si>
  <si>
    <t>WLH/KEC/SIEC/RODENT REPELLENT SYSTEM/ELV/GR FL/00</t>
  </si>
  <si>
    <t>RODENT REPELLENT SYSTEM GR FLOOR</t>
  </si>
  <si>
    <t>WLH/KEC/SIEC/RODENT REPELLENT SYSTEM/ELV/1ST FL/00</t>
  </si>
  <si>
    <t>RODENT REPELLENT SYSTEM 1ST FLOOR</t>
  </si>
  <si>
    <t>WLH/KEC/SIEC/RODENT REPELLENT SYSTEM/ELV/2ND FL/00</t>
  </si>
  <si>
    <t>RODENT REPELLENT SYSTEM 2ND FLOOR</t>
  </si>
  <si>
    <t>WLH/KEC/SIEC/RODENT REPELLENT SYSTEM/ELV/3RD FL/00</t>
  </si>
  <si>
    <t>RODENT REPELLENT SYSTEM 3RD FLOOR</t>
  </si>
  <si>
    <t>WLH/KEC/SIEC/RODENT REPELLENT SYSTEM/ELV/4TH FL/00</t>
  </si>
  <si>
    <t>RODENT REPELLENT SYSTEM 4TH FLOOR</t>
  </si>
  <si>
    <t>WLH/KEC/SIEC/RODENT REPELLENT SYSTEM/ELV/5TH FL/00</t>
  </si>
  <si>
    <t>RODENT REPELLENT SYSTEM 5TH FLOOR</t>
  </si>
  <si>
    <t>WLH/KEC/SIEC/RODENT REPELLENT SYSTEM/ELV/6TH FL/00</t>
  </si>
  <si>
    <t>RODENT REPELLENT SYSTEM 6TH FLOOR</t>
  </si>
  <si>
    <t>WLH/KEC/SIEC/RODENT REPELLENT SYSTEM/ELV/7TH FL/00</t>
  </si>
  <si>
    <t>RODENT REPELLENT SYSTEM 7TH FLOOR</t>
  </si>
  <si>
    <t>WLH/KEC/SIEC/RODENT REPELLENT SYSTEM/ELV/8TH FL/00</t>
  </si>
  <si>
    <t>RODENT REPELLENT SYSTEM 8TH FLOOR</t>
  </si>
  <si>
    <t>WLH/KEC/SIEC/RODENT REPELLENT SYSTEM/ELV/9TH FL/00</t>
  </si>
  <si>
    <t>RODENT REPELLENT SYSTEM 9TH FLOOR</t>
  </si>
  <si>
    <t>WLH/KEC/SIEC/RODENT REPELLENT SYSTEM/ELV/10TH FL/00</t>
  </si>
  <si>
    <t>RODENT REPELLENT SYSTEM 10TH FLOOR</t>
  </si>
  <si>
    <t>WLH/KEC/SIEC/RODENT REPELLENT SYSTEM/ELV/TERRACE FL/00</t>
  </si>
  <si>
    <t>RODENT REPELLENT SYSTEM TERRACE FLOOR</t>
  </si>
  <si>
    <t>WLH/KEC/SIEC/RODENT REPELLENT SYSTEM SLD/ELV/00</t>
  </si>
  <si>
    <t>RODENT REPELLENT SYSTEM SLD</t>
  </si>
  <si>
    <t>Dependent on JCI</t>
  </si>
  <si>
    <t>WLH/KEC/SIEC/ELV SLD/00</t>
  </si>
  <si>
    <t>ELV NETWORK ARCHITECTURE</t>
  </si>
  <si>
    <t>WLH/KEC/SIEC/ELV/NURSE CALLING SLD/00</t>
  </si>
  <si>
    <t>ELV NURSE CALLING SCHEMATIC DIAGRAM</t>
  </si>
  <si>
    <t>WLH/KEC/SIEC/ELV/OPD CALLING SLD/00</t>
  </si>
  <si>
    <t>ELV OPD CALLING SCHEMATIC DIAGRAM</t>
  </si>
  <si>
    <t>WLH/KEC/SIEC/ELV/BMS IO SUMMARY &amp; SLD/00</t>
  </si>
  <si>
    <t>ELV BMS IO SUMMARY &amp; SCHEMATIC DIAGRAM</t>
  </si>
  <si>
    <t>WLH/KEC/SIEC/ELV/CCTV SLD/00</t>
  </si>
  <si>
    <t>ELV CCTV SCHEMATIC DIAGRAM</t>
  </si>
  <si>
    <t>WLH/KEC/SIEC/ACCESS CONTROL SCHEMATIC/ELV/BASEMENT/00</t>
  </si>
  <si>
    <t>ACCESS CONTROL SCHEMATIC PLAN</t>
  </si>
  <si>
    <t>WLH/KEC/SIEC/ELV/BASEMENT/00</t>
  </si>
  <si>
    <t>Elv Layout BASEMENT PLAN</t>
  </si>
  <si>
    <t>WLH/KEC/SIEC/BMS SYSTEM/ELV/BASEMENT/00</t>
  </si>
  <si>
    <t>BMS SYSTEM BASEMENT PLAN</t>
  </si>
  <si>
    <t>WLH/KEC/SIEC/Heat map/ELV/BASEMENT/00</t>
  </si>
  <si>
    <t>Wi-Fi Heat map BASEMENT PLAN</t>
  </si>
  <si>
    <t>WLH/KEC/SIEC/ELV/GF FL/00</t>
  </si>
  <si>
    <t>ELV Layout GROUND FLOOR PLAN</t>
  </si>
  <si>
    <t>WLH/KEC/SIEC/Heat map/ELV/GF FL/00</t>
  </si>
  <si>
    <t>Wi-Fi Heat map GROUND FLOOR PLAN</t>
  </si>
  <si>
    <t>WLH/KEC/SIEC/BMS SYSTEM/ELV/GF FL/00</t>
  </si>
  <si>
    <t>BMS SYSTEM GROUND FLOOR PLAN</t>
  </si>
  <si>
    <t>WLH/KEC/SIEC/ELV/1ST FL/00</t>
  </si>
  <si>
    <t>ELV Layout 1ST FLOOR PLAN</t>
  </si>
  <si>
    <t>WLH/KEC/SIEC/Heat map/ELV/1ST FL/00</t>
  </si>
  <si>
    <t>Wi-Fi Heat map 1ST FLOOR PLAN</t>
  </si>
  <si>
    <t>WLH/KEC/SIEC/BMS SYSTEM/ELV/1ST FL/00</t>
  </si>
  <si>
    <t>BMS SYSTEM 1ST FLOOR PLAN</t>
  </si>
  <si>
    <t>WLH/KEC/SIEC/ELV/2ND FL/00</t>
  </si>
  <si>
    <t>ELV Layout 2ND FLOOR PLAN</t>
  </si>
  <si>
    <t>WLH/KEC/SIEC/Heat map/ELV/2ND FL/00</t>
  </si>
  <si>
    <t>Wi-Fi Heat map 2ND FLOOR PLAN</t>
  </si>
  <si>
    <t>WLH/KEC/SIEC/BMS SYSTEM/ELV/2ND FL/00</t>
  </si>
  <si>
    <t>BMS SYSTEM 2ND FLOOR PLAN</t>
  </si>
  <si>
    <t>WLH/KEC/SIEC/ELV/3RD FL/00</t>
  </si>
  <si>
    <t xml:space="preserve"> ELV Layout 3RD FLOOR PLAN</t>
  </si>
  <si>
    <t>WLH/KEC/SIEC/Heat map/ELV/3RD FL/00</t>
  </si>
  <si>
    <t xml:space="preserve"> Wi-Fi Heat map 3RD FLOOR PLAN</t>
  </si>
  <si>
    <t>WLH/KEC/SIEC/BMS SYSTEM/ELV/3RD FL/00</t>
  </si>
  <si>
    <t xml:space="preserve"> BMS SYSTEM 3RD FLOOR PLAN</t>
  </si>
  <si>
    <t>WLH/KEC/SIEC/ELV/4TH FL/00</t>
  </si>
  <si>
    <t xml:space="preserve"> ELV Layout 4TH FLOOR PLAN</t>
  </si>
  <si>
    <t>WLH/KEC/SIEC/Heat map/ELV/4TH FL/00</t>
  </si>
  <si>
    <t xml:space="preserve"> Wi-Fi Heat map 4TH FLOOR PLAN</t>
  </si>
  <si>
    <t>WLH/KEC/SIEC/BMS SYSTEM/ELV/4TH FL/00</t>
  </si>
  <si>
    <t xml:space="preserve"> BMS SYSTEM 4TH FLOOR PLAN</t>
  </si>
  <si>
    <t>WLH/KEC/SIEC/ELV/5TH FL/00</t>
  </si>
  <si>
    <t xml:space="preserve"> ELV Layout 5TH FLOOR PLAN</t>
  </si>
  <si>
    <t>WLH/KEC/SIEC/Heat map/ELV/5TH FL/00</t>
  </si>
  <si>
    <t xml:space="preserve"> Wi-Fi Heat map 5TH FLOOR PLAN</t>
  </si>
  <si>
    <t>WLH/KEC/SIEC/BMS SYSTEM/ELV/5TH FL/00</t>
  </si>
  <si>
    <t xml:space="preserve"> BMS SYSTEM 5TH FLOOR PLAN</t>
  </si>
  <si>
    <t>WLH/KEC/SIEC/ELV/6TH FL/00</t>
  </si>
  <si>
    <t xml:space="preserve"> ELV Layout 6TH FLOOR PLAN</t>
  </si>
  <si>
    <t>WLH/KEC/SIEC/Heat map/ELV/6TH FL/00</t>
  </si>
  <si>
    <t xml:space="preserve"> Wi-Fi Heat map 6TH FLOOR PLAN</t>
  </si>
  <si>
    <t>WLH/KEC/SIEC/BMS SYSTEM/ELV/6TH FL/00</t>
  </si>
  <si>
    <t xml:space="preserve"> BMS SYSTEM 6TH FLOOR PLAN</t>
  </si>
  <si>
    <t>WLH/KEC/SIEC/ELV/7TH FL/00</t>
  </si>
  <si>
    <t xml:space="preserve"> ELV Layout 7TH FLOOR PLAN</t>
  </si>
  <si>
    <t>WLH/KEC/SIEC/Heat map/ELV/7TH FL/00</t>
  </si>
  <si>
    <t xml:space="preserve"> Wi-Fi Heat map 7TH FLOOR PLAN</t>
  </si>
  <si>
    <t>WLH/KEC/SIEC/BMS SYSTEM/ELV/7TH FL/00</t>
  </si>
  <si>
    <t xml:space="preserve"> BMS SYSTEM 7TH FLOOR PLAN</t>
  </si>
  <si>
    <t>WLH/KEC/SIEC/AV SYSTEM/ELV/7TH FL/00</t>
  </si>
  <si>
    <t>AUDIO VISUAL SYSTEM 7TH FLOOR</t>
  </si>
  <si>
    <t>Dependent on JCI, site team to arrange meeting with client &amp; vendor</t>
  </si>
  <si>
    <t>WLH/KEC/SIEC/ELV/8TH FL/00</t>
  </si>
  <si>
    <t xml:space="preserve"> ELV Layout 8TH FLOOR PLAN</t>
  </si>
  <si>
    <t>WLH/KEC/SIEC/Heat map/ELV/8TH FL/00</t>
  </si>
  <si>
    <t xml:space="preserve"> Wi-Fi Heat map 8TH FLOOR PLAN</t>
  </si>
  <si>
    <t>WLH/KEC/SIEC/BMS SYSTEM/ELV/8TH FL/00</t>
  </si>
  <si>
    <t xml:space="preserve"> BMS SYSTEM 8TH FLOOR PLAN</t>
  </si>
  <si>
    <t>WLH/KEC/SIEC/ELV/9TH FL/00</t>
  </si>
  <si>
    <t xml:space="preserve"> ELV Layout 9TH FLOOR PLAN</t>
  </si>
  <si>
    <t>WLH/KEC/SIEC/Heat map/ELV/9TH FL/00</t>
  </si>
  <si>
    <t xml:space="preserve"> Wi-Fi Heat map 9TH FLOOR PLAN</t>
  </si>
  <si>
    <t>WLH/KEC/SIEC/BMS SYSTEM/ELV/9TH FL/00</t>
  </si>
  <si>
    <t xml:space="preserve"> BMS SYSTEM 9TH FLOOR PLAN</t>
  </si>
  <si>
    <t>WLH/KEC/SIEC/ELV/10TH FL/00</t>
  </si>
  <si>
    <t xml:space="preserve"> ELV Layout 10TH FLOOR PLAN</t>
  </si>
  <si>
    <t>WLH/KEC/SIEC/Heat map/ELV/10TH FL/00</t>
  </si>
  <si>
    <t xml:space="preserve"> Wi-Fi Heat map 10TH FLOOR PLAN</t>
  </si>
  <si>
    <t>WLH/KEC/SIEC/BMS SYSTEM/ELV/10TH FL/00</t>
  </si>
  <si>
    <t xml:space="preserve"> BMS SYSTEM 10TH FLOOR PLAN</t>
  </si>
  <si>
    <t>WLH/KEC/SIEC/AV SYSTEM/ELV/10TH FL/00</t>
  </si>
  <si>
    <t>AUDIO VISUAL SYSTEM 10TH FLOOR</t>
  </si>
  <si>
    <t>WLH/KEC/SIEC/Heat map/ELV/TERRACE/00</t>
  </si>
  <si>
    <t xml:space="preserve"> Wi-Fi Heat map TERRACE PLAN</t>
  </si>
  <si>
    <t>WLH/KEC/SIEC/ELV/TERRACE/00</t>
  </si>
  <si>
    <t xml:space="preserve"> ELV Layout TERRACE FLOOR PLAN</t>
  </si>
  <si>
    <t>WLH/KEC/SIEC/BMS SYSTEM/ELV/ABOVE TERRACE/00</t>
  </si>
  <si>
    <t xml:space="preserve"> BMS SYSTEM TERRACE PLAN</t>
  </si>
  <si>
    <t>WLH/KEC/SIEC/WATER LEAK DETECTION/ELV/00</t>
  </si>
  <si>
    <t xml:space="preserve"> WATER LEAK DETECTION PLAN</t>
  </si>
  <si>
    <t>WLH/KEC/SIEC/ELV/BMS ROOM/MISC/00</t>
  </si>
  <si>
    <t xml:space="preserve"> ELV BMS ROOM LAYOUT</t>
  </si>
  <si>
    <t xml:space="preserve">Dependent on JCI, Jci to visit site survey (Existing building)&amp; prepare </t>
  </si>
  <si>
    <t>Fire</t>
  </si>
  <si>
    <t>WLH/KEC/SIEC/FDA/BASEMENT/00</t>
  </si>
  <si>
    <t>FIRE DETECTION &amp; PA DRAWING BASEMENT FLOOR PLAN</t>
  </si>
  <si>
    <t>WLH/KEC/SIEC/FPS/BASEMENT/00</t>
  </si>
  <si>
    <t>FIRE PROTECTION BASEMENT FLOOR PLAN</t>
  </si>
  <si>
    <t>WLH/KEC/SIEC/SIGNAGE &amp; EXTINGUISHER /BASEMENT/00</t>
  </si>
  <si>
    <t>SIGNAGE &amp; FIRE EXTINGUISHER BASEMENT PLAN</t>
  </si>
  <si>
    <t>WLH/KEC/SIEC/FDA &amp; PA/GR FL/00</t>
  </si>
  <si>
    <t>FIRE DETECTION &amp; PA DRAWING GROUND FLOOR PLAN</t>
  </si>
  <si>
    <t>WLH/KEC/SIEC/FPS/GR FL/00</t>
  </si>
  <si>
    <t>FIRE PROTECTION GROUND FLOOR PLAN</t>
  </si>
  <si>
    <t>WLH/KEC/SIEC/SIGNAGE &amp; EXTINGUISHER /GR FL/01</t>
  </si>
  <si>
    <t>SIGNAGE &amp; FIRE EXTINGUISHER GROUND FLOOR PLAN</t>
  </si>
  <si>
    <t>WLH/KEC/SIEC/SIGNAGE &amp; EXTINGUISHER /1ST FL/00</t>
  </si>
  <si>
    <t>SIGNAGE &amp; FIRE EXTINGUISHER 1ST FLOOR PLAN</t>
  </si>
  <si>
    <t>WLH/KEC/SIEC/FDA&amp; PA/1ST FL/00</t>
  </si>
  <si>
    <t>FIRE DETECTION &amp; PA DRAWING 1ST FLOOR PLAN</t>
  </si>
  <si>
    <t>WLH/KEC/SIEC/FPS/1ST FL/00</t>
  </si>
  <si>
    <t>FIRE PROTECTION 1ST FLOOR PLAN</t>
  </si>
  <si>
    <t>WLH/KEC/SIEC/SIGNAGE &amp; EXTINGUISHER /2ND FL/00</t>
  </si>
  <si>
    <t>SIGNAGE &amp; FIRE EXTINGUISHER 2ND FLOOR PLAN</t>
  </si>
  <si>
    <t>WLH/KEC/SIEC/FDA &amp; PA/2ND FL/00</t>
  </si>
  <si>
    <t>FIRE DETECTION &amp; PA DRAWING 2ND FLOOR PLAN</t>
  </si>
  <si>
    <t>WLH/KEC/SIEC/FPS/2ND FL/00</t>
  </si>
  <si>
    <t>FIRE PROTECTION 2ND FLOOR PLAN</t>
  </si>
  <si>
    <t>WLH/KEC/SIEC/SIGNAGE &amp; EXTINGUISHER /3RD FL/00</t>
  </si>
  <si>
    <t>SIGNAGE &amp; FIRE EXTINGUISHER 3RD FLOOR PLAN</t>
  </si>
  <si>
    <t>WLH/KEC/SIEC/FDA &amp; PA/3RD FL/00</t>
  </si>
  <si>
    <t>FIRE DETECTION &amp; PA DRAWING 3RD FLOOR PLAN</t>
  </si>
  <si>
    <t>WLH/KEC/SIEC/FPS/3RD FL/00</t>
  </si>
  <si>
    <t>FIRE PROTECTION 3RD FLOOR PLAN</t>
  </si>
  <si>
    <t>WLH/KEC/SIEC/SIGNAGE &amp; EXTINGUISHER /4TH FL/00</t>
  </si>
  <si>
    <t>SIGNAGE &amp; FIRE EXTINGUISHER 4TH FLOOR PLAN</t>
  </si>
  <si>
    <t>WLH/KEC/SIEC/FDA &amp; PA/4TH FL/00</t>
  </si>
  <si>
    <t>FIRE DETECTION &amp; PA DRAWING 4TH FLOOR PLAN</t>
  </si>
  <si>
    <t>WLH/KEC/SIEC/FPS/4TH FL/00</t>
  </si>
  <si>
    <t>FIRE PROTECTION 4TH FLOOR PLAN</t>
  </si>
  <si>
    <t>WLH/KEC/SIEC/SIGNAGE &amp; EXTINGUISHER /5TH FL/00</t>
  </si>
  <si>
    <t>SIGNAGE &amp; FIRE EXTINGUISHER 5TH FLOOR PLAN</t>
  </si>
  <si>
    <t>WLH/KEC/SIEC/FDA &amp; PA/5TH FL/00</t>
  </si>
  <si>
    <t>FIRE DETECTION &amp; PA DRAWING 5TH FLOOR PLAN</t>
  </si>
  <si>
    <t>WLH/KEC/SIEC/FPS/5TH FL/00</t>
  </si>
  <si>
    <t>FIRE PROTECTION 5TH FLOOR PLAN</t>
  </si>
  <si>
    <t>WLH/KEC/SIEC/SIGNAGE &amp; EXTINGUISHER /6TH FL/00</t>
  </si>
  <si>
    <t>SIGNAGE &amp; FIRE EXTINGUISHER 6th FLOOR PLAN</t>
  </si>
  <si>
    <t>WLH/KEC/SIEC/FDA &amp; PA/6TH FL/00</t>
  </si>
  <si>
    <t>FIRE DETECTION &amp; PA DRAWING 6TH  FLOOR PLAN</t>
  </si>
  <si>
    <t>WLH/KEC/SIEC/FPS/6TH FL/00</t>
  </si>
  <si>
    <t>FIRE PROTECTION  6TH  FLOOR PLAN</t>
  </si>
  <si>
    <t>WLH/KEC/SIEC/SIGNAGE &amp; EXTINGUISHER /7TH FL/00</t>
  </si>
  <si>
    <t>SIGNAGE &amp; FIRE EXTINGUISHER 7TH FLOOR PLAN</t>
  </si>
  <si>
    <t>WLH/KEC/SIEC/FDA &amp; PA/7TH FL/00</t>
  </si>
  <si>
    <t xml:space="preserve">FIRE DETECTION &amp; PA DRAWING 7TH FLOOR PLAN </t>
  </si>
  <si>
    <t>WLH/KEC/SIEC/FPS/7TH FL/00</t>
  </si>
  <si>
    <t xml:space="preserve">FIRE PROTECTION  7TH FLOOR PLAN </t>
  </si>
  <si>
    <t>WLH/KEC/SIEC/SIGNAGE &amp; EXTINGUISHER /8TH FL/00</t>
  </si>
  <si>
    <t>SIGNAGE &amp; FIRE EXTINGUISHER 8TH FLOOR PLAN</t>
  </si>
  <si>
    <t>WLH/KEC/SIEC/FDA &amp; PA/8TH FL/00</t>
  </si>
  <si>
    <t>FIRE DETECTION &amp; PA DRAWING 8TH FLOOR PLAN</t>
  </si>
  <si>
    <t>WLH/KEC/SIEC/FPS/8TH FL/00</t>
  </si>
  <si>
    <t>FIRE PROTECTION 8TH FLOOR PLAN</t>
  </si>
  <si>
    <t>WLH/KEC/SIEC/SIGNAGE &amp; EXTINGUISHER /9TH FL/00</t>
  </si>
  <si>
    <t>SIGNAGE &amp; FIRE EXTINGUISHER 9TH FLOOR PLAN</t>
  </si>
  <si>
    <t>WLH/KEC/SIEC/FDA &amp; PA/9TH FL/00</t>
  </si>
  <si>
    <t>FIRE DETECTION &amp; PA DRAWING 9th FLOOR PLAN</t>
  </si>
  <si>
    <t>WLH/KEC/SIEC/FPS/9TH FL/00</t>
  </si>
  <si>
    <t>FIRE PROTECTION 9th FLOOR PLAN</t>
  </si>
  <si>
    <t>WLH/KEC/SIEC/FDA &amp; PA/10TH FL/00</t>
  </si>
  <si>
    <t>FIRE DETECTION &amp; PA DRAWING 10th FLOOR PLAN</t>
  </si>
  <si>
    <t>WLH/KEC/SIEC/FPS/10TH FL/00</t>
  </si>
  <si>
    <t>FIRE PROTECTION 10th FLOOR PLAN</t>
  </si>
  <si>
    <t>WLH/KEC/SIEC/SIGNAGE &amp; EXTINGUISHER /10TH FL/00</t>
  </si>
  <si>
    <t>SIGNAGE &amp; FIRE EXTINGUISHER ROOF PLAN</t>
  </si>
  <si>
    <t>WLH/KEC/SIEC/FDA &amp; PA/TERRACE/00</t>
  </si>
  <si>
    <t>FIRE DETECTION &amp; PA DRAWING ROOF PLAN</t>
  </si>
  <si>
    <t>WLH/KEC/SIEC/FPS/TERRACE/00</t>
  </si>
  <si>
    <t>FIRE PROTECTION ROOF PLAN</t>
  </si>
  <si>
    <t>WLH/KEC/SIEC/FIRE/INFRA/PUMP ROOM/00</t>
  </si>
  <si>
    <t>PUMP ROOM DRAWING FIRE</t>
  </si>
  <si>
    <t>WLH/KEC/SIEC/FIRE/EXTHYDRANT/00</t>
  </si>
  <si>
    <t>FIRE EXTERNAL HYDRANT LAYOUT</t>
  </si>
  <si>
    <t>WLH/KEC/SIEC/FIRE/PUMP HEAD CALCULATION/00</t>
  </si>
  <si>
    <t>FIRE PUMP HEAD CALCULATION</t>
  </si>
  <si>
    <t>WLH/KEC/SIEC/FPS SLD/00</t>
  </si>
  <si>
    <t>FIRE PROTECTION SINGLE LINE DIAGRAM</t>
  </si>
  <si>
    <t>WLH/KEC/SIEC/FDA &amp; PA SLD/00</t>
  </si>
  <si>
    <t>FIRE DETECTION SINGLE LINE DIAGRAM</t>
  </si>
  <si>
    <t>WLH/KEC/SIEC/PASCHEMATIC/00</t>
  </si>
  <si>
    <t>FIRE PA SCHEMATIC</t>
  </si>
  <si>
    <t>WLH/KEC/SIEC/FIRE &amp; BMS ROOM/00</t>
  </si>
  <si>
    <t>FIRE ROOM LAYOUT</t>
  </si>
  <si>
    <t>WLH/KEC/SIEC/FIRE/WET RISER/00</t>
  </si>
  <si>
    <t>FIRE WET RISER WITH TYPICAL SHAFT DETAILS</t>
  </si>
  <si>
    <t>HVAC</t>
  </si>
  <si>
    <t>WLH/KEC/SIEC/HVAC/BASEMENT/DUCTING/00</t>
  </si>
  <si>
    <t>HVAC DUCTING LAYOUT BASEMENT PLAN</t>
  </si>
  <si>
    <t>Jitendra</t>
  </si>
  <si>
    <t>WLH/KEC/SIEC/HVAC/BASEMENT/CHW PIPING/00</t>
  </si>
  <si>
    <t>CHILLED WATER PIPING LAYOUT OVER BASEMENT PLAN</t>
  </si>
  <si>
    <t>WLH/KEC/SIEC/HVAC/BASEMENT/VENTILATION LAYOUT/00</t>
  </si>
  <si>
    <t>GFC BASEMENT VENTILATION LAYOUT OVER BASEMENT PLAN</t>
  </si>
  <si>
    <t>WLH/KEC/SIEC/HVAC/BASEMENT/SMOKE EXTRACTION/00</t>
  </si>
  <si>
    <t>SMOKE EXTRACTION LAYOUT OVER BASEMENT</t>
  </si>
  <si>
    <t>WLH/KEC/SIEC/HVAC/BASEMENT/FRESH AIR/00</t>
  </si>
  <si>
    <t>FRESH AIR &amp; EXHAUST AIR LAYOUT OVER BASEMENT</t>
  </si>
  <si>
    <t>WLH/KEC/SIEC/HVAC/GF FL/CHW PIPING/00</t>
  </si>
  <si>
    <t>DUCTING LAYOUT GR FLOOR PLAN</t>
  </si>
  <si>
    <t>WLH/KEC/SIEC/HVAC/BASEMENT/ZONING/00</t>
  </si>
  <si>
    <t>CHILLED WATER PIPING LAYOUT OVER GR FLOOR PLAN</t>
  </si>
  <si>
    <t>WLH/KEC/SIEC/HVAC/GR FL/SMOKE EXTRACTION/00</t>
  </si>
  <si>
    <t>SMOKE EXTRACTION LAYOUT OVER GR FLOOR PLAN</t>
  </si>
  <si>
    <t>FRESH AIR &amp; EXHAUST AIR LAYOUT OVER GR FLOOR PLAN</t>
  </si>
  <si>
    <t>WLH/KEC/SIEC/HVAC/PRESSURIZATION/GR FL/00</t>
  </si>
  <si>
    <t>LAYOUT OF LIFT, LIFT LOBBY &amp; STAIRCASE PRESSURIZATION AT GROUND FLOOR</t>
  </si>
  <si>
    <t>WLH/KEC/SIEC/HVAC/1ST FL/DUCTING/00</t>
  </si>
  <si>
    <t>DUCTING LAYOUT 1ST FLOOR PLAN</t>
  </si>
  <si>
    <t>WLH/KEC/SIEC/HVAC/1ST FL/CHW PIPING/00</t>
  </si>
  <si>
    <t>CHILLED WATER PIPING LAYOUT OVER 1ST FLOOR PLAN</t>
  </si>
  <si>
    <t>WLH/KEC/SIEC/HVAC/1ST FL/SMOKE EXTRACTION/00</t>
  </si>
  <si>
    <t>SMOKE EXTRACTION LAYOUT OVER 1ST FLOOR PLAN</t>
  </si>
  <si>
    <t>WLH/KEC/SIEC/HVAC/1ST FL/FRESH AIR/00</t>
  </si>
  <si>
    <t>FRESH AIR &amp; EXHAUST AIR LAYOUT OVER 1ST FLOOR PLAN</t>
  </si>
  <si>
    <t>WLH/KEC/SIEC/HVAC/PRESSURIZATION/1STFL/00</t>
  </si>
  <si>
    <t>LAYOUT OF LIFT, LIFT LOBBY &amp; STAIRCASE PRESSURIZATION AT FIRST FLOOR</t>
  </si>
  <si>
    <t>WLH/KEC/SIEC/HVAC/2ND FL/DUCTING/00</t>
  </si>
  <si>
    <t>DUCTING LAYOUT 2ND FLOOR PLAN</t>
  </si>
  <si>
    <t>WLH/KEC/SIEC/HVAC/2ND FL/CHW PIPING/00</t>
  </si>
  <si>
    <t>CHILLED WATER PIPING LAYOUT OVER 2ND FLOOR PLAN</t>
  </si>
  <si>
    <t>WLH/KEC/SIEC/HVAC/2ND FL/SMOKE EXTRACTION/00</t>
  </si>
  <si>
    <t>SMOKE EXTRACTION LAYOUT OVER 2ND FLOOR PLAN</t>
  </si>
  <si>
    <t>WLH/KEC/SIEC/HVAC/2ND FL/FRESH AIR/00</t>
  </si>
  <si>
    <t>FRESH AIR &amp; EXHAUST AIR LAYOUT OVER 2ND FLOOR PLAN</t>
  </si>
  <si>
    <t>WLH/KEC/SIEC/HVAC/PRESSURIZATION/2ND FL/00</t>
  </si>
  <si>
    <t>LAYOUT OF LIFT, LIFT LOBBY &amp; STAIRCASE PRESSURIZATION AT SECOND FLOOR</t>
  </si>
  <si>
    <t>WLH/KEC/SIEC/HVAC/3RD FL/DUCTING/00</t>
  </si>
  <si>
    <t>DUCTING LAYOUT 3RD FLOOR PLAN</t>
  </si>
  <si>
    <t>WLH/KEC/SIEC/HVAC/3RD FL/00</t>
  </si>
  <si>
    <t>CHILLED WATER PIPING LAYOUT OVER 3RD FLOOR PLAN</t>
  </si>
  <si>
    <t>WLH/KEC/SIEC/HVAC/3RD FL/SMOKE EXTRACTION/00</t>
  </si>
  <si>
    <t>SMOKE EXTRACTION LAYOUT OVER 3RD FLOOR PLAN</t>
  </si>
  <si>
    <t>WLH/KEC/SIEC/HVAC/3RD FL/FRESH AIR/00</t>
  </si>
  <si>
    <t>FRESH AIR &amp; EXHAUST AIR LAYOUT OVER 3RD FLOOR PLAN</t>
  </si>
  <si>
    <t>WLH/KEC/SIEC/HVAC/PRESSURIZATION/3RD FL/00</t>
  </si>
  <si>
    <t>LAYOUT OF LIFT, LIFT LOBBY &amp; STAIRCASE PRESSURIZATION AT THIRD FLOOR</t>
  </si>
  <si>
    <t>WLH/KEC/SIEC/HVAC/4TH F/DUCTINGL/00</t>
  </si>
  <si>
    <t>DUCTING LAYOUT 4TH FLOOR PLAN</t>
  </si>
  <si>
    <t>WLH/KEC/SIEC/HVAC/4TH FL/CHW PIPING/00</t>
  </si>
  <si>
    <t>CHILLED WATER PIPING LAYOUT OVER 4TH FLOOR PLAN</t>
  </si>
  <si>
    <t>WLH/KEC/SIEC/HVAC/4TH FL/SMOKE EXTRACTION/00</t>
  </si>
  <si>
    <t>SMOKE EXTRACTION LAYOUT OVER 4TH FLOOR PLAN</t>
  </si>
  <si>
    <t>WLH/KEC/SIEC/HVAC/4TH FL/FRESH AIR/00</t>
  </si>
  <si>
    <t>FRESH AIR &amp; EXHAUST AIR LAYOUT OVER 4TH FLOOR PLAN</t>
  </si>
  <si>
    <t>WLH/KEC/SIEC/HVAC/PRESSURIZATION/4TH FL/00</t>
  </si>
  <si>
    <t>LAYOUT OF LIFT, LIFT LOBBY &amp; STAIRCASE PRESSURIZATION AT FOURTH FLOOR</t>
  </si>
  <si>
    <t>WLH/KEC/SIEC/HVAC/5TH FL/00</t>
  </si>
  <si>
    <t>DUCTING LAYOUT 5TH FLOOR PLAN</t>
  </si>
  <si>
    <t>WLH/KEC/SIEC/HVAC/5TH FL/CHW PIPING/00</t>
  </si>
  <si>
    <t>CHILLED WATER PIPING LAYOUT OVER 5TH FLOOR PLAN</t>
  </si>
  <si>
    <t>WLH/KEC/SIEC/HVAC/5TH FL/SMOKE EXTRACTION/00</t>
  </si>
  <si>
    <t>SMOKE EXTRACTION LAYOUT OVER 5TH FLOOR PLAN</t>
  </si>
  <si>
    <t>WLH/KEC/SIEC/HVAC/5TH FL/FRESH AIR/00</t>
  </si>
  <si>
    <t>FRESH AIR &amp; EXHAUST AIR LAYOUT OVER 5TH FLOOR PLAN</t>
  </si>
  <si>
    <t>WLH/KEC/SIEC/HVAC/PRESSURIZATION/5TH FL/00</t>
  </si>
  <si>
    <t>LAYOUT OF LIFT, LIFT LOBBY &amp; STAIRCASE PRESSURIZATION AT FIFTH FLOOR</t>
  </si>
  <si>
    <t>WLH/KEC/SIEC/HVAC/6TH FL/00</t>
  </si>
  <si>
    <t>DUCTING LAYOUT 6TH  FLOOR PLAN</t>
  </si>
  <si>
    <t>WLH/KEC/SIEC/HVAC/6TH FL/CHW PIPING/00</t>
  </si>
  <si>
    <t>HVAC 6TH  FLOOR PLAN</t>
  </si>
  <si>
    <t>WLH/KEC/SIEC/HVAC/6TH FL/SMOKE EXTRACTION/00</t>
  </si>
  <si>
    <t>SMOKE EXTRACTION LAYOUT OVER 6TH FLOOR PLAN</t>
  </si>
  <si>
    <t>WLH/KEC/SIEC/HVAC/6TH FL/FRESH AIR/00</t>
  </si>
  <si>
    <t>FRESH AIR &amp; EXHAUST AIR LAYOUT OVER 6TH FLOOR PLAN</t>
  </si>
  <si>
    <t>WLH/KEC/SIEC/HVAC/PRESSURIZATION/6TH FL/00</t>
  </si>
  <si>
    <t>LAYOUT OF LIFT, LIFT LOBBY &amp; STAIRCASE PRESSURIZATION AT SIXTH FLOOR</t>
  </si>
  <si>
    <t>WLH/KEC/SIEC/HVAC/7TH FL/DUCTING/00</t>
  </si>
  <si>
    <t xml:space="preserve">DUCTING LAYOUT 7TH FLOOR PLAN </t>
  </si>
  <si>
    <t>WLH/KEC/SIEC/HVAC/7TH FL/CHW PIPING/00</t>
  </si>
  <si>
    <t xml:space="preserve">CHILLED WATER PIPING LAYOUT OVER 7TH FLOOR PLAN </t>
  </si>
  <si>
    <t>WLH/KEC/SIEC/HVAC/7TH FL/SMOKE EXTRACTION/00</t>
  </si>
  <si>
    <t>SMOKE EXTRACTION LAYOUT OVER 7TH FLOOR PLAN</t>
  </si>
  <si>
    <t>WLH/KEC/SIEC/HVAC/7TH FL/FRESH AIR/00</t>
  </si>
  <si>
    <t>FRESH AIR &amp; EXHAUST AIR LAYOUT OVER 7TH FLOOR PLAN</t>
  </si>
  <si>
    <t>WLH/KEC/SIEC/HVAC/PRESSURIZATION/7TH FL/00</t>
  </si>
  <si>
    <t>LAYOUT OF LIFT, LIFT LOBBY &amp; STAIRCASE PRESSURIZATION AT SEVENTH FLOOR</t>
  </si>
  <si>
    <t>WLH/KEC/SIEC/HVAC/8TH FL/DUCTING/00</t>
  </si>
  <si>
    <t>DUCTING LAYOUT 8TH FLOOR PLAN</t>
  </si>
  <si>
    <t>WLH/KEC/SIEC/HVAC/8TH FL/CHW PIPING/00</t>
  </si>
  <si>
    <t>CHILLED WATER PIPING LAYOUT OVER 8TH FLOOR PLAN</t>
  </si>
  <si>
    <t>WLH/KEC/SIEC/HVAC/8TH FL/SMOKE EXTRACTION/00</t>
  </si>
  <si>
    <t>SMOKE EXTRACTION LAYOUT OVER 8TH FLOOR PLAN</t>
  </si>
  <si>
    <t>WLH/KEC/SIEC/HVAC/8TH FL/FRESH AIR/00</t>
  </si>
  <si>
    <t>FRESH AIR &amp; EXHAUST AIR LAYOUT OVER 8TH FLOOR PLAN</t>
  </si>
  <si>
    <t>WLH/KEC/SIEC/HVAC/PRESSURIZATION/8TH FL/00</t>
  </si>
  <si>
    <t>LAYOUT OF LIFT, LIFT LOBBY &amp; STAIRCASE PRESSURIZATION AT EIGTH FLOOR</t>
  </si>
  <si>
    <t>WLH/KEC/SIEC/HVAC/9TH FL/DUCTING/00</t>
  </si>
  <si>
    <t>DUCTING LAYOUT 9th FLOOR PLAN</t>
  </si>
  <si>
    <t>WLH/KEC/SIEC/HVAC/9TH FL/CHW PIPING/00</t>
  </si>
  <si>
    <t>CHILLED WATER PIPING LAYOUT OVER 9th FLOOR PLAN</t>
  </si>
  <si>
    <t>WLH/KEC/SIEC/HVAC/9TH FL/SMOKE EXTRACTION/00</t>
  </si>
  <si>
    <t>SMOKE EXTRACTION LAYOUT OVER 9TH FLOOR PLAN</t>
  </si>
  <si>
    <t>WLH/KEC/SIEC/HVAC/9TH FL/FRESH AIR/00</t>
  </si>
  <si>
    <t>FRESH AIR &amp; EXHAUST AIR LAYOUT OVER 9TH FLOOR PLAN</t>
  </si>
  <si>
    <t>WLH/KEC/SIEC/HVAC/PRESSURIZATION/9TH FL/00</t>
  </si>
  <si>
    <t>LAYOUT OF LIFT, LIFT LOBBY &amp; STAIRCASE PRESSURIZATION AT NINTH FLOOR</t>
  </si>
  <si>
    <t>WLH/KEC/SIEC/HVAC/10TH FL/DUCTING/00</t>
  </si>
  <si>
    <t>DUCTING LAYOUT 10th FLOOR PLAN</t>
  </si>
  <si>
    <t>WLH/KEC/SIEC/HVAC/10TH FL/CHW PIPING/00</t>
  </si>
  <si>
    <t>CHILLED WATER PIPING LAYOUT OVER 10th FLOOR PLAN</t>
  </si>
  <si>
    <t>WLH/KEC/SIEC/HVAC/10 FL/SMOKE EXTRACTION/00</t>
  </si>
  <si>
    <t>SMOKE EXTRACTION LAYOUT OVER 10TH FLOOR PLAN</t>
  </si>
  <si>
    <t>WLH/KEC/SIEC/HVAC/10TH FL/FRESH AIR/00</t>
  </si>
  <si>
    <t>FRESH AIR &amp; EXHAUST AIR LAYOUT OVER 10TH FLOOR PLAN</t>
  </si>
  <si>
    <t>WLH/KEC/SIEC/HVAC/PRESSURIZATION/10TH FL/00</t>
  </si>
  <si>
    <t>LAYOUT OF LIFT, LIFT LOBBY &amp; STAIRCASE PRESSURIZATION AT TENTH FLOOR</t>
  </si>
  <si>
    <t>WLH/KEC/SIEC/HVAC/TERRACE FL/DUCTING/00</t>
  </si>
  <si>
    <t>DUCTING LAYOUT ROOF PLAN</t>
  </si>
  <si>
    <t>WLH/KEC/SIEC/HVAC/TERRACE FL/CHW PIPING/00</t>
  </si>
  <si>
    <t>CHILLED WATER PIPING LAYOUT OVER ROOF PLAN</t>
  </si>
  <si>
    <t>WLH/KEC/SIEC/HVAC/MUMTY TERRACE FL/DUCTING/00</t>
  </si>
  <si>
    <t>DUCTING LAYOUT ABOVE ROOF PLAN</t>
  </si>
  <si>
    <t>WLH/KEC/SIEC/HVAC/STP VENTILATION/00</t>
  </si>
  <si>
    <t>STP VENTILATION LAYOUT</t>
  </si>
  <si>
    <t>WLH/KEC/SIEC/HVAC/PRESSURIZATION BASEMENT/00</t>
  </si>
  <si>
    <t>HVAC PRESSURISATION BASEMENT</t>
  </si>
  <si>
    <t>WLH/KEC/SIEC/HVAC/CHILLER PLANT FL/00</t>
  </si>
  <si>
    <t>CHILLED PIPING LAYOUT</t>
  </si>
  <si>
    <t>WLH/KEC/SIEC/HVAC/DBR/00</t>
  </si>
  <si>
    <t>HVAC DBR COMMENTARY</t>
  </si>
  <si>
    <t>ESP CALCULATION FOR ALL FIRE MODE EQUIOMENTS</t>
  </si>
  <si>
    <t>ESP CALCULATION FOR ALL FIRE MODE EQUIPMENTS</t>
  </si>
  <si>
    <t>ESP CALCULATION FOR ALL EQUIPMENTS</t>
  </si>
  <si>
    <t>PUMP HEAD CALCULATION</t>
  </si>
  <si>
    <t>WLH/KEC/SIEC/HVAC/HEAT-LOAD/00</t>
  </si>
  <si>
    <t>HEAT LOAD CALCULATIONS WITH EQUIPMENT SELECTION SHEET</t>
  </si>
  <si>
    <t>WLH/KEC/SIEC/HVAC/VENTILATION CALCULATION/00</t>
  </si>
  <si>
    <t>VENTILATION CALCULATIONS WITH FAN SELECTION SHEET</t>
  </si>
  <si>
    <t>WLH/KEC/SIEC/HVAC/AIR FLOW-DIAGRAM/00</t>
  </si>
  <si>
    <t>AIR FLOW DIAGRAMS</t>
  </si>
  <si>
    <t>WLH/KEC/SIEC/HVAC/HVAC-SHAFT/00</t>
  </si>
  <si>
    <t>HVAC RISER (SHAFT) WITH CHILLED WATER PIPE DRAWINGS</t>
  </si>
  <si>
    <t>14-03-2025</t>
  </si>
  <si>
    <t>WLH/KEC/SIEC/HVAC/CHILLED WATER SCHEMATIC/00</t>
  </si>
  <si>
    <t>HVAC CHILLED WATER  SCHEMATIC DRAWINGS (Hi &amp; Low side)</t>
  </si>
  <si>
    <t>WLH/KEC/SIEC/HVAC/SCHEMATIC/00</t>
  </si>
  <si>
    <t>HVAC SCHEMATIC DRAWINGS</t>
  </si>
  <si>
    <t>WLH/KEC/SIEC/MEP/BASEMENT/00</t>
  </si>
  <si>
    <t>BASEMENT MEP LAYOUT</t>
  </si>
  <si>
    <t>MEP Team</t>
  </si>
  <si>
    <t>WLH/KEC/SIEC/MEP SECTION/BASEMENT/00</t>
  </si>
  <si>
    <t>BASEMENT MEP SECTION</t>
  </si>
  <si>
    <t>WLH/KEC/SIEC/MEP/GR FL/00</t>
  </si>
  <si>
    <t>GROUND FLOOR MEP LAYOUT</t>
  </si>
  <si>
    <t>WLH/KEC/SIEC/MEP SECTION/GR FL/00</t>
  </si>
  <si>
    <t>GROUND FLOOR  MEP SECTION</t>
  </si>
  <si>
    <t>WLH/KEC/SIEC/MEP/1ST FL/00</t>
  </si>
  <si>
    <t>FIRST FLOOR MEP LAYOUT</t>
  </si>
  <si>
    <t>WLH/KEC/SIEC/MEP SECTION/1ST FL/00</t>
  </si>
  <si>
    <t>FIRST FLOOR  MEP SECTION</t>
  </si>
  <si>
    <t>WLH/KEC/SIEC/MEP/2ND FL/00</t>
  </si>
  <si>
    <t>SECOND FLOOR MEP LAYOUT</t>
  </si>
  <si>
    <t>WLH/KEC/SIEC/MEP SECTION/2ND FL/00</t>
  </si>
  <si>
    <t>SECOND FLOOR  MEP SECTION</t>
  </si>
  <si>
    <t>WLH/KEC/SIEC/MEP/3RD FL/00</t>
  </si>
  <si>
    <t>THIRD FLOOR MEP LAYOUT</t>
  </si>
  <si>
    <t>WLH/KEC/SIEC/MEP SECTION/3RD FL/00</t>
  </si>
  <si>
    <t>THIRD FLOOR  MEP SECTION</t>
  </si>
  <si>
    <t>WLH/KEC/SIEC/MEP/4TH FL/00</t>
  </si>
  <si>
    <t>FOURTH FLOOR MEP LAYOUT</t>
  </si>
  <si>
    <t>WLH/KEC/SIEC/MEP SECTION/4TH FL/00</t>
  </si>
  <si>
    <t>FOURTH FLOOR  MEP SECTION</t>
  </si>
  <si>
    <t>WLH/KEC/SIEC/MEP/5TH FL/00</t>
  </si>
  <si>
    <t>FIFTH FLOOR MEP LAYOUT</t>
  </si>
  <si>
    <t>WLH/KEC/SIEC/MEP SECTION/5TH FL/00</t>
  </si>
  <si>
    <t>FIFTH FLOOR  MEP SECTION</t>
  </si>
  <si>
    <t>WLH/KEC/SIEC/MEP/6TH FL/00</t>
  </si>
  <si>
    <t>SIXTH FLOOR MEP LAYOUT</t>
  </si>
  <si>
    <t>WLH/KEC/SIEC/MEP SECTION/6TH FL/00</t>
  </si>
  <si>
    <t>SIXTH FLOOR  MEP SECTION</t>
  </si>
  <si>
    <t>WLH/KEC/SIEC/MEP/7TH FL/00</t>
  </si>
  <si>
    <t>SEVENTH FLOOR MEP LAYOUT</t>
  </si>
  <si>
    <t>WLH/KEC/SIEC/MEP SECTION/7TH FL/00</t>
  </si>
  <si>
    <t>SEVENTH FLOOR  MEP SECTION</t>
  </si>
  <si>
    <t>WLH/KEC/SIEC/MEP/8TH FL/00</t>
  </si>
  <si>
    <t>EIGTH FLOOR MEP LAYOUT</t>
  </si>
  <si>
    <t>WLH/KEC/SIEC/MEP SECTION/8TH FL/00</t>
  </si>
  <si>
    <t>EIGTH FLOOR  MEP SECTION</t>
  </si>
  <si>
    <t>WLH/KEC/SIEC/MEP/9TH FL/00</t>
  </si>
  <si>
    <t>NINTH FLOOR MEP LAYOUT</t>
  </si>
  <si>
    <t>WLH/KEC/SIEC/MEP SECTION/9TH FL/00</t>
  </si>
  <si>
    <t>NINTH FLOOR  MEP SECTION</t>
  </si>
  <si>
    <t>WLH/KEC/SIEC/MEP/10TH FL/00</t>
  </si>
  <si>
    <t>TENTH FLOOR MEP LAYOUT</t>
  </si>
  <si>
    <t>WLH/KEC/SIEC/MEP SECTION/10TH FL/01</t>
  </si>
  <si>
    <t>TENTH FLOOR  MEP SECTION</t>
  </si>
  <si>
    <t>WLH/KEC/SIEC/MEP/TERRACE FL/01</t>
  </si>
  <si>
    <t>TERRACE FLOOR MEP LAYOUT</t>
  </si>
  <si>
    <t>WLH/KEC/SIEC/MEP SECTION/TERRACE FL/02</t>
  </si>
  <si>
    <t>TERRACE FLOOR  MEP SECTION</t>
  </si>
  <si>
    <t>Architecture</t>
  </si>
  <si>
    <t>New Building</t>
  </si>
  <si>
    <t>WMHL-A20-B1-01</t>
  </si>
  <si>
    <t>BASEMENT FLOOR PLAN</t>
  </si>
  <si>
    <t>Shivangee</t>
  </si>
  <si>
    <t>WMHL-A20-B.LOFT-01</t>
  </si>
  <si>
    <t xml:space="preserve">BASEMENT LOFT PLANS </t>
  </si>
  <si>
    <t>WMHL-A44-01</t>
  </si>
  <si>
    <t>BASEMENT FURNITURE LAYOUT</t>
  </si>
  <si>
    <t>WMHL-A36-01</t>
  </si>
  <si>
    <t>BASEMENT PART SECTIONS</t>
  </si>
  <si>
    <t>WMHL-A36-02</t>
  </si>
  <si>
    <t>WMHL-A47-B1-01.1</t>
  </si>
  <si>
    <t>BASEMENT TOILET-1  DETAIL</t>
  </si>
  <si>
    <t>WMHL-A47-B1-01.2</t>
  </si>
  <si>
    <t>BASEMENT TOILET-2  DETAIL</t>
  </si>
  <si>
    <t>WMHL-A47-B1-01.3</t>
  </si>
  <si>
    <t>BASEMENT TOILET-3  DETAIL</t>
  </si>
  <si>
    <t>WMHL-A25-01</t>
  </si>
  <si>
    <t>BASEMENT FLOORING LAYOUT</t>
  </si>
  <si>
    <t>WMHL-A25-02</t>
  </si>
  <si>
    <t>BASEMENT LOFT FLOORING LAYOUT</t>
  </si>
  <si>
    <t>WMHL-A54-02.2</t>
  </si>
  <si>
    <t>WINDOW DETAILS SHEET 2</t>
  </si>
  <si>
    <t>MEP Coordinated Drawing wih design inputs of fixtures and duct layouts</t>
  </si>
  <si>
    <t>WMLH-A41-02.1</t>
  </si>
  <si>
    <t>BASEMENT LINAC DETAILS-1</t>
  </si>
  <si>
    <t>WMLH-A41-02.2</t>
  </si>
  <si>
    <t>WMLH-A41-03</t>
  </si>
  <si>
    <t>BASEMENT -BOOTH SEATING AREA</t>
  </si>
  <si>
    <t>WMHL-A60-01</t>
  </si>
  <si>
    <t>BASEMENT FLOOR RCP</t>
  </si>
  <si>
    <t>WMHL-A20-00-01</t>
  </si>
  <si>
    <t>GROUND FLOOR PLAN</t>
  </si>
  <si>
    <t>WMHL-A44-02</t>
  </si>
  <si>
    <t>GROUND FLOOR FURNITURE LAYOUT</t>
  </si>
  <si>
    <t>WMHL-A54-02</t>
  </si>
  <si>
    <t>DOOR DETAILS SHEET 3</t>
  </si>
  <si>
    <t>WMHL-A47-00-01.1</t>
  </si>
  <si>
    <t>GROUND FLOOR TOILET-1  DETAIL</t>
  </si>
  <si>
    <t>WMHL-A47-00-01.2</t>
  </si>
  <si>
    <t>GROUND FLOOR TOILET-2  DETAIL</t>
  </si>
  <si>
    <t>WMHL-A47-00-01.3</t>
  </si>
  <si>
    <t>GROUND FLOOR TOILET-3  DETAIL</t>
  </si>
  <si>
    <t>WMHL-A54-01.4</t>
  </si>
  <si>
    <t>WMHL-A54-01.5</t>
  </si>
  <si>
    <t>DOOR DETAILS SHEET 4</t>
  </si>
  <si>
    <t>WMHL-A25-03</t>
  </si>
  <si>
    <t>GROUND FLOOR FLOORING LAYOUT</t>
  </si>
  <si>
    <t>WMHL-A41-02</t>
  </si>
  <si>
    <t>Interior Elevations- Ground Floor waiting area</t>
  </si>
  <si>
    <t>WMHL-A60-02</t>
  </si>
  <si>
    <t xml:space="preserve">GROUND FLOOR RCP </t>
  </si>
  <si>
    <t>WMHL-A41-03</t>
  </si>
  <si>
    <t>Ground Floor interior elevation- lift lobby &amp; VIP waiting</t>
  </si>
  <si>
    <t>WMHL-A41-04</t>
  </si>
  <si>
    <t>Interior Elevations- Ground Floor Corridor</t>
  </si>
  <si>
    <t>WMHL-A41-07</t>
  </si>
  <si>
    <t>Interior Elevations- Ground Floor Physiotherapy</t>
  </si>
  <si>
    <t>WMHL-A20-01-01</t>
  </si>
  <si>
    <t>1ST FLOOR PLAN</t>
  </si>
  <si>
    <t>WMHL-A44-03</t>
  </si>
  <si>
    <t>FIRST FLOOR FURNITURE LAYOUT</t>
  </si>
  <si>
    <t>WMHL-A47-01-01.1</t>
  </si>
  <si>
    <t>FIRST FLOOR TOILET-1  DETAIL</t>
  </si>
  <si>
    <t>WMHL-A47-01-01.2</t>
  </si>
  <si>
    <t>FIRST FLOOR TOILET-2 DETAIL</t>
  </si>
  <si>
    <t>WMHL-A47-01-01.3</t>
  </si>
  <si>
    <t>FIRST FLOOR TOILET-3  DETAIL</t>
  </si>
  <si>
    <t>WMHL-A25-04</t>
  </si>
  <si>
    <t>FIRST FLOOR FLOORING LAYOUT</t>
  </si>
  <si>
    <t>WMHL-A60-03</t>
  </si>
  <si>
    <t xml:space="preserve">FIRST FLOOR RCP </t>
  </si>
  <si>
    <t>WMHL-A20-02-01</t>
  </si>
  <si>
    <t>2ND FLOOR PLAN</t>
  </si>
  <si>
    <t>WMHL-A44-04</t>
  </si>
  <si>
    <t>SECOND FLOOR FURNITURE LAYOUT</t>
  </si>
  <si>
    <t>WMHL-A46-02</t>
  </si>
  <si>
    <t>2ND FLOOR PANTRY DETAIL</t>
  </si>
  <si>
    <t>WMHL-A47-02-01.1</t>
  </si>
  <si>
    <t>SECOND FLOOR TOILET-1  DETAIL</t>
  </si>
  <si>
    <t>WMHL-A47-02-01.2</t>
  </si>
  <si>
    <t>SECOND FLOOR TOILET-2  DETAIL</t>
  </si>
  <si>
    <t>WMHL-A47-02-01.3</t>
  </si>
  <si>
    <t>SECOND FLOOR TOILET-3  DETAIL</t>
  </si>
  <si>
    <t>WMHL-A54-01.7</t>
  </si>
  <si>
    <t>SECOND FLOOR DOOR DETAILS SHEET 1</t>
  </si>
  <si>
    <t>WMHL-A54-01.8</t>
  </si>
  <si>
    <t>SECOND FLOOR DOOR DETAILS SHEET 2</t>
  </si>
  <si>
    <t>WMHL-A60-04</t>
  </si>
  <si>
    <t xml:space="preserve">SECOND FLOOR RCP </t>
  </si>
  <si>
    <t>WMHL-A27-01</t>
  </si>
  <si>
    <t>SECOND FLOOR FLOORING LAYOUT-1</t>
  </si>
  <si>
    <t>WMHL-A27-02</t>
  </si>
  <si>
    <t>SECOND FLOOR FLOORING LAYOUT-2</t>
  </si>
  <si>
    <t>WMHL-A20-03-01</t>
  </si>
  <si>
    <t>3RD FLOOR PLAN</t>
  </si>
  <si>
    <t>WMHL-A44-05</t>
  </si>
  <si>
    <t>THIRD FLOOR FURNITURE LAYOUT</t>
  </si>
  <si>
    <t>WMHL-A47-03-01.1</t>
  </si>
  <si>
    <t>THIRD FLOOR TOILET-1  DETAIL</t>
  </si>
  <si>
    <t>WMHL-A47-03-01.2</t>
  </si>
  <si>
    <t>THIRD FLOOR TOILET-2  DETAIL</t>
  </si>
  <si>
    <t>WMHL-A54-01.9</t>
  </si>
  <si>
    <t>THIRD FLOOR DOOR DETAILS SHEET 1</t>
  </si>
  <si>
    <t>WMHL-A54-01.10</t>
  </si>
  <si>
    <t>THIRD FLOOR DOOR DETAILS SHEET 2</t>
  </si>
  <si>
    <t>WMHL-A25-06</t>
  </si>
  <si>
    <t>THIRD FLOOR FLOORING LAYOUT</t>
  </si>
  <si>
    <t>WMHL-A41-05</t>
  </si>
  <si>
    <t>Interior Elevations- Third Floor General ward</t>
  </si>
  <si>
    <t>WMHL-A60-05</t>
  </si>
  <si>
    <t xml:space="preserve">THIRD FLOOR RCP </t>
  </si>
  <si>
    <t>WMHL-A10-11</t>
  </si>
  <si>
    <t>SECURITY ROOM 02- DETAILS</t>
  </si>
  <si>
    <t>WMHL-A20-04-01</t>
  </si>
  <si>
    <t>4TH FLOOR PLAN</t>
  </si>
  <si>
    <t>WMHL-A44-06</t>
  </si>
  <si>
    <t>FOURTH FLOOR FURNITURE LAYOUT</t>
  </si>
  <si>
    <t>WMHL-A47-04-01.1</t>
  </si>
  <si>
    <t>FOURTH FLOOR TOILET-1  DETAIL</t>
  </si>
  <si>
    <t>WMHL-A47-04-01.2</t>
  </si>
  <si>
    <t>FOURTH FLOOR TOILET-2  DETAIL</t>
  </si>
  <si>
    <t>WMHL-A54-01.11</t>
  </si>
  <si>
    <t>FOURTH FLOOR DOOR DETAILS SHEET 1</t>
  </si>
  <si>
    <t>WMHL-A54-01.12</t>
  </si>
  <si>
    <t>FOURTH FLOOR DOOR DETAILS SHEET 2</t>
  </si>
  <si>
    <t>WMHL-A25-07</t>
  </si>
  <si>
    <t>FOURTH FLOOR FLOORING LAYOUT</t>
  </si>
  <si>
    <t>WMHL-A60-06</t>
  </si>
  <si>
    <t xml:space="preserve">FOURTH FLOOR RCP </t>
  </si>
  <si>
    <t>WMHL-A41-22</t>
  </si>
  <si>
    <t>Interior Elevations- 4th Floor Change room</t>
  </si>
  <si>
    <t>WMHL-A20-05-01</t>
  </si>
  <si>
    <t>5TH FLOOR PLAN</t>
  </si>
  <si>
    <t>WMHL-A44-07</t>
  </si>
  <si>
    <t>FIFTH FLOOR FURNITURE LAYOUT</t>
  </si>
  <si>
    <t>WMHL-A47-05-01.1</t>
  </si>
  <si>
    <t>FIFTH FLOOR TOILET-1  DETAIL</t>
  </si>
  <si>
    <t>WMHL-A47-05-01.2</t>
  </si>
  <si>
    <t>FIFTH FLOOR TOILET-2  DETAIL</t>
  </si>
  <si>
    <t>WMHL-A47-05-01.3</t>
  </si>
  <si>
    <t>FIFTH FLOOR TOILET-3  DETAIL</t>
  </si>
  <si>
    <t>WMHL-A54-01.13</t>
  </si>
  <si>
    <t>FIFTH FLOOR DOOR DETAILS SHEET 1</t>
  </si>
  <si>
    <t>WMHL-A54-01.14</t>
  </si>
  <si>
    <t>FIFTH FLOOR DOOR DETAILS SHEET 2</t>
  </si>
  <si>
    <t>WMHL-A46-03</t>
  </si>
  <si>
    <t>FIFTH FLOOR PANTRY DETAIL(6TH,8TH  &amp; 9TH FLOOR SIMILAR)</t>
  </si>
  <si>
    <t>WMHL-A47-08-01.1</t>
  </si>
  <si>
    <t>EIGTH FLOOR TOILET-1  DETAIL</t>
  </si>
  <si>
    <t>WMHL-A47-08-01.2</t>
  </si>
  <si>
    <t>EIGTH FLOOR TOILET-2  DETAIL</t>
  </si>
  <si>
    <t>WMHL-A25-08.2</t>
  </si>
  <si>
    <t>FIFTH FLOOR FLOORING LAYOUT</t>
  </si>
  <si>
    <t>WMHL-A41-01</t>
  </si>
  <si>
    <t>Interior Elevations- consultant room</t>
  </si>
  <si>
    <t>WMHL-A25-08.1</t>
  </si>
  <si>
    <t>WMHL-A60-07</t>
  </si>
  <si>
    <t xml:space="preserve">FIFTH FLOOR RCP </t>
  </si>
  <si>
    <t>WMHL-A41-10.1</t>
  </si>
  <si>
    <t>FIFTH FLOOR - ICU SHEET 1</t>
  </si>
  <si>
    <t>WMHL-A41-10.2</t>
  </si>
  <si>
    <t>FIFTH FLOOR - ICU SHEET 2</t>
  </si>
  <si>
    <t>WMHL-A20-06-01</t>
  </si>
  <si>
    <t>6TH  FLOOR PLAN</t>
  </si>
  <si>
    <t>WMHL-A44-08</t>
  </si>
  <si>
    <t>SIXTH FLOOR FURNITURE LAYOUT</t>
  </si>
  <si>
    <t>WMHL-A47-06-01.1</t>
  </si>
  <si>
    <t>SIXTH FLOOR TOILET-1  DETAIL</t>
  </si>
  <si>
    <t>WMHL-A47-06-01.2</t>
  </si>
  <si>
    <t>SIXTH FLOOR TOILET-2  DETAIL</t>
  </si>
  <si>
    <t>WMHL-A47-06-01.3</t>
  </si>
  <si>
    <t>SIXTH FLOOR TOILET-3  DETAIL</t>
  </si>
  <si>
    <t>WMHL-A54-01.15</t>
  </si>
  <si>
    <t>SIXTH FLOOR DOOR DETAILS SHEET 1</t>
  </si>
  <si>
    <t>WMHL-A54-01.16</t>
  </si>
  <si>
    <t>SIXTH FLOOR DOOR DETAILS SHEET 2</t>
  </si>
  <si>
    <t>WMHL-A25-09.1</t>
  </si>
  <si>
    <t>SIXTH FLOOR FLOORING LAYOUT-1</t>
  </si>
  <si>
    <t>WMHL-A60-08</t>
  </si>
  <si>
    <t xml:space="preserve">SIXTH FLOOR RCP </t>
  </si>
  <si>
    <t>WMHL-A26-18</t>
  </si>
  <si>
    <t>Interior Elevations- Sixth Floor single gynac room</t>
  </si>
  <si>
    <t>WMHL-A25-09.2</t>
  </si>
  <si>
    <t>SIXTH FLOOR FLOORING LAYOUT-2</t>
  </si>
  <si>
    <t>WMHL-A41-14</t>
  </si>
  <si>
    <t>Interior Elevation Sixth Floor Double Room</t>
  </si>
  <si>
    <t>WMHL-A41-13</t>
  </si>
  <si>
    <t>SIXTH FLOOR - PAEDIATRIC WARD</t>
  </si>
  <si>
    <t>WMHL-A20-07-01</t>
  </si>
  <si>
    <t xml:space="preserve">7TH FLOOR PLAN </t>
  </si>
  <si>
    <t>WMHL-A44-09</t>
  </si>
  <si>
    <t>SEVENTH FLOOR FURNITURE LAYOUT</t>
  </si>
  <si>
    <t>WMHL-A47-07-01.1</t>
  </si>
  <si>
    <t>SEVENTH FLOOR TOILET-1  DETAIL</t>
  </si>
  <si>
    <t>WMHL-A54-01.17</t>
  </si>
  <si>
    <t>SEVENTH FLOOR DOOR DETAILS SHEET 1</t>
  </si>
  <si>
    <t>WMHL-A54-01.18</t>
  </si>
  <si>
    <t>SEVENTH FLOOR DOOR DETAILS SHEET 2</t>
  </si>
  <si>
    <t>WMHL-A46-04</t>
  </si>
  <si>
    <t>7TH FLOOR PANTRY DETAIL</t>
  </si>
  <si>
    <t>WMHL-A41-06</t>
  </si>
  <si>
    <t>Interior Elevations- Basement Consultant Room</t>
  </si>
  <si>
    <t>WMHL-A25-10</t>
  </si>
  <si>
    <t>SEVENTH FLOOR FLOORING LAYOUT</t>
  </si>
  <si>
    <t>WMHL-A60-09</t>
  </si>
  <si>
    <t xml:space="preserve">SEVENTH FLOOR RCP </t>
  </si>
  <si>
    <t>WMHL-A41-08</t>
  </si>
  <si>
    <t>Interior Elevations- Seventh Floor Auditorium details</t>
  </si>
  <si>
    <t>WMHL-A26-17</t>
  </si>
  <si>
    <t>Interior Elevations- Seventh Floor Library details</t>
  </si>
  <si>
    <t>WMHL-A41-17</t>
  </si>
  <si>
    <t>SEVENTH FLOOR -STAFF DINING</t>
  </si>
  <si>
    <t>WMHL-A20-08-01</t>
  </si>
  <si>
    <t>8TH FLOOR PLAN</t>
  </si>
  <si>
    <t>WMHL-A44-10</t>
  </si>
  <si>
    <t>EIGTH FLOOR FURNITURE LAYOUT</t>
  </si>
  <si>
    <t>WMHL-A54-01.19</t>
  </si>
  <si>
    <t>EIGHTH FLOOR DOOR DETAILS SHEET 1</t>
  </si>
  <si>
    <t>WMHL-A54-01.20</t>
  </si>
  <si>
    <t>EIGHTH FLOOR DOOR DETAILS SHEET 2</t>
  </si>
  <si>
    <t>WMHL-A54-03</t>
  </si>
  <si>
    <t>RAILING DETAILS</t>
  </si>
  <si>
    <t>WMHL-A25-11</t>
  </si>
  <si>
    <t>EIGTH FLOOR FLOORING LAYOUT</t>
  </si>
  <si>
    <t>WMHL-A60-10</t>
  </si>
  <si>
    <t>EIGHTH FLOOR RCP</t>
  </si>
  <si>
    <t>WMHL-A41-19</t>
  </si>
  <si>
    <t>Interior Elevation Eight Floor Single Room</t>
  </si>
  <si>
    <t>WMHL-A41-20</t>
  </si>
  <si>
    <t>Interior Elevation Eight Floor Junior Suite Room-1</t>
  </si>
  <si>
    <t>WMHL-A41-21</t>
  </si>
  <si>
    <t>Detail Drawings</t>
  </si>
  <si>
    <t>General Wall Fixing Detail</t>
  </si>
  <si>
    <t>WMHL-A41-23</t>
  </si>
  <si>
    <t>Interior Elevation Eight Floor Suite Room</t>
  </si>
  <si>
    <t>WMHL-A47-10.1</t>
  </si>
  <si>
    <t>EIGHTH FLOOR TOILET DETAIL SHEET 1</t>
  </si>
  <si>
    <t>WMHL-A20-RF-02</t>
  </si>
  <si>
    <t>Roof Floor</t>
  </si>
  <si>
    <t>ABOVE ROOF PLAN &amp; PART SECTIONS</t>
  </si>
  <si>
    <t>WMHL-A20-09-01</t>
  </si>
  <si>
    <t>9TH FLOOR PLAN</t>
  </si>
  <si>
    <t>WMHL-A44-11</t>
  </si>
  <si>
    <t>NINTH FLOOR FURNITURE LAYOUT</t>
  </si>
  <si>
    <t>WMHL-A47-09-01.1</t>
  </si>
  <si>
    <t>NINTH FLOOR TOILET-1  DETAIL</t>
  </si>
  <si>
    <t>WMHL-A47-09-01.2</t>
  </si>
  <si>
    <t>NINTH FLOOR TOILET-2  DETAIL</t>
  </si>
  <si>
    <t>WMHL-A54-01.21</t>
  </si>
  <si>
    <t>NINTH FLOOR DOOR DETAILS SHEET 1</t>
  </si>
  <si>
    <t>WMHL-A54-01.22</t>
  </si>
  <si>
    <t>NINTH FLOOR DOOR DETAILS SHEET 2</t>
  </si>
  <si>
    <t>WMHL-A60-11</t>
  </si>
  <si>
    <t>NINTH FLOOR RCP</t>
  </si>
  <si>
    <t>WMHL-A25-12</t>
  </si>
  <si>
    <t>NINTH FLOOR FLOORING LAYOUT</t>
  </si>
  <si>
    <t>WMHL-A20-10-01</t>
  </si>
  <si>
    <t>10TH FLOOR PLAN</t>
  </si>
  <si>
    <t>WMHL-A44-12</t>
  </si>
  <si>
    <t>TENTH FLOOR FURNITURE LAYOUT</t>
  </si>
  <si>
    <t>WMHL-A46-05</t>
  </si>
  <si>
    <t>10TH FLOOR PANTRY-1  DETAIL</t>
  </si>
  <si>
    <t>WMHL-A47-12.1</t>
  </si>
  <si>
    <t>TENTH FLOOR TOILET-1 DETAIL</t>
  </si>
  <si>
    <t>WMHL-A47-12.2</t>
  </si>
  <si>
    <t>TENTH FLOOR TOILET-2 DETAIL</t>
  </si>
  <si>
    <t>WMHL-A54-01.23</t>
  </si>
  <si>
    <t>TENTH FLOOR DOOR DETAILS SHEET 1</t>
  </si>
  <si>
    <t>WMHL-A54-01.24</t>
  </si>
  <si>
    <t>TENTH FLOOR DOOR DETAILS SHEET 2</t>
  </si>
  <si>
    <t>WMHL-A60-12</t>
  </si>
  <si>
    <t>TENTH FLOOR RCP</t>
  </si>
  <si>
    <t>WMHL-A25-13</t>
  </si>
  <si>
    <t>TENTH FLOOR FLOORING LAYOUT</t>
  </si>
  <si>
    <t>WMHL-A47-12.3</t>
  </si>
  <si>
    <t>TENTH FLOOR TOILET-3 DETAIL</t>
  </si>
  <si>
    <t>WMHL-A47-12.4</t>
  </si>
  <si>
    <t>TENTH FLOOR TOILET-4 DETAIL</t>
  </si>
  <si>
    <t>WMHL-A10-07</t>
  </si>
  <si>
    <t>STP DETAIL</t>
  </si>
  <si>
    <t>WMHL-A42-01.1</t>
  </si>
  <si>
    <t>STAIRCASE-2 DETAILS (SHEET 1)</t>
  </si>
  <si>
    <t>WMHL-A42-01.2</t>
  </si>
  <si>
    <t>STAIRCASE-2 DETAILS (SHEET 2)</t>
  </si>
  <si>
    <t>WMHL-A42-02.1</t>
  </si>
  <si>
    <t>STAIRCASE-3 DETAILS (SHEET 1)</t>
  </si>
  <si>
    <t>WMHL-A42-02.2</t>
  </si>
  <si>
    <t>STAIRCASE-3 DETAILS (SHEET 2)</t>
  </si>
  <si>
    <t>WMHL-A42-03</t>
  </si>
  <si>
    <t xml:space="preserve">STAIRCASE-4 (pump room) DETAILS </t>
  </si>
  <si>
    <t>WMHL-A43-01</t>
  </si>
  <si>
    <t>VISITORS LIFT DETAILS</t>
  </si>
  <si>
    <t>WMHL-A43-03</t>
  </si>
  <si>
    <t>PATIENT LIFT DETAILS</t>
  </si>
  <si>
    <t>WMHL-A54-04</t>
  </si>
  <si>
    <t>LINAC DETAILS</t>
  </si>
  <si>
    <t>WMHL-A43-02</t>
  </si>
  <si>
    <t>SERVICE LIFT DETAILS</t>
  </si>
  <si>
    <t>WMHL-A54-01.1</t>
  </si>
  <si>
    <t>DOOR &amp; WINDOW SCHEDULE SHEET</t>
  </si>
  <si>
    <t>WMHL-A54-01.2</t>
  </si>
  <si>
    <t>DOOR DETAILS SHEET 1</t>
  </si>
  <si>
    <t>WMHL-A54-01.3</t>
  </si>
  <si>
    <t>DOOR DETAILS SHEET 2</t>
  </si>
  <si>
    <t>WMHL-A47-11-01.1</t>
  </si>
  <si>
    <t>TOILET FIXING DETAILS SHEET 1</t>
  </si>
  <si>
    <t>WMHL-A54-02.1</t>
  </si>
  <si>
    <t>WINDOW DETAILS SHEET 1</t>
  </si>
  <si>
    <t>WMHL-A10-06</t>
  </si>
  <si>
    <t>PUMP ROOM  &amp; UGR DETAILS</t>
  </si>
  <si>
    <t>WMHL-A10-08</t>
  </si>
  <si>
    <t>HT ROOM DETAILS</t>
  </si>
  <si>
    <t>WMHL-A10-09</t>
  </si>
  <si>
    <t>BWS ROOM DETAILS</t>
  </si>
  <si>
    <t>WMHL-A10-10</t>
  </si>
  <si>
    <t>SECURITY ROOM 01- DETAILS</t>
  </si>
  <si>
    <t>WMHL-A10-04</t>
  </si>
  <si>
    <t>MASTER PLAN WITH ROAD LAYOUT</t>
  </si>
  <si>
    <t>WMHL-A10-05</t>
  </si>
  <si>
    <t xml:space="preserve">COORDINATED MASTER PLAN  </t>
  </si>
  <si>
    <t>WMHL-A10-12</t>
  </si>
  <si>
    <t>ROAD SECTIONS</t>
  </si>
  <si>
    <t>WMHL-A10-13</t>
  </si>
  <si>
    <t>BOUNDARY WALL DETAILS</t>
  </si>
  <si>
    <t>WMHL-A10-14</t>
  </si>
  <si>
    <t>GATE 01 DETAILS</t>
  </si>
  <si>
    <t>WMHL-A20-RF-01</t>
  </si>
  <si>
    <t>ROOF PLAN</t>
  </si>
  <si>
    <t>WMHL-A44-13</t>
  </si>
  <si>
    <t>ROOF FURNITURE LAYOUT</t>
  </si>
  <si>
    <t>WMHL-A60-13</t>
  </si>
  <si>
    <t>ROOF RCP</t>
  </si>
  <si>
    <t>WMHL-A25-14</t>
  </si>
  <si>
    <t>ROOF FLOORING</t>
  </si>
  <si>
    <t>ROOF FLOOR TOILET-1 DETAIL</t>
  </si>
  <si>
    <t>WMHL-A47-11-01.2</t>
  </si>
  <si>
    <t>WMHL-A54-01.25</t>
  </si>
  <si>
    <t>ROOF FLOOR DOOR DETAILS SHEET 1</t>
  </si>
  <si>
    <t>WMHL-A54-01.26</t>
  </si>
  <si>
    <t>ROOF FLOOR DOOR DETAILS SHEET 2</t>
  </si>
  <si>
    <t>WMHL-A10-02</t>
  </si>
  <si>
    <t>Overall Plan, Elevations &amp; Sections</t>
  </si>
  <si>
    <t>BLOCK LAYOUT PLAN</t>
  </si>
  <si>
    <t>WMHL-A10-03</t>
  </si>
  <si>
    <t>COLUMN AND GRID SETTING OUT PLAN</t>
  </si>
  <si>
    <t>WMLH-A30-00-01</t>
  </si>
  <si>
    <t>ELEVATION A</t>
  </si>
  <si>
    <t>WMLH-A30-00-02</t>
  </si>
  <si>
    <t>ELEVATION B &amp; C</t>
  </si>
  <si>
    <t>WMLH-A30-00-03</t>
  </si>
  <si>
    <t>ELEVATION D</t>
  </si>
  <si>
    <t>WMHL-A35-01</t>
  </si>
  <si>
    <t>SECTION A-A</t>
  </si>
  <si>
    <t>WMLH-A35-02</t>
  </si>
  <si>
    <t>SECTION B-B</t>
  </si>
  <si>
    <t>WMLH-A35-03</t>
  </si>
  <si>
    <t>SECTION C-C</t>
  </si>
  <si>
    <t>WMLH-A35-04</t>
  </si>
  <si>
    <t>SECTION D-D</t>
  </si>
  <si>
    <t>WMHL-A10-01</t>
  </si>
  <si>
    <t>GENERAL NOTES</t>
  </si>
  <si>
    <t>Existing Building</t>
  </si>
  <si>
    <t>WMHL-EX-A25-01</t>
  </si>
  <si>
    <t>WMHL-EX-A60-01</t>
  </si>
  <si>
    <t>GROUND FLOOR RCP LAYOUT</t>
  </si>
  <si>
    <t>WMHL-EX-A20-00-01</t>
  </si>
  <si>
    <t>WMHL-EX-A44-01</t>
  </si>
  <si>
    <t>WMHL-EX-A25-02</t>
  </si>
  <si>
    <t>WMHL-EX-A60-02</t>
  </si>
  <si>
    <t>FIRST FLOOR RCP LAYOUT</t>
  </si>
  <si>
    <t>WMHL-EX-A20-01-01</t>
  </si>
  <si>
    <t>FIRST FLOOR PLAN</t>
  </si>
  <si>
    <t>WMHL-EX-A44-02</t>
  </si>
  <si>
    <t>WMHL-EX-A25-03</t>
  </si>
  <si>
    <t>SECOND FLOOR FLOORING LAYOUT</t>
  </si>
  <si>
    <t>WMHL-EX-A60-03</t>
  </si>
  <si>
    <t>SECOND FLOOR RCP LAYOUT</t>
  </si>
  <si>
    <t>WMHL-EX-A20-02-01</t>
  </si>
  <si>
    <t>SECOND FLOOR PLAN</t>
  </si>
  <si>
    <t>WMHL-EX-A44-03</t>
  </si>
  <si>
    <t>WMHL-EX-A25-04</t>
  </si>
  <si>
    <t>WMHL-EX-A60-04</t>
  </si>
  <si>
    <t>THIRD FLOOR RCP LAYOUT</t>
  </si>
  <si>
    <t>WMHL-EX-A20-03-01</t>
  </si>
  <si>
    <t>THIRD FLOOR PLAN</t>
  </si>
  <si>
    <t>WMHL-EX-A44-04</t>
  </si>
  <si>
    <t>WMHL-EX-A25-05</t>
  </si>
  <si>
    <t>WMHL-EX-A60-05</t>
  </si>
  <si>
    <t>FOURTH FLOOR RCP LAYOUT</t>
  </si>
  <si>
    <t>WMHL-EX-A20-04-01</t>
  </si>
  <si>
    <t>FOURTH FLOOR PLAN</t>
  </si>
  <si>
    <t>WMHL-EX-A44-05</t>
  </si>
  <si>
    <t>WMHL-EX-A25-06</t>
  </si>
  <si>
    <t>WMHL-EX-A60-06</t>
  </si>
  <si>
    <t>FIFTH FLOOR RCP LAYOUT</t>
  </si>
  <si>
    <t>WMHL-EX-A20-05-01</t>
  </si>
  <si>
    <t>FIFTH FLOOR PLAN</t>
  </si>
  <si>
    <t>WMHL-EX-A44-06</t>
  </si>
  <si>
    <t>1st Submission Plan_wk</t>
  </si>
  <si>
    <t>Actual Submission to Client_wk</t>
  </si>
  <si>
    <t>Planned Approval_wk</t>
  </si>
  <si>
    <t>Actual  Approval_wk</t>
  </si>
  <si>
    <t>1st Submission Plan_mth</t>
  </si>
  <si>
    <t>Actual Submission to Client_mth</t>
  </si>
  <si>
    <t>Planned Approval_mth</t>
  </si>
  <si>
    <t>Actual  Approval_mth</t>
  </si>
  <si>
    <t>Date</t>
  </si>
  <si>
    <t>Column Labels</t>
  </si>
  <si>
    <t>Description</t>
  </si>
  <si>
    <t xml:space="preserve"> MDL Title</t>
  </si>
  <si>
    <t>Structural</t>
  </si>
  <si>
    <t>Rpt_Week</t>
  </si>
  <si>
    <t>Rpt_Month</t>
  </si>
  <si>
    <t>Total DRG ID</t>
  </si>
  <si>
    <t>Submission_1 Plan</t>
  </si>
  <si>
    <t>Submission_1 Actuals</t>
  </si>
  <si>
    <t>Approval Plan</t>
  </si>
  <si>
    <t>Approval Actuals</t>
  </si>
  <si>
    <t>WLH/KEC/SIEC/HVAC/GR FL/SMOKE EXTRACTION/00-00</t>
  </si>
  <si>
    <t>Row Labels</t>
  </si>
  <si>
    <t>Grand Total</t>
  </si>
  <si>
    <t xml:space="preserve"> Submission_1 Plan</t>
  </si>
  <si>
    <t xml:space="preserve"> Submission_1 Actuals</t>
  </si>
  <si>
    <t xml:space="preserve"> Approval Plan</t>
  </si>
  <si>
    <t xml:space="preserve"> Approval Actuals</t>
  </si>
  <si>
    <t>Total Drgs</t>
  </si>
  <si>
    <t>Submitted</t>
  </si>
  <si>
    <t>Approved</t>
  </si>
  <si>
    <t>Count of DRG ID</t>
  </si>
  <si>
    <t>Count of Actual Submission to Client</t>
  </si>
  <si>
    <t>Count of Actual  Approval Date</t>
  </si>
  <si>
    <t>Submission Status</t>
  </si>
  <si>
    <t>Approval Status</t>
  </si>
  <si>
    <t>Start</t>
  </si>
  <si>
    <t>Initial</t>
  </si>
  <si>
    <t>Mid</t>
  </si>
  <si>
    <t>End</t>
  </si>
  <si>
    <t>Max</t>
  </si>
  <si>
    <t>Speedometer</t>
  </si>
  <si>
    <t>Value</t>
  </si>
  <si>
    <t>Pointer</t>
  </si>
  <si>
    <t>(All)</t>
  </si>
  <si>
    <t>Approval Code</t>
  </si>
  <si>
    <t>Desc</t>
  </si>
  <si>
    <t>R</t>
  </si>
  <si>
    <t>V</t>
  </si>
  <si>
    <t>Approved with comments</t>
  </si>
  <si>
    <t>Not Approved</t>
  </si>
  <si>
    <t>Retained for info</t>
  </si>
  <si>
    <t>Void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</si>
</sst>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4009]dd/mm/yyyy;@"/>
    <numFmt numFmtId="165" formatCode="mmm/yyyy"/>
    <numFmt numFmtId="166" formatCode="0.0%"/>
  </numFmts>
  <fonts count="7">
    <font>
      <sz val="11"/>
      <color theme="1"/>
      <name val="Calibri"/>
      <family val="2"/>
      <scheme val="minor"/>
    </font>
    <font>
      <sz val="11"/>
      <color theme="1"/>
      <name val="Calibri"/>
      <family val="2"/>
      <scheme val="minor"/>
    </font>
    <font>
      <sz val="10"/>
      <name val="SAVE"/>
    </font>
    <font>
      <b/>
      <sz val="11"/>
      <color theme="1"/>
      <name val="Arial"/>
      <family val="2"/>
    </font>
    <font>
      <b/>
      <sz val="11"/>
      <color theme="1"/>
      <name val="Calibri"/>
      <family val="2"/>
      <scheme val="minor"/>
    </font>
    <font>
      <b/>
      <sz val="11"/>
      <color rgb="FF0000CC"/>
      <name val="Calibri"/>
      <family val="2"/>
      <scheme val="minor"/>
    </font>
    <font>
      <b/>
      <sz val="14"/>
      <color rgb="FF0000CC"/>
      <name val="Calibri"/>
      <family val="2"/>
      <scheme val="minor"/>
    </font>
  </fonts>
  <fills count="8">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2" fillId="0" borderId="0"/>
    <xf numFmtId="9" fontId="1" fillId="0" borderId="0" applyFont="0" applyFill="0" applyBorder="0" applyAlignment="0" applyProtection="0"/>
  </cellStyleXfs>
  <cellXfs count="35">
    <xf numFmtId="0" fontId="0" fillId="0" borderId="0" xfId="0"/>
    <xf numFmtId="0" fontId="1" fillId="0" borderId="0" xfId="0" applyFont="1"/>
    <xf numFmtId="0" fontId="1" fillId="0" borderId="1" xfId="0" applyFont="1" applyBorder="1" applyAlignment="1" applyProtection="1">
      <alignment wrapText="1"/>
      <protection locked="0"/>
    </xf>
    <xf numFmtId="0" fontId="1" fillId="3" borderId="1" xfId="0" applyFont="1" applyFill="1" applyBorder="1" applyAlignment="1" applyProtection="1">
      <alignment wrapText="1"/>
      <protection locked="0"/>
    </xf>
    <xf numFmtId="0" fontId="1" fillId="3" borderId="1" xfId="0" applyFont="1" applyFill="1" applyBorder="1" applyAlignment="1">
      <alignment wrapText="1"/>
    </xf>
    <xf numFmtId="0" fontId="1" fillId="0" borderId="1" xfId="0" applyFont="1" applyBorder="1" applyAlignment="1">
      <alignment wrapText="1"/>
    </xf>
    <xf numFmtId="49" fontId="3" fillId="5" borderId="1" xfId="1" applyNumberFormat="1" applyFont="1" applyFill="1" applyBorder="1" applyAlignment="1">
      <alignment horizontal="center" vertical="center" wrapText="1"/>
    </xf>
    <xf numFmtId="14" fontId="3" fillId="5" borderId="1" xfId="1" applyNumberFormat="1" applyFont="1" applyFill="1" applyBorder="1" applyAlignment="1">
      <alignment horizontal="center" vertical="center" wrapText="1"/>
    </xf>
    <xf numFmtId="49" fontId="3" fillId="6" borderId="1" xfId="1" applyNumberFormat="1" applyFont="1" applyFill="1" applyBorder="1" applyAlignment="1">
      <alignment horizontal="center" vertical="center" wrapText="1"/>
    </xf>
    <xf numFmtId="14" fontId="3" fillId="6" borderId="1" xfId="1" applyNumberFormat="1" applyFont="1" applyFill="1" applyBorder="1" applyAlignment="1">
      <alignment horizontal="center" vertical="center" wrapText="1"/>
    </xf>
    <xf numFmtId="164" fontId="0" fillId="0" borderId="0" xfId="0" applyNumberFormat="1"/>
    <xf numFmtId="0" fontId="4" fillId="0" borderId="0" xfId="0" applyFont="1"/>
    <xf numFmtId="0" fontId="4" fillId="0" borderId="1" xfId="0" applyFont="1" applyBorder="1"/>
    <xf numFmtId="0" fontId="0" fillId="0" borderId="1" xfId="0" applyBorder="1"/>
    <xf numFmtId="164" fontId="0" fillId="0" borderId="1" xfId="0" applyNumberFormat="1" applyBorder="1"/>
    <xf numFmtId="0" fontId="4" fillId="4" borderId="1" xfId="0" applyFont="1" applyFill="1" applyBorder="1"/>
    <xf numFmtId="49" fontId="3" fillId="2" borderId="1" xfId="1" applyNumberFormat="1" applyFont="1" applyFill="1" applyBorder="1" applyAlignment="1" applyProtection="1">
      <alignment horizontal="center" vertical="center" wrapText="1"/>
      <protection locked="0"/>
    </xf>
    <xf numFmtId="15" fontId="0" fillId="0" borderId="0" xfId="0" applyNumberFormat="1"/>
    <xf numFmtId="15" fontId="0" fillId="0" borderId="1" xfId="0" applyNumberFormat="1" applyBorder="1"/>
    <xf numFmtId="165" fontId="0" fillId="0" borderId="1" xfId="0" applyNumberFormat="1" applyBorder="1"/>
    <xf numFmtId="0" fontId="0" fillId="0" borderId="1" xfId="0" pivotButton="1" applyBorder="1"/>
    <xf numFmtId="0" fontId="0" fillId="0" borderId="1" xfId="0" applyBorder="1" applyAlignment="1">
      <alignment horizontal="center" vertical="center"/>
    </xf>
    <xf numFmtId="0" fontId="6" fillId="0" borderId="0" xfId="0" applyFont="1" applyAlignment="1">
      <alignment horizontal="center" vertical="center"/>
    </xf>
    <xf numFmtId="0" fontId="4" fillId="7" borderId="2" xfId="0" applyFont="1" applyFill="1" applyBorder="1" applyAlignment="1">
      <alignment horizontal="center" vertical="center"/>
    </xf>
    <xf numFmtId="166" fontId="0" fillId="0" borderId="1" xfId="2" applyNumberFormat="1" applyFont="1" applyBorder="1"/>
    <xf numFmtId="0" fontId="0" fillId="0" borderId="0" xfId="0" pivotButton="1"/>
    <xf numFmtId="15" fontId="0" fillId="0" borderId="0" xfId="0" applyNumberFormat="1" applyAlignment="1">
      <alignment horizontal="left"/>
    </xf>
    <xf numFmtId="0" fontId="0" fillId="0" borderId="0" xfId="0" applyAlignment="1">
      <alignment horizontal="left"/>
    </xf>
    <xf numFmtId="166" fontId="0" fillId="0" borderId="0" xfId="0" applyNumberFormat="1"/>
    <xf numFmtId="0" fontId="4" fillId="7" borderId="1" xfId="0" applyFont="1" applyFill="1" applyBorder="1" applyAlignment="1">
      <alignment horizontal="center" vertical="center"/>
    </xf>
    <xf numFmtId="0" fontId="6" fillId="0" borderId="1" xfId="0" applyFont="1" applyBorder="1" applyAlignment="1">
      <alignment horizontal="center" vertical="center"/>
    </xf>
    <xf numFmtId="0" fontId="5" fillId="0" borderId="1" xfId="0" applyFont="1" applyBorder="1" applyAlignment="1">
      <alignment horizontal="center" vertical="center"/>
    </xf>
    <xf numFmtId="165" fontId="0" fillId="0" borderId="0" xfId="0" applyNumberFormat="1" applyAlignment="1">
      <alignment horizontal="left"/>
    </xf>
    <xf numFmtId="9" fontId="0" fillId="0" borderId="0" xfId="2" applyFont="1"/>
    <xf numFmtId="1" fontId="0" fillId="0" borderId="0" xfId="0" applyNumberFormat="1" applyAlignment="1">
      <alignment horizontal="left"/>
    </xf>
  </cellXfs>
  <cellStyles count="3">
    <cellStyle name="Normal" xfId="0" builtinId="0"/>
    <cellStyle name="Normal_(ANX-08) Progress report" xfId="1" xr:uid="{6C5128B0-DA7A-4C3A-AD61-3F5EFD698605}"/>
    <cellStyle name="Percent" xfId="2" builtinId="5"/>
  </cellStyles>
  <dxfs count="14">
    <dxf>
      <font>
        <color rgb="FF0000CC"/>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vertical="center"/>
    </dxf>
    <dxf>
      <alignment vertical="center"/>
    </dxf>
  </dxfs>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microsoft.com/office/2007/relationships/slicerCache" Target="slicerCaches/slicerCache2.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11/relationships/timelineCache" Target="timelineCaches/timelineCache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1.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microsoft.com/office/2011/relationships/timelineCache" Target="timelineCaches/timelineCache2.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microsoft.com/office/2011/relationships/timelineCache" Target="timelineCaches/timelineCache6.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microsoft.com/office/2011/relationships/timelineCache" Target="timelineCaches/timelineCache5.xml"/><Relationship Id="rId28" Type="http://schemas.openxmlformats.org/officeDocument/2006/relationships/sheetMetadata" Target="metadata.xml"/><Relationship Id="rId10" Type="http://schemas.openxmlformats.org/officeDocument/2006/relationships/pivotCacheDefinition" Target="pivotCache/pivotCacheDefinition2.xml"/><Relationship Id="rId19" Type="http://schemas.microsoft.com/office/2011/relationships/timelineCache" Target="timelineCaches/timeline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microsoft.com/office/2011/relationships/timelineCache" Target="timelineCaches/timelineCache4.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[Civil_Project_Tracker_Datasheets.xlsx]Floor-wise!PivotTable4</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Floor-wise</a:t>
            </a:r>
            <a:r>
              <a:rPr lang="en-IN" baseline="0"/>
              <a:t>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solidFill>
            <a:srgbClr val="0000CC"/>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00CC"/>
          </a:solidFill>
          <a:ln>
            <a:noFill/>
          </a:ln>
          <a:effectLst/>
        </c:spPr>
      </c:pivotFmt>
    </c:pivotFmts>
    <c:plotArea>
      <c:layout/>
      <c:barChart>
        <c:barDir val="col"/>
        <c:grouping val="clustered"/>
        <c:varyColors val="0"/>
        <c:ser>
          <c:idx val="0"/>
          <c:order val="0"/>
          <c:tx>
            <c:strRef>
              <c:f>'Floor-wise'!$B$1</c:f>
              <c:strCache>
                <c:ptCount val="1"/>
                <c:pt idx="0">
                  <c:v>Total Drgs</c:v>
                </c:pt>
              </c:strCache>
            </c:strRef>
          </c:tx>
          <c:spPr>
            <a:solidFill>
              <a:srgbClr val="0000CC"/>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'Floor-wise'!$A$2:$A$22</c:f>
              <c:strCache>
                <c:ptCount val="20"/>
                <c:pt idx="0">
                  <c:v>Above Roof</c:v>
                </c:pt>
                <c:pt idx="1">
                  <c:v>Basement</c:v>
                </c:pt>
                <c:pt idx="2">
                  <c:v>Common</c:v>
                </c:pt>
                <c:pt idx="3">
                  <c:v>Detail Drawings</c:v>
                </c:pt>
                <c:pt idx="4">
                  <c:v>Eighth Floor</c:v>
                </c:pt>
                <c:pt idx="5">
                  <c:v>Existing Building</c:v>
                </c:pt>
                <c:pt idx="6">
                  <c:v>External</c:v>
                </c:pt>
                <c:pt idx="7">
                  <c:v>Fifth Floor</c:v>
                </c:pt>
                <c:pt idx="8">
                  <c:v>First Floor</c:v>
                </c:pt>
                <c:pt idx="9">
                  <c:v>Fourth Floor</c:v>
                </c:pt>
                <c:pt idx="10">
                  <c:v>Ground Floor</c:v>
                </c:pt>
                <c:pt idx="11">
                  <c:v>Ninth floor</c:v>
                </c:pt>
                <c:pt idx="12">
                  <c:v>Overall Plan, Elevations &amp; Sections</c:v>
                </c:pt>
                <c:pt idx="13">
                  <c:v>Roof Floor</c:v>
                </c:pt>
                <c:pt idx="14">
                  <c:v>Second Floor</c:v>
                </c:pt>
                <c:pt idx="15">
                  <c:v>Seventh Floor</c:v>
                </c:pt>
                <c:pt idx="16">
                  <c:v>Sixth Floor</c:v>
                </c:pt>
                <c:pt idx="17">
                  <c:v>Tenth Floor</c:v>
                </c:pt>
                <c:pt idx="18">
                  <c:v>Terrace floor</c:v>
                </c:pt>
                <c:pt idx="19">
                  <c:v>Third Floor</c:v>
                </c:pt>
              </c:strCache>
            </c:strRef>
          </c:cat>
          <c:val>
            <c:numRef>
              <c:f>'Floor-wise'!$B$2:$B$22</c:f>
              <c:numCache>
                <c:formatCode>General</c:formatCode>
                <c:ptCount val="20"/>
                <c:pt idx="0">
                  <c:v>1</c:v>
                </c:pt>
                <c:pt idx="1">
                  <c:v>8</c:v>
                </c:pt>
                <c:pt idx="2">
                  <c:v>12</c:v>
                </c:pt>
                <c:pt idx="3">
                  <c:v>20</c:v>
                </c:pt>
                <c:pt idx="4">
                  <c:v>11</c:v>
                </c:pt>
                <c:pt idx="5">
                  <c:v>24</c:v>
                </c:pt>
                <c:pt idx="6">
                  <c:v>5</c:v>
                </c:pt>
                <c:pt idx="7">
                  <c:v>7</c:v>
                </c:pt>
                <c:pt idx="8">
                  <c:v>7</c:v>
                </c:pt>
                <c:pt idx="9">
                  <c:v>7</c:v>
                </c:pt>
                <c:pt idx="10">
                  <c:v>7</c:v>
                </c:pt>
                <c:pt idx="11">
                  <c:v>10</c:v>
                </c:pt>
                <c:pt idx="12">
                  <c:v>9</c:v>
                </c:pt>
                <c:pt idx="13">
                  <c:v>7</c:v>
                </c:pt>
                <c:pt idx="14">
                  <c:v>7</c:v>
                </c:pt>
                <c:pt idx="15">
                  <c:v>7</c:v>
                </c:pt>
                <c:pt idx="16">
                  <c:v>7</c:v>
                </c:pt>
                <c:pt idx="17">
                  <c:v>16</c:v>
                </c:pt>
                <c:pt idx="18">
                  <c:v>4</c:v>
                </c:pt>
                <c:pt idx="19">
                  <c:v>7</c:v>
                </c:pt>
              </c:numCache>
            </c:numRef>
          </c:val>
          <c:extLst>
            <c:ext xmlns:c16="http://schemas.microsoft.com/office/drawing/2014/chart" uri="{C3380CC4-5D6E-409C-BE32-E72D297353CC}">
              <c16:uniqueId val="{00000000-D4E8-478C-ABF1-5398EDBF22E9}"/>
            </c:ext>
          </c:extLst>
        </c:ser>
        <c:ser>
          <c:idx val="1"/>
          <c:order val="1"/>
          <c:tx>
            <c:strRef>
              <c:f>'Floor-wise'!$C$1</c:f>
              <c:strCache>
                <c:ptCount val="1"/>
                <c:pt idx="0">
                  <c:v>Submitted</c:v>
                </c:pt>
              </c:strCache>
            </c:strRef>
          </c:tx>
          <c:spPr>
            <a:solidFill>
              <a:srgbClr val="FFC00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'Floor-wise'!$A$2:$A$22</c:f>
              <c:strCache>
                <c:ptCount val="20"/>
                <c:pt idx="0">
                  <c:v>Above Roof</c:v>
                </c:pt>
                <c:pt idx="1">
                  <c:v>Basement</c:v>
                </c:pt>
                <c:pt idx="2">
                  <c:v>Common</c:v>
                </c:pt>
                <c:pt idx="3">
                  <c:v>Detail Drawings</c:v>
                </c:pt>
                <c:pt idx="4">
                  <c:v>Eighth Floor</c:v>
                </c:pt>
                <c:pt idx="5">
                  <c:v>Existing Building</c:v>
                </c:pt>
                <c:pt idx="6">
                  <c:v>External</c:v>
                </c:pt>
                <c:pt idx="7">
                  <c:v>Fifth Floor</c:v>
                </c:pt>
                <c:pt idx="8">
                  <c:v>First Floor</c:v>
                </c:pt>
                <c:pt idx="9">
                  <c:v>Fourth Floor</c:v>
                </c:pt>
                <c:pt idx="10">
                  <c:v>Ground Floor</c:v>
                </c:pt>
                <c:pt idx="11">
                  <c:v>Ninth floor</c:v>
                </c:pt>
                <c:pt idx="12">
                  <c:v>Overall Plan, Elevations &amp; Sections</c:v>
                </c:pt>
                <c:pt idx="13">
                  <c:v>Roof Floor</c:v>
                </c:pt>
                <c:pt idx="14">
                  <c:v>Second Floor</c:v>
                </c:pt>
                <c:pt idx="15">
                  <c:v>Seventh Floor</c:v>
                </c:pt>
                <c:pt idx="16">
                  <c:v>Sixth Floor</c:v>
                </c:pt>
                <c:pt idx="17">
                  <c:v>Tenth Floor</c:v>
                </c:pt>
                <c:pt idx="18">
                  <c:v>Terrace floor</c:v>
                </c:pt>
                <c:pt idx="19">
                  <c:v>Third Floor</c:v>
                </c:pt>
              </c:strCache>
            </c:strRef>
          </c:cat>
          <c:val>
            <c:numRef>
              <c:f>'Floor-wise'!$C$2:$C$22</c:f>
              <c:numCache>
                <c:formatCode>General</c:formatCode>
                <c:ptCount val="20"/>
                <c:pt idx="0">
                  <c:v>1</c:v>
                </c:pt>
                <c:pt idx="1">
                  <c:v>8</c:v>
                </c:pt>
                <c:pt idx="2">
                  <c:v>12</c:v>
                </c:pt>
                <c:pt idx="3">
                  <c:v>19</c:v>
                </c:pt>
                <c:pt idx="4">
                  <c:v>11</c:v>
                </c:pt>
                <c:pt idx="5">
                  <c:v>18</c:v>
                </c:pt>
                <c:pt idx="6">
                  <c:v>5</c:v>
                </c:pt>
                <c:pt idx="7">
                  <c:v>7</c:v>
                </c:pt>
                <c:pt idx="8">
                  <c:v>7</c:v>
                </c:pt>
                <c:pt idx="9">
                  <c:v>7</c:v>
                </c:pt>
                <c:pt idx="10">
                  <c:v>7</c:v>
                </c:pt>
                <c:pt idx="11">
                  <c:v>10</c:v>
                </c:pt>
                <c:pt idx="12">
                  <c:v>9</c:v>
                </c:pt>
                <c:pt idx="13">
                  <c:v>7</c:v>
                </c:pt>
                <c:pt idx="14">
                  <c:v>7</c:v>
                </c:pt>
                <c:pt idx="15">
                  <c:v>7</c:v>
                </c:pt>
                <c:pt idx="16">
                  <c:v>7</c:v>
                </c:pt>
                <c:pt idx="17">
                  <c:v>16</c:v>
                </c:pt>
                <c:pt idx="18">
                  <c:v>4</c:v>
                </c:pt>
                <c:pt idx="19">
                  <c:v>7</c:v>
                </c:pt>
              </c:numCache>
            </c:numRef>
          </c:val>
          <c:extLst>
            <c:ext xmlns:c16="http://schemas.microsoft.com/office/drawing/2014/chart" uri="{C3380CC4-5D6E-409C-BE32-E72D297353CC}">
              <c16:uniqueId val="{00000002-D4E8-478C-ABF1-5398EDBF22E9}"/>
            </c:ext>
          </c:extLst>
        </c:ser>
        <c:ser>
          <c:idx val="2"/>
          <c:order val="2"/>
          <c:tx>
            <c:strRef>
              <c:f>'Floor-wise'!$D$1</c:f>
              <c:strCache>
                <c:ptCount val="1"/>
                <c:pt idx="0">
                  <c:v>Approved</c:v>
                </c:pt>
              </c:strCache>
            </c:strRef>
          </c:tx>
          <c:spPr>
            <a:solidFill>
              <a:srgbClr val="00B050"/>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'Floor-wise'!$A$2:$A$22</c:f>
              <c:strCache>
                <c:ptCount val="20"/>
                <c:pt idx="0">
                  <c:v>Above Roof</c:v>
                </c:pt>
                <c:pt idx="1">
                  <c:v>Basement</c:v>
                </c:pt>
                <c:pt idx="2">
                  <c:v>Common</c:v>
                </c:pt>
                <c:pt idx="3">
                  <c:v>Detail Drawings</c:v>
                </c:pt>
                <c:pt idx="4">
                  <c:v>Eighth Floor</c:v>
                </c:pt>
                <c:pt idx="5">
                  <c:v>Existing Building</c:v>
                </c:pt>
                <c:pt idx="6">
                  <c:v>External</c:v>
                </c:pt>
                <c:pt idx="7">
                  <c:v>Fifth Floor</c:v>
                </c:pt>
                <c:pt idx="8">
                  <c:v>First Floor</c:v>
                </c:pt>
                <c:pt idx="9">
                  <c:v>Fourth Floor</c:v>
                </c:pt>
                <c:pt idx="10">
                  <c:v>Ground Floor</c:v>
                </c:pt>
                <c:pt idx="11">
                  <c:v>Ninth floor</c:v>
                </c:pt>
                <c:pt idx="12">
                  <c:v>Overall Plan, Elevations &amp; Sections</c:v>
                </c:pt>
                <c:pt idx="13">
                  <c:v>Roof Floor</c:v>
                </c:pt>
                <c:pt idx="14">
                  <c:v>Second Floor</c:v>
                </c:pt>
                <c:pt idx="15">
                  <c:v>Seventh Floor</c:v>
                </c:pt>
                <c:pt idx="16">
                  <c:v>Sixth Floor</c:v>
                </c:pt>
                <c:pt idx="17">
                  <c:v>Tenth Floor</c:v>
                </c:pt>
                <c:pt idx="18">
                  <c:v>Terrace floor</c:v>
                </c:pt>
                <c:pt idx="19">
                  <c:v>Third Floor</c:v>
                </c:pt>
              </c:strCache>
            </c:strRef>
          </c:cat>
          <c:val>
            <c:numRef>
              <c:f>'Floor-wise'!$D$2:$D$22</c:f>
              <c:numCache>
                <c:formatCode>General</c:formatCode>
                <c:ptCount val="20"/>
                <c:pt idx="0">
                  <c:v>1</c:v>
                </c:pt>
                <c:pt idx="1">
                  <c:v>8</c:v>
                </c:pt>
                <c:pt idx="2">
                  <c:v>11</c:v>
                </c:pt>
                <c:pt idx="3">
                  <c:v>19</c:v>
                </c:pt>
                <c:pt idx="4">
                  <c:v>11</c:v>
                </c:pt>
                <c:pt idx="5">
                  <c:v>18</c:v>
                </c:pt>
                <c:pt idx="6">
                  <c:v>5</c:v>
                </c:pt>
                <c:pt idx="7">
                  <c:v>7</c:v>
                </c:pt>
                <c:pt idx="8">
                  <c:v>7</c:v>
                </c:pt>
                <c:pt idx="9">
                  <c:v>7</c:v>
                </c:pt>
                <c:pt idx="10">
                  <c:v>7</c:v>
                </c:pt>
                <c:pt idx="11">
                  <c:v>10</c:v>
                </c:pt>
                <c:pt idx="12">
                  <c:v>9</c:v>
                </c:pt>
                <c:pt idx="13">
                  <c:v>7</c:v>
                </c:pt>
                <c:pt idx="14">
                  <c:v>7</c:v>
                </c:pt>
                <c:pt idx="15">
                  <c:v>7</c:v>
                </c:pt>
                <c:pt idx="16">
                  <c:v>7</c:v>
                </c:pt>
                <c:pt idx="17">
                  <c:v>16</c:v>
                </c:pt>
                <c:pt idx="18">
                  <c:v>4</c:v>
                </c:pt>
                <c:pt idx="19">
                  <c:v>7</c:v>
                </c:pt>
              </c:numCache>
            </c:numRef>
          </c:val>
          <c:extLst>
            <c:ext xmlns:c16="http://schemas.microsoft.com/office/drawing/2014/chart" uri="{C3380CC4-5D6E-409C-BE32-E72D297353CC}">
              <c16:uniqueId val="{00000003-D4E8-478C-ABF1-5398EDBF22E9}"/>
            </c:ext>
          </c:extLst>
        </c:ser>
        <c:dLbls>
          <c:dLblPos val="outEnd"/>
          <c:showLegendKey val="0"/>
          <c:showVal val="1"/>
          <c:showCatName val="0"/>
          <c:showSerName val="0"/>
          <c:showPercent val="0"/>
          <c:showBubbleSize val="0"/>
        </c:dLbls>
        <c:gapWidth val="219"/>
        <c:overlap val="-27"/>
        <c:axId val="836176496"/>
        <c:axId val="843451152"/>
      </c:barChart>
      <c:catAx>
        <c:axId val="836176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43451152"/>
        <c:crosses val="autoZero"/>
        <c:auto val="1"/>
        <c:lblAlgn val="ctr"/>
        <c:lblOffset val="100"/>
        <c:noMultiLvlLbl val="0"/>
      </c:catAx>
      <c:valAx>
        <c:axId val="84345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361764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[Civil_Project_Tracker_Datasheets.xlsx]S-Curve Wkly!PivotTable1</c:name>
    <c:fmtId val="0"/>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b="1"/>
              <a:t>Structural S-Curve (Weekly)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ln w="25400" cap="rnd">
            <a:solidFill>
              <a:srgbClr val="00B050"/>
            </a:solidFill>
            <a:prstDash val="solid"/>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5400" cap="rnd">
            <a:solidFill>
              <a:srgbClr val="C0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7"/>
        <c:spPr>
          <a:ln w="25400" cap="rnd">
            <a:solidFill>
              <a:schemeClr val="tx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8"/>
        <c:spPr>
          <a:ln w="25400" cap="rnd">
            <a:solidFill>
              <a:srgbClr val="0000CC"/>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5400" cap="rnd">
            <a:solidFill>
              <a:srgbClr val="00B050"/>
            </a:solidFill>
            <a:prstDash val="solid"/>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ln w="25400" cap="rnd">
            <a:solidFill>
              <a:srgbClr val="C00000"/>
            </a:solidFill>
            <a:round/>
          </a:ln>
          <a:effectLst/>
        </c:spPr>
        <c:marker>
          <c:symbol val="none"/>
        </c:marker>
        <c:dLbl>
          <c:idx val="0"/>
          <c:layout>
            <c:manualLayout>
              <c:x val="-6.0118416861208452E-4"/>
              <c:y val="-1.3172449665943565E-2"/>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ln w="25400" cap="rnd">
            <a:solidFill>
              <a:schemeClr val="tx1"/>
            </a:solidFill>
            <a:round/>
          </a:ln>
          <a:effectLst/>
        </c:spPr>
        <c:marker>
          <c:symbol val="none"/>
        </c:marker>
        <c:dLbl>
          <c:idx val="0"/>
          <c:layout>
            <c:manualLayout>
              <c:x val="-6.0118416861208452E-4"/>
              <c:y val="-9.8793372494576735E-3"/>
            </c:manualLayout>
          </c:layout>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ln w="25400" cap="rnd">
            <a:solidFill>
              <a:srgbClr val="0000CC"/>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'S-Curve Wkly'!$B$10</c:f>
              <c:strCache>
                <c:ptCount val="1"/>
                <c:pt idx="0">
                  <c:v> Submission_1 Plan</c:v>
                </c:pt>
              </c:strCache>
            </c:strRef>
          </c:tx>
          <c:spPr>
            <a:ln w="25400" cap="rnd">
              <a:solidFill>
                <a:srgbClr val="00B050"/>
              </a:solidFill>
              <a:prstDash val="solid"/>
              <a:round/>
            </a:ln>
            <a:effectLst/>
          </c:spPr>
          <c:marker>
            <c:symbol val="none"/>
          </c:marker>
          <c:dPt>
            <c:idx val="51"/>
            <c:marker>
              <c:symbol val="none"/>
            </c:marker>
            <c:bubble3D val="0"/>
            <c:spPr>
              <a:ln w="25400" cap="rnd">
                <a:solidFill>
                  <a:srgbClr val="00B050"/>
                </a:solidFill>
                <a:prstDash val="solid"/>
                <a:round/>
              </a:ln>
              <a:effectLst/>
            </c:spPr>
            <c:extLst>
              <c:ext xmlns:c16="http://schemas.microsoft.com/office/drawing/2014/chart" uri="{C3380CC4-5D6E-409C-BE32-E72D297353CC}">
                <c16:uniqueId val="{0000001E-CA51-4621-A5E4-C42E8ED1AF1B}"/>
              </c:ext>
            </c:extLst>
          </c:dPt>
          <c:dLbls>
            <c:dLbl>
              <c:idx val="51"/>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CA51-4621-A5E4-C42E8ED1AF1B}"/>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'S-Curve Wkly'!$A$11:$A$63</c:f>
              <c:strCache>
                <c:ptCount val="52"/>
                <c:pt idx="0">
                  <c:v>03-Mar-25</c:v>
                </c:pt>
                <c:pt idx="1">
                  <c:v>10-Mar-25</c:v>
                </c:pt>
                <c:pt idx="2">
                  <c:v>17-Mar-25</c:v>
                </c:pt>
                <c:pt idx="3">
                  <c:v>24-Mar-25</c:v>
                </c:pt>
                <c:pt idx="4">
                  <c:v>31-Mar-25</c:v>
                </c:pt>
                <c:pt idx="5">
                  <c:v>07-Apr-25</c:v>
                </c:pt>
                <c:pt idx="6">
                  <c:v>14-Apr-25</c:v>
                </c:pt>
                <c:pt idx="7">
                  <c:v>21-Apr-25</c:v>
                </c:pt>
                <c:pt idx="8">
                  <c:v>28-Apr-25</c:v>
                </c:pt>
                <c:pt idx="9">
                  <c:v>05-May-25</c:v>
                </c:pt>
                <c:pt idx="10">
                  <c:v>12-May-25</c:v>
                </c:pt>
                <c:pt idx="11">
                  <c:v>19-May-25</c:v>
                </c:pt>
                <c:pt idx="12">
                  <c:v>26-May-25</c:v>
                </c:pt>
                <c:pt idx="13">
                  <c:v>02-Jun-25</c:v>
                </c:pt>
                <c:pt idx="14">
                  <c:v>09-Jun-25</c:v>
                </c:pt>
                <c:pt idx="15">
                  <c:v>16-Jun-25</c:v>
                </c:pt>
                <c:pt idx="16">
                  <c:v>23-Jun-25</c:v>
                </c:pt>
                <c:pt idx="17">
                  <c:v>30-Jun-25</c:v>
                </c:pt>
                <c:pt idx="18">
                  <c:v>07-Jul-25</c:v>
                </c:pt>
                <c:pt idx="19">
                  <c:v>14-Jul-25</c:v>
                </c:pt>
                <c:pt idx="20">
                  <c:v>21-Jul-25</c:v>
                </c:pt>
                <c:pt idx="21">
                  <c:v>28-Jul-25</c:v>
                </c:pt>
                <c:pt idx="22">
                  <c:v>04-Aug-25</c:v>
                </c:pt>
                <c:pt idx="23">
                  <c:v>11-Aug-25</c:v>
                </c:pt>
                <c:pt idx="24">
                  <c:v>18-Aug-25</c:v>
                </c:pt>
                <c:pt idx="25">
                  <c:v>25-Aug-25</c:v>
                </c:pt>
                <c:pt idx="26">
                  <c:v>01-Sep-25</c:v>
                </c:pt>
                <c:pt idx="27">
                  <c:v>08-Sep-25</c:v>
                </c:pt>
                <c:pt idx="28">
                  <c:v>15-Sep-25</c:v>
                </c:pt>
                <c:pt idx="29">
                  <c:v>22-Sep-25</c:v>
                </c:pt>
                <c:pt idx="30">
                  <c:v>29-Sep-25</c:v>
                </c:pt>
                <c:pt idx="31">
                  <c:v>06-Oct-25</c:v>
                </c:pt>
                <c:pt idx="32">
                  <c:v>13-Oct-25</c:v>
                </c:pt>
                <c:pt idx="33">
                  <c:v>20-Oct-25</c:v>
                </c:pt>
                <c:pt idx="34">
                  <c:v>27-Oct-25</c:v>
                </c:pt>
                <c:pt idx="35">
                  <c:v>03-Nov-25</c:v>
                </c:pt>
                <c:pt idx="36">
                  <c:v>10-Nov-25</c:v>
                </c:pt>
                <c:pt idx="37">
                  <c:v>17-Nov-25</c:v>
                </c:pt>
                <c:pt idx="38">
                  <c:v>24-Nov-25</c:v>
                </c:pt>
                <c:pt idx="39">
                  <c:v>01-Dec-25</c:v>
                </c:pt>
                <c:pt idx="40">
                  <c:v>08-Dec-25</c:v>
                </c:pt>
                <c:pt idx="41">
                  <c:v>15-Dec-25</c:v>
                </c:pt>
                <c:pt idx="42">
                  <c:v>22-Dec-25</c:v>
                </c:pt>
                <c:pt idx="43">
                  <c:v>29-Dec-25</c:v>
                </c:pt>
                <c:pt idx="44">
                  <c:v>05-Jan-26</c:v>
                </c:pt>
                <c:pt idx="45">
                  <c:v>12-Jan-26</c:v>
                </c:pt>
                <c:pt idx="46">
                  <c:v>19-Jan-26</c:v>
                </c:pt>
                <c:pt idx="47">
                  <c:v>26-Jan-26</c:v>
                </c:pt>
                <c:pt idx="48">
                  <c:v>02-Feb-26</c:v>
                </c:pt>
                <c:pt idx="49">
                  <c:v>09-Feb-26</c:v>
                </c:pt>
                <c:pt idx="50">
                  <c:v>16-Feb-26</c:v>
                </c:pt>
                <c:pt idx="51">
                  <c:v>23-Feb-26</c:v>
                </c:pt>
              </c:strCache>
            </c:strRef>
          </c:cat>
          <c:val>
            <c:numRef>
              <c:f>'S-Curve Wkly'!$B$11:$B$63</c:f>
              <c:numCache>
                <c:formatCode>0.0%</c:formatCode>
                <c:ptCount val="52"/>
                <c:pt idx="0">
                  <c:v>7.650273224043716E-2</c:v>
                </c:pt>
                <c:pt idx="1">
                  <c:v>9.2896174863387984E-2</c:v>
                </c:pt>
                <c:pt idx="2">
                  <c:v>9.2896174863387984E-2</c:v>
                </c:pt>
                <c:pt idx="3">
                  <c:v>0.11475409836065574</c:v>
                </c:pt>
                <c:pt idx="4">
                  <c:v>0.22404371584699453</c:v>
                </c:pt>
                <c:pt idx="5">
                  <c:v>0.22950819672131148</c:v>
                </c:pt>
                <c:pt idx="6">
                  <c:v>0.22950819672131148</c:v>
                </c:pt>
                <c:pt idx="7">
                  <c:v>0.22950819672131148</c:v>
                </c:pt>
                <c:pt idx="8">
                  <c:v>0.22950819672131148</c:v>
                </c:pt>
                <c:pt idx="9">
                  <c:v>0.22950819672131148</c:v>
                </c:pt>
                <c:pt idx="10">
                  <c:v>0.26775956284153007</c:v>
                </c:pt>
                <c:pt idx="11">
                  <c:v>0.26775956284153007</c:v>
                </c:pt>
                <c:pt idx="12">
                  <c:v>0.31693989071038253</c:v>
                </c:pt>
                <c:pt idx="13">
                  <c:v>0.31693989071038253</c:v>
                </c:pt>
                <c:pt idx="14">
                  <c:v>0.3551912568306011</c:v>
                </c:pt>
                <c:pt idx="15">
                  <c:v>0.36612021857923499</c:v>
                </c:pt>
                <c:pt idx="16">
                  <c:v>0.45901639344262296</c:v>
                </c:pt>
                <c:pt idx="17">
                  <c:v>0.45901639344262296</c:v>
                </c:pt>
                <c:pt idx="18">
                  <c:v>0.53551912568306015</c:v>
                </c:pt>
                <c:pt idx="19">
                  <c:v>0.53551912568306015</c:v>
                </c:pt>
                <c:pt idx="20">
                  <c:v>0.57377049180327877</c:v>
                </c:pt>
                <c:pt idx="21">
                  <c:v>0.57377049180327877</c:v>
                </c:pt>
                <c:pt idx="22">
                  <c:v>0.57377049180327877</c:v>
                </c:pt>
                <c:pt idx="23">
                  <c:v>0.57377049180327877</c:v>
                </c:pt>
                <c:pt idx="24">
                  <c:v>0.57377049180327877</c:v>
                </c:pt>
                <c:pt idx="25">
                  <c:v>0.57377049180327877</c:v>
                </c:pt>
                <c:pt idx="26">
                  <c:v>0.57377049180327877</c:v>
                </c:pt>
                <c:pt idx="27">
                  <c:v>0.57377049180327877</c:v>
                </c:pt>
                <c:pt idx="28">
                  <c:v>0.57377049180327877</c:v>
                </c:pt>
                <c:pt idx="29">
                  <c:v>0.57377049180327877</c:v>
                </c:pt>
                <c:pt idx="30">
                  <c:v>0.57377049180327877</c:v>
                </c:pt>
                <c:pt idx="31">
                  <c:v>0.57923497267759572</c:v>
                </c:pt>
                <c:pt idx="32">
                  <c:v>0.57923497267759572</c:v>
                </c:pt>
                <c:pt idx="33">
                  <c:v>0.61748633879781434</c:v>
                </c:pt>
                <c:pt idx="34">
                  <c:v>0.65573770491803296</c:v>
                </c:pt>
                <c:pt idx="35">
                  <c:v>0.65573770491803296</c:v>
                </c:pt>
                <c:pt idx="36">
                  <c:v>0.7213114754098362</c:v>
                </c:pt>
                <c:pt idx="37">
                  <c:v>0.7213114754098362</c:v>
                </c:pt>
                <c:pt idx="38">
                  <c:v>0.74316939890710398</c:v>
                </c:pt>
                <c:pt idx="39">
                  <c:v>0.74316939890710398</c:v>
                </c:pt>
                <c:pt idx="40">
                  <c:v>0.75409836065573788</c:v>
                </c:pt>
                <c:pt idx="41">
                  <c:v>0.77049180327868871</c:v>
                </c:pt>
                <c:pt idx="42">
                  <c:v>0.77595628415300566</c:v>
                </c:pt>
                <c:pt idx="43">
                  <c:v>0.86885245901639363</c:v>
                </c:pt>
                <c:pt idx="44">
                  <c:v>0.86885245901639363</c:v>
                </c:pt>
                <c:pt idx="45">
                  <c:v>0.86885245901639363</c:v>
                </c:pt>
                <c:pt idx="46">
                  <c:v>0.86885245901639363</c:v>
                </c:pt>
                <c:pt idx="47">
                  <c:v>0.86885245901639363</c:v>
                </c:pt>
                <c:pt idx="48">
                  <c:v>0.93442622950819687</c:v>
                </c:pt>
                <c:pt idx="49">
                  <c:v>0.93442622950819687</c:v>
                </c:pt>
                <c:pt idx="50">
                  <c:v>0.93442622950819687</c:v>
                </c:pt>
                <c:pt idx="51">
                  <c:v>1.0000000000000002</c:v>
                </c:pt>
              </c:numCache>
            </c:numRef>
          </c:val>
          <c:smooth val="1"/>
          <c:extLst>
            <c:ext xmlns:c16="http://schemas.microsoft.com/office/drawing/2014/chart" uri="{C3380CC4-5D6E-409C-BE32-E72D297353CC}">
              <c16:uniqueId val="{0000001A-CA51-4621-A5E4-C42E8ED1AF1B}"/>
            </c:ext>
          </c:extLst>
        </c:ser>
        <c:ser>
          <c:idx val="1"/>
          <c:order val="1"/>
          <c:tx>
            <c:strRef>
              <c:f>'S-Curve Wkly'!$C$10</c:f>
              <c:strCache>
                <c:ptCount val="1"/>
                <c:pt idx="0">
                  <c:v> Submission_1 Actuals</c:v>
                </c:pt>
              </c:strCache>
            </c:strRef>
          </c:tx>
          <c:spPr>
            <a:ln w="25400" cap="rnd">
              <a:solidFill>
                <a:srgbClr val="C00000"/>
              </a:solidFill>
              <a:round/>
            </a:ln>
            <a:effectLst/>
          </c:spPr>
          <c:marker>
            <c:symbol val="none"/>
          </c:marker>
          <c:dPt>
            <c:idx val="51"/>
            <c:marker>
              <c:symbol val="none"/>
            </c:marker>
            <c:bubble3D val="0"/>
            <c:spPr>
              <a:ln w="25400" cap="rnd">
                <a:solidFill>
                  <a:srgbClr val="C00000"/>
                </a:solidFill>
                <a:round/>
              </a:ln>
              <a:effectLst/>
            </c:spPr>
            <c:extLst>
              <c:ext xmlns:c16="http://schemas.microsoft.com/office/drawing/2014/chart" uri="{C3380CC4-5D6E-409C-BE32-E72D297353CC}">
                <c16:uniqueId val="{0000001F-CA51-4621-A5E4-C42E8ED1AF1B}"/>
              </c:ext>
            </c:extLst>
          </c:dPt>
          <c:dLbls>
            <c:dLbl>
              <c:idx val="51"/>
              <c:layout>
                <c:manualLayout>
                  <c:x val="-6.0118416861208452E-4"/>
                  <c:y val="-1.31724496659435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CA51-4621-A5E4-C42E8ED1AF1B}"/>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'S-Curve Wkly'!$A$11:$A$63</c:f>
              <c:strCache>
                <c:ptCount val="52"/>
                <c:pt idx="0">
                  <c:v>03-Mar-25</c:v>
                </c:pt>
                <c:pt idx="1">
                  <c:v>10-Mar-25</c:v>
                </c:pt>
                <c:pt idx="2">
                  <c:v>17-Mar-25</c:v>
                </c:pt>
                <c:pt idx="3">
                  <c:v>24-Mar-25</c:v>
                </c:pt>
                <c:pt idx="4">
                  <c:v>31-Mar-25</c:v>
                </c:pt>
                <c:pt idx="5">
                  <c:v>07-Apr-25</c:v>
                </c:pt>
                <c:pt idx="6">
                  <c:v>14-Apr-25</c:v>
                </c:pt>
                <c:pt idx="7">
                  <c:v>21-Apr-25</c:v>
                </c:pt>
                <c:pt idx="8">
                  <c:v>28-Apr-25</c:v>
                </c:pt>
                <c:pt idx="9">
                  <c:v>05-May-25</c:v>
                </c:pt>
                <c:pt idx="10">
                  <c:v>12-May-25</c:v>
                </c:pt>
                <c:pt idx="11">
                  <c:v>19-May-25</c:v>
                </c:pt>
                <c:pt idx="12">
                  <c:v>26-May-25</c:v>
                </c:pt>
                <c:pt idx="13">
                  <c:v>02-Jun-25</c:v>
                </c:pt>
                <c:pt idx="14">
                  <c:v>09-Jun-25</c:v>
                </c:pt>
                <c:pt idx="15">
                  <c:v>16-Jun-25</c:v>
                </c:pt>
                <c:pt idx="16">
                  <c:v>23-Jun-25</c:v>
                </c:pt>
                <c:pt idx="17">
                  <c:v>30-Jun-25</c:v>
                </c:pt>
                <c:pt idx="18">
                  <c:v>07-Jul-25</c:v>
                </c:pt>
                <c:pt idx="19">
                  <c:v>14-Jul-25</c:v>
                </c:pt>
                <c:pt idx="20">
                  <c:v>21-Jul-25</c:v>
                </c:pt>
                <c:pt idx="21">
                  <c:v>28-Jul-25</c:v>
                </c:pt>
                <c:pt idx="22">
                  <c:v>04-Aug-25</c:v>
                </c:pt>
                <c:pt idx="23">
                  <c:v>11-Aug-25</c:v>
                </c:pt>
                <c:pt idx="24">
                  <c:v>18-Aug-25</c:v>
                </c:pt>
                <c:pt idx="25">
                  <c:v>25-Aug-25</c:v>
                </c:pt>
                <c:pt idx="26">
                  <c:v>01-Sep-25</c:v>
                </c:pt>
                <c:pt idx="27">
                  <c:v>08-Sep-25</c:v>
                </c:pt>
                <c:pt idx="28">
                  <c:v>15-Sep-25</c:v>
                </c:pt>
                <c:pt idx="29">
                  <c:v>22-Sep-25</c:v>
                </c:pt>
                <c:pt idx="30">
                  <c:v>29-Sep-25</c:v>
                </c:pt>
                <c:pt idx="31">
                  <c:v>06-Oct-25</c:v>
                </c:pt>
                <c:pt idx="32">
                  <c:v>13-Oct-25</c:v>
                </c:pt>
                <c:pt idx="33">
                  <c:v>20-Oct-25</c:v>
                </c:pt>
                <c:pt idx="34">
                  <c:v>27-Oct-25</c:v>
                </c:pt>
                <c:pt idx="35">
                  <c:v>03-Nov-25</c:v>
                </c:pt>
                <c:pt idx="36">
                  <c:v>10-Nov-25</c:v>
                </c:pt>
                <c:pt idx="37">
                  <c:v>17-Nov-25</c:v>
                </c:pt>
                <c:pt idx="38">
                  <c:v>24-Nov-25</c:v>
                </c:pt>
                <c:pt idx="39">
                  <c:v>01-Dec-25</c:v>
                </c:pt>
                <c:pt idx="40">
                  <c:v>08-Dec-25</c:v>
                </c:pt>
                <c:pt idx="41">
                  <c:v>15-Dec-25</c:v>
                </c:pt>
                <c:pt idx="42">
                  <c:v>22-Dec-25</c:v>
                </c:pt>
                <c:pt idx="43">
                  <c:v>29-Dec-25</c:v>
                </c:pt>
                <c:pt idx="44">
                  <c:v>05-Jan-26</c:v>
                </c:pt>
                <c:pt idx="45">
                  <c:v>12-Jan-26</c:v>
                </c:pt>
                <c:pt idx="46">
                  <c:v>19-Jan-26</c:v>
                </c:pt>
                <c:pt idx="47">
                  <c:v>26-Jan-26</c:v>
                </c:pt>
                <c:pt idx="48">
                  <c:v>02-Feb-26</c:v>
                </c:pt>
                <c:pt idx="49">
                  <c:v>09-Feb-26</c:v>
                </c:pt>
                <c:pt idx="50">
                  <c:v>16-Feb-26</c:v>
                </c:pt>
                <c:pt idx="51">
                  <c:v>23-Feb-26</c:v>
                </c:pt>
              </c:strCache>
            </c:strRef>
          </c:cat>
          <c:val>
            <c:numRef>
              <c:f>'S-Curve Wkly'!$C$11:$C$63</c:f>
              <c:numCache>
                <c:formatCode>0.0%</c:formatCode>
                <c:ptCount val="52"/>
                <c:pt idx="0">
                  <c:v>8.1967213114754092E-2</c:v>
                </c:pt>
                <c:pt idx="1">
                  <c:v>0.10382513661202185</c:v>
                </c:pt>
                <c:pt idx="2">
                  <c:v>0.10382513661202185</c:v>
                </c:pt>
                <c:pt idx="3">
                  <c:v>0.14754098360655737</c:v>
                </c:pt>
                <c:pt idx="4">
                  <c:v>0.20765027322404372</c:v>
                </c:pt>
                <c:pt idx="5">
                  <c:v>0.25136612021857924</c:v>
                </c:pt>
                <c:pt idx="6">
                  <c:v>0.25683060109289618</c:v>
                </c:pt>
                <c:pt idx="7">
                  <c:v>0.25683060109289618</c:v>
                </c:pt>
                <c:pt idx="8">
                  <c:v>0.26229508196721313</c:v>
                </c:pt>
                <c:pt idx="9">
                  <c:v>0.26229508196721313</c:v>
                </c:pt>
                <c:pt idx="10">
                  <c:v>0.26229508196721313</c:v>
                </c:pt>
                <c:pt idx="11">
                  <c:v>0.27322404371584702</c:v>
                </c:pt>
                <c:pt idx="12">
                  <c:v>0.27322404371584702</c:v>
                </c:pt>
                <c:pt idx="13">
                  <c:v>0.27322404371584702</c:v>
                </c:pt>
                <c:pt idx="14">
                  <c:v>0.30054644808743169</c:v>
                </c:pt>
                <c:pt idx="15">
                  <c:v>0.33879781420765026</c:v>
                </c:pt>
                <c:pt idx="16">
                  <c:v>0.34426229508196721</c:v>
                </c:pt>
                <c:pt idx="17">
                  <c:v>0.41530054644808745</c:v>
                </c:pt>
                <c:pt idx="18">
                  <c:v>0.45355191256830601</c:v>
                </c:pt>
                <c:pt idx="19">
                  <c:v>0.45355191256830601</c:v>
                </c:pt>
                <c:pt idx="20">
                  <c:v>0.45355191256830601</c:v>
                </c:pt>
                <c:pt idx="21">
                  <c:v>0.45355191256830601</c:v>
                </c:pt>
                <c:pt idx="22">
                  <c:v>0.45355191256830601</c:v>
                </c:pt>
                <c:pt idx="23">
                  <c:v>0.45355191256830601</c:v>
                </c:pt>
                <c:pt idx="24">
                  <c:v>0.45355191256830601</c:v>
                </c:pt>
                <c:pt idx="25">
                  <c:v>0.56284153005464477</c:v>
                </c:pt>
                <c:pt idx="26">
                  <c:v>0.56284153005464477</c:v>
                </c:pt>
                <c:pt idx="27">
                  <c:v>0.60109289617486339</c:v>
                </c:pt>
                <c:pt idx="28">
                  <c:v>0.60109289617486339</c:v>
                </c:pt>
                <c:pt idx="29">
                  <c:v>0.60109289617486339</c:v>
                </c:pt>
                <c:pt idx="30">
                  <c:v>0.60109289617486339</c:v>
                </c:pt>
                <c:pt idx="31">
                  <c:v>0.61202185792349728</c:v>
                </c:pt>
                <c:pt idx="32">
                  <c:v>0.61202185792349728</c:v>
                </c:pt>
                <c:pt idx="33">
                  <c:v>0.61202185792349728</c:v>
                </c:pt>
                <c:pt idx="34">
                  <c:v>0.6502732240437159</c:v>
                </c:pt>
                <c:pt idx="35">
                  <c:v>0.68852459016393452</c:v>
                </c:pt>
                <c:pt idx="36">
                  <c:v>0.74316939890710387</c:v>
                </c:pt>
                <c:pt idx="37">
                  <c:v>0.74863387978142082</c:v>
                </c:pt>
                <c:pt idx="38">
                  <c:v>0.75409836065573776</c:v>
                </c:pt>
                <c:pt idx="39">
                  <c:v>0.75956284153005471</c:v>
                </c:pt>
                <c:pt idx="40">
                  <c:v>0.79781420765027333</c:v>
                </c:pt>
                <c:pt idx="41">
                  <c:v>0.81967213114754112</c:v>
                </c:pt>
                <c:pt idx="42">
                  <c:v>0.81967213114754112</c:v>
                </c:pt>
                <c:pt idx="43">
                  <c:v>0.82513661202185806</c:v>
                </c:pt>
                <c:pt idx="44">
                  <c:v>0.82513661202185806</c:v>
                </c:pt>
                <c:pt idx="45">
                  <c:v>0.83606557377049195</c:v>
                </c:pt>
                <c:pt idx="46">
                  <c:v>0.85792349726775974</c:v>
                </c:pt>
                <c:pt idx="47">
                  <c:v>0.85792349726775974</c:v>
                </c:pt>
                <c:pt idx="48">
                  <c:v>0.92349726775956298</c:v>
                </c:pt>
                <c:pt idx="49">
                  <c:v>0.93442622950819687</c:v>
                </c:pt>
                <c:pt idx="50">
                  <c:v>0.93442622950819687</c:v>
                </c:pt>
                <c:pt idx="51">
                  <c:v>0.93442622950819687</c:v>
                </c:pt>
              </c:numCache>
            </c:numRef>
          </c:val>
          <c:smooth val="1"/>
          <c:extLst>
            <c:ext xmlns:c16="http://schemas.microsoft.com/office/drawing/2014/chart" uri="{C3380CC4-5D6E-409C-BE32-E72D297353CC}">
              <c16:uniqueId val="{0000001B-CA51-4621-A5E4-C42E8ED1AF1B}"/>
            </c:ext>
          </c:extLst>
        </c:ser>
        <c:ser>
          <c:idx val="2"/>
          <c:order val="2"/>
          <c:tx>
            <c:strRef>
              <c:f>'S-Curve Wkly'!$D$10</c:f>
              <c:strCache>
                <c:ptCount val="1"/>
                <c:pt idx="0">
                  <c:v> Approval Plan</c:v>
                </c:pt>
              </c:strCache>
            </c:strRef>
          </c:tx>
          <c:spPr>
            <a:ln w="25400" cap="rnd">
              <a:solidFill>
                <a:schemeClr val="tx1"/>
              </a:solidFill>
              <a:round/>
            </a:ln>
            <a:effectLst/>
          </c:spPr>
          <c:marker>
            <c:symbol val="none"/>
          </c:marker>
          <c:dPt>
            <c:idx val="51"/>
            <c:marker>
              <c:symbol val="none"/>
            </c:marker>
            <c:bubble3D val="0"/>
            <c:spPr>
              <a:ln w="25400" cap="rnd">
                <a:solidFill>
                  <a:schemeClr val="tx1"/>
                </a:solidFill>
                <a:round/>
              </a:ln>
              <a:effectLst/>
            </c:spPr>
            <c:extLst>
              <c:ext xmlns:c16="http://schemas.microsoft.com/office/drawing/2014/chart" uri="{C3380CC4-5D6E-409C-BE32-E72D297353CC}">
                <c16:uniqueId val="{00000020-CA51-4621-A5E4-C42E8ED1AF1B}"/>
              </c:ext>
            </c:extLst>
          </c:dPt>
          <c:dLbls>
            <c:dLbl>
              <c:idx val="51"/>
              <c:layout>
                <c:manualLayout>
                  <c:x val="-6.0118416861208452E-4"/>
                  <c:y val="-9.8793372494576735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CA51-4621-A5E4-C42E8ED1AF1B}"/>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'S-Curve Wkly'!$A$11:$A$63</c:f>
              <c:strCache>
                <c:ptCount val="52"/>
                <c:pt idx="0">
                  <c:v>03-Mar-25</c:v>
                </c:pt>
                <c:pt idx="1">
                  <c:v>10-Mar-25</c:v>
                </c:pt>
                <c:pt idx="2">
                  <c:v>17-Mar-25</c:v>
                </c:pt>
                <c:pt idx="3">
                  <c:v>24-Mar-25</c:v>
                </c:pt>
                <c:pt idx="4">
                  <c:v>31-Mar-25</c:v>
                </c:pt>
                <c:pt idx="5">
                  <c:v>07-Apr-25</c:v>
                </c:pt>
                <c:pt idx="6">
                  <c:v>14-Apr-25</c:v>
                </c:pt>
                <c:pt idx="7">
                  <c:v>21-Apr-25</c:v>
                </c:pt>
                <c:pt idx="8">
                  <c:v>28-Apr-25</c:v>
                </c:pt>
                <c:pt idx="9">
                  <c:v>05-May-25</c:v>
                </c:pt>
                <c:pt idx="10">
                  <c:v>12-May-25</c:v>
                </c:pt>
                <c:pt idx="11">
                  <c:v>19-May-25</c:v>
                </c:pt>
                <c:pt idx="12">
                  <c:v>26-May-25</c:v>
                </c:pt>
                <c:pt idx="13">
                  <c:v>02-Jun-25</c:v>
                </c:pt>
                <c:pt idx="14">
                  <c:v>09-Jun-25</c:v>
                </c:pt>
                <c:pt idx="15">
                  <c:v>16-Jun-25</c:v>
                </c:pt>
                <c:pt idx="16">
                  <c:v>23-Jun-25</c:v>
                </c:pt>
                <c:pt idx="17">
                  <c:v>30-Jun-25</c:v>
                </c:pt>
                <c:pt idx="18">
                  <c:v>07-Jul-25</c:v>
                </c:pt>
                <c:pt idx="19">
                  <c:v>14-Jul-25</c:v>
                </c:pt>
                <c:pt idx="20">
                  <c:v>21-Jul-25</c:v>
                </c:pt>
                <c:pt idx="21">
                  <c:v>28-Jul-25</c:v>
                </c:pt>
                <c:pt idx="22">
                  <c:v>04-Aug-25</c:v>
                </c:pt>
                <c:pt idx="23">
                  <c:v>11-Aug-25</c:v>
                </c:pt>
                <c:pt idx="24">
                  <c:v>18-Aug-25</c:v>
                </c:pt>
                <c:pt idx="25">
                  <c:v>25-Aug-25</c:v>
                </c:pt>
                <c:pt idx="26">
                  <c:v>01-Sep-25</c:v>
                </c:pt>
                <c:pt idx="27">
                  <c:v>08-Sep-25</c:v>
                </c:pt>
                <c:pt idx="28">
                  <c:v>15-Sep-25</c:v>
                </c:pt>
                <c:pt idx="29">
                  <c:v>22-Sep-25</c:v>
                </c:pt>
                <c:pt idx="30">
                  <c:v>29-Sep-25</c:v>
                </c:pt>
                <c:pt idx="31">
                  <c:v>06-Oct-25</c:v>
                </c:pt>
                <c:pt idx="32">
                  <c:v>13-Oct-25</c:v>
                </c:pt>
                <c:pt idx="33">
                  <c:v>20-Oct-25</c:v>
                </c:pt>
                <c:pt idx="34">
                  <c:v>27-Oct-25</c:v>
                </c:pt>
                <c:pt idx="35">
                  <c:v>03-Nov-25</c:v>
                </c:pt>
                <c:pt idx="36">
                  <c:v>10-Nov-25</c:v>
                </c:pt>
                <c:pt idx="37">
                  <c:v>17-Nov-25</c:v>
                </c:pt>
                <c:pt idx="38">
                  <c:v>24-Nov-25</c:v>
                </c:pt>
                <c:pt idx="39">
                  <c:v>01-Dec-25</c:v>
                </c:pt>
                <c:pt idx="40">
                  <c:v>08-Dec-25</c:v>
                </c:pt>
                <c:pt idx="41">
                  <c:v>15-Dec-25</c:v>
                </c:pt>
                <c:pt idx="42">
                  <c:v>22-Dec-25</c:v>
                </c:pt>
                <c:pt idx="43">
                  <c:v>29-Dec-25</c:v>
                </c:pt>
                <c:pt idx="44">
                  <c:v>05-Jan-26</c:v>
                </c:pt>
                <c:pt idx="45">
                  <c:v>12-Jan-26</c:v>
                </c:pt>
                <c:pt idx="46">
                  <c:v>19-Jan-26</c:v>
                </c:pt>
                <c:pt idx="47">
                  <c:v>26-Jan-26</c:v>
                </c:pt>
                <c:pt idx="48">
                  <c:v>02-Feb-26</c:v>
                </c:pt>
                <c:pt idx="49">
                  <c:v>09-Feb-26</c:v>
                </c:pt>
                <c:pt idx="50">
                  <c:v>16-Feb-26</c:v>
                </c:pt>
                <c:pt idx="51">
                  <c:v>23-Feb-26</c:v>
                </c:pt>
              </c:strCache>
            </c:strRef>
          </c:cat>
          <c:val>
            <c:numRef>
              <c:f>'S-Curve Wkly'!$D$11:$D$63</c:f>
              <c:numCache>
                <c:formatCode>0.0%</c:formatCode>
                <c:ptCount val="52"/>
                <c:pt idx="0">
                  <c:v>0</c:v>
                </c:pt>
                <c:pt idx="1">
                  <c:v>0</c:v>
                </c:pt>
                <c:pt idx="2">
                  <c:v>0</c:v>
                </c:pt>
                <c:pt idx="3">
                  <c:v>7.1038251366120214E-2</c:v>
                </c:pt>
                <c:pt idx="4">
                  <c:v>8.1967213114754092E-2</c:v>
                </c:pt>
                <c:pt idx="5">
                  <c:v>0.10382513661202185</c:v>
                </c:pt>
                <c:pt idx="6">
                  <c:v>0.19125683060109289</c:v>
                </c:pt>
                <c:pt idx="7">
                  <c:v>0.21311475409836064</c:v>
                </c:pt>
                <c:pt idx="8">
                  <c:v>0.2349726775956284</c:v>
                </c:pt>
                <c:pt idx="9">
                  <c:v>0.24043715846994534</c:v>
                </c:pt>
                <c:pt idx="10">
                  <c:v>0.24043715846994534</c:v>
                </c:pt>
                <c:pt idx="11">
                  <c:v>0.24043715846994534</c:v>
                </c:pt>
                <c:pt idx="12">
                  <c:v>0.27868852459016391</c:v>
                </c:pt>
                <c:pt idx="13">
                  <c:v>0.27868852459016391</c:v>
                </c:pt>
                <c:pt idx="14">
                  <c:v>0.31693989071038248</c:v>
                </c:pt>
                <c:pt idx="15">
                  <c:v>0.31693989071038248</c:v>
                </c:pt>
                <c:pt idx="16">
                  <c:v>0.32786885245901637</c:v>
                </c:pt>
                <c:pt idx="17">
                  <c:v>0.36612021857923494</c:v>
                </c:pt>
                <c:pt idx="18">
                  <c:v>0.36612021857923494</c:v>
                </c:pt>
                <c:pt idx="19">
                  <c:v>0.45355191256830596</c:v>
                </c:pt>
                <c:pt idx="20">
                  <c:v>0.4699453551912568</c:v>
                </c:pt>
                <c:pt idx="21">
                  <c:v>0.54644808743169393</c:v>
                </c:pt>
                <c:pt idx="22">
                  <c:v>0.54644808743169393</c:v>
                </c:pt>
                <c:pt idx="23">
                  <c:v>0.57923497267759561</c:v>
                </c:pt>
                <c:pt idx="24">
                  <c:v>0.60655737704918034</c:v>
                </c:pt>
                <c:pt idx="25">
                  <c:v>0.60655737704918034</c:v>
                </c:pt>
                <c:pt idx="26">
                  <c:v>0.60655737704918034</c:v>
                </c:pt>
                <c:pt idx="27">
                  <c:v>0.60655737704918034</c:v>
                </c:pt>
                <c:pt idx="28">
                  <c:v>0.60655737704918034</c:v>
                </c:pt>
                <c:pt idx="29">
                  <c:v>0.60655737704918034</c:v>
                </c:pt>
                <c:pt idx="30">
                  <c:v>0.60655737704918034</c:v>
                </c:pt>
                <c:pt idx="31">
                  <c:v>0.60655737704918034</c:v>
                </c:pt>
                <c:pt idx="32">
                  <c:v>0.61748633879781423</c:v>
                </c:pt>
                <c:pt idx="33">
                  <c:v>0.61748633879781423</c:v>
                </c:pt>
                <c:pt idx="34">
                  <c:v>0.61748633879781423</c:v>
                </c:pt>
                <c:pt idx="35">
                  <c:v>0.65573770491803285</c:v>
                </c:pt>
                <c:pt idx="36">
                  <c:v>0.69945355191256842</c:v>
                </c:pt>
                <c:pt idx="37">
                  <c:v>0.69945355191256842</c:v>
                </c:pt>
                <c:pt idx="38">
                  <c:v>0.73770491803278704</c:v>
                </c:pt>
                <c:pt idx="39">
                  <c:v>0.73770491803278704</c:v>
                </c:pt>
                <c:pt idx="40">
                  <c:v>0.73770491803278704</c:v>
                </c:pt>
                <c:pt idx="41">
                  <c:v>0.74316939890710398</c:v>
                </c:pt>
                <c:pt idx="42">
                  <c:v>0.75956284153005482</c:v>
                </c:pt>
                <c:pt idx="43">
                  <c:v>0.76502732240437177</c:v>
                </c:pt>
                <c:pt idx="44">
                  <c:v>0.77049180327868871</c:v>
                </c:pt>
                <c:pt idx="45">
                  <c:v>0.78142076502732261</c:v>
                </c:pt>
                <c:pt idx="46">
                  <c:v>0.81967213114754123</c:v>
                </c:pt>
                <c:pt idx="47">
                  <c:v>0.86885245901639374</c:v>
                </c:pt>
                <c:pt idx="48">
                  <c:v>0.86885245901639374</c:v>
                </c:pt>
                <c:pt idx="49">
                  <c:v>0.86885245901639374</c:v>
                </c:pt>
                <c:pt idx="50">
                  <c:v>0.86885245901639374</c:v>
                </c:pt>
                <c:pt idx="51">
                  <c:v>0.86885245901639374</c:v>
                </c:pt>
              </c:numCache>
            </c:numRef>
          </c:val>
          <c:smooth val="1"/>
          <c:extLst>
            <c:ext xmlns:c16="http://schemas.microsoft.com/office/drawing/2014/chart" uri="{C3380CC4-5D6E-409C-BE32-E72D297353CC}">
              <c16:uniqueId val="{0000001C-CA51-4621-A5E4-C42E8ED1AF1B}"/>
            </c:ext>
          </c:extLst>
        </c:ser>
        <c:ser>
          <c:idx val="3"/>
          <c:order val="3"/>
          <c:tx>
            <c:strRef>
              <c:f>'S-Curve Wkly'!$E$10</c:f>
              <c:strCache>
                <c:ptCount val="1"/>
                <c:pt idx="0">
                  <c:v> Approval Actuals</c:v>
                </c:pt>
              </c:strCache>
            </c:strRef>
          </c:tx>
          <c:spPr>
            <a:ln w="25400" cap="rnd">
              <a:solidFill>
                <a:srgbClr val="0000CC"/>
              </a:solidFill>
              <a:round/>
            </a:ln>
            <a:effectLst/>
          </c:spPr>
          <c:marker>
            <c:symbol val="none"/>
          </c:marker>
          <c:dPt>
            <c:idx val="51"/>
            <c:marker>
              <c:symbol val="none"/>
            </c:marker>
            <c:bubble3D val="0"/>
            <c:spPr>
              <a:ln w="25400" cap="rnd">
                <a:solidFill>
                  <a:srgbClr val="0000CC"/>
                </a:solidFill>
                <a:round/>
              </a:ln>
              <a:effectLst/>
            </c:spPr>
            <c:extLst>
              <c:ext xmlns:c16="http://schemas.microsoft.com/office/drawing/2014/chart" uri="{C3380CC4-5D6E-409C-BE32-E72D297353CC}">
                <c16:uniqueId val="{00000021-CA51-4621-A5E4-C42E8ED1AF1B}"/>
              </c:ext>
            </c:extLst>
          </c:dPt>
          <c:dLbls>
            <c:dLbl>
              <c:idx val="51"/>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CA51-4621-A5E4-C42E8ED1AF1B}"/>
                </c:ext>
              </c:extLst>
            </c:dLbl>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'S-Curve Wkly'!$A$11:$A$63</c:f>
              <c:strCache>
                <c:ptCount val="52"/>
                <c:pt idx="0">
                  <c:v>03-Mar-25</c:v>
                </c:pt>
                <c:pt idx="1">
                  <c:v>10-Mar-25</c:v>
                </c:pt>
                <c:pt idx="2">
                  <c:v>17-Mar-25</c:v>
                </c:pt>
                <c:pt idx="3">
                  <c:v>24-Mar-25</c:v>
                </c:pt>
                <c:pt idx="4">
                  <c:v>31-Mar-25</c:v>
                </c:pt>
                <c:pt idx="5">
                  <c:v>07-Apr-25</c:v>
                </c:pt>
                <c:pt idx="6">
                  <c:v>14-Apr-25</c:v>
                </c:pt>
                <c:pt idx="7">
                  <c:v>21-Apr-25</c:v>
                </c:pt>
                <c:pt idx="8">
                  <c:v>28-Apr-25</c:v>
                </c:pt>
                <c:pt idx="9">
                  <c:v>05-May-25</c:v>
                </c:pt>
                <c:pt idx="10">
                  <c:v>12-May-25</c:v>
                </c:pt>
                <c:pt idx="11">
                  <c:v>19-May-25</c:v>
                </c:pt>
                <c:pt idx="12">
                  <c:v>26-May-25</c:v>
                </c:pt>
                <c:pt idx="13">
                  <c:v>02-Jun-25</c:v>
                </c:pt>
                <c:pt idx="14">
                  <c:v>09-Jun-25</c:v>
                </c:pt>
                <c:pt idx="15">
                  <c:v>16-Jun-25</c:v>
                </c:pt>
                <c:pt idx="16">
                  <c:v>23-Jun-25</c:v>
                </c:pt>
                <c:pt idx="17">
                  <c:v>30-Jun-25</c:v>
                </c:pt>
                <c:pt idx="18">
                  <c:v>07-Jul-25</c:v>
                </c:pt>
                <c:pt idx="19">
                  <c:v>14-Jul-25</c:v>
                </c:pt>
                <c:pt idx="20">
                  <c:v>21-Jul-25</c:v>
                </c:pt>
                <c:pt idx="21">
                  <c:v>28-Jul-25</c:v>
                </c:pt>
                <c:pt idx="22">
                  <c:v>04-Aug-25</c:v>
                </c:pt>
                <c:pt idx="23">
                  <c:v>11-Aug-25</c:v>
                </c:pt>
                <c:pt idx="24">
                  <c:v>18-Aug-25</c:v>
                </c:pt>
                <c:pt idx="25">
                  <c:v>25-Aug-25</c:v>
                </c:pt>
                <c:pt idx="26">
                  <c:v>01-Sep-25</c:v>
                </c:pt>
                <c:pt idx="27">
                  <c:v>08-Sep-25</c:v>
                </c:pt>
                <c:pt idx="28">
                  <c:v>15-Sep-25</c:v>
                </c:pt>
                <c:pt idx="29">
                  <c:v>22-Sep-25</c:v>
                </c:pt>
                <c:pt idx="30">
                  <c:v>29-Sep-25</c:v>
                </c:pt>
                <c:pt idx="31">
                  <c:v>06-Oct-25</c:v>
                </c:pt>
                <c:pt idx="32">
                  <c:v>13-Oct-25</c:v>
                </c:pt>
                <c:pt idx="33">
                  <c:v>20-Oct-25</c:v>
                </c:pt>
                <c:pt idx="34">
                  <c:v>27-Oct-25</c:v>
                </c:pt>
                <c:pt idx="35">
                  <c:v>03-Nov-25</c:v>
                </c:pt>
                <c:pt idx="36">
                  <c:v>10-Nov-25</c:v>
                </c:pt>
                <c:pt idx="37">
                  <c:v>17-Nov-25</c:v>
                </c:pt>
                <c:pt idx="38">
                  <c:v>24-Nov-25</c:v>
                </c:pt>
                <c:pt idx="39">
                  <c:v>01-Dec-25</c:v>
                </c:pt>
                <c:pt idx="40">
                  <c:v>08-Dec-25</c:v>
                </c:pt>
                <c:pt idx="41">
                  <c:v>15-Dec-25</c:v>
                </c:pt>
                <c:pt idx="42">
                  <c:v>22-Dec-25</c:v>
                </c:pt>
                <c:pt idx="43">
                  <c:v>29-Dec-25</c:v>
                </c:pt>
                <c:pt idx="44">
                  <c:v>05-Jan-26</c:v>
                </c:pt>
                <c:pt idx="45">
                  <c:v>12-Jan-26</c:v>
                </c:pt>
                <c:pt idx="46">
                  <c:v>19-Jan-26</c:v>
                </c:pt>
                <c:pt idx="47">
                  <c:v>26-Jan-26</c:v>
                </c:pt>
                <c:pt idx="48">
                  <c:v>02-Feb-26</c:v>
                </c:pt>
                <c:pt idx="49">
                  <c:v>09-Feb-26</c:v>
                </c:pt>
                <c:pt idx="50">
                  <c:v>16-Feb-26</c:v>
                </c:pt>
                <c:pt idx="51">
                  <c:v>23-Feb-26</c:v>
                </c:pt>
              </c:strCache>
            </c:strRef>
          </c:cat>
          <c:val>
            <c:numRef>
              <c:f>'S-Curve Wkly'!$E$11:$E$63</c:f>
              <c:numCache>
                <c:formatCode>0.0%</c:formatCode>
                <c:ptCount val="52"/>
                <c:pt idx="0">
                  <c:v>0</c:v>
                </c:pt>
                <c:pt idx="1">
                  <c:v>2.185792349726776E-2</c:v>
                </c:pt>
                <c:pt idx="2">
                  <c:v>2.185792349726776E-2</c:v>
                </c:pt>
                <c:pt idx="3">
                  <c:v>8.1967213114754092E-2</c:v>
                </c:pt>
                <c:pt idx="4">
                  <c:v>8.1967213114754092E-2</c:v>
                </c:pt>
                <c:pt idx="5">
                  <c:v>8.1967213114754092E-2</c:v>
                </c:pt>
                <c:pt idx="6">
                  <c:v>8.1967213114754092E-2</c:v>
                </c:pt>
                <c:pt idx="7">
                  <c:v>9.8360655737704916E-2</c:v>
                </c:pt>
                <c:pt idx="8">
                  <c:v>9.8360655737704916E-2</c:v>
                </c:pt>
                <c:pt idx="9">
                  <c:v>9.8360655737704916E-2</c:v>
                </c:pt>
                <c:pt idx="10">
                  <c:v>0.10382513661202186</c:v>
                </c:pt>
                <c:pt idx="11">
                  <c:v>0.10382513661202186</c:v>
                </c:pt>
                <c:pt idx="12">
                  <c:v>0.15300546448087432</c:v>
                </c:pt>
                <c:pt idx="13">
                  <c:v>0.22950819672131148</c:v>
                </c:pt>
                <c:pt idx="14">
                  <c:v>0.22950819672131148</c:v>
                </c:pt>
                <c:pt idx="15">
                  <c:v>0.22950819672131148</c:v>
                </c:pt>
                <c:pt idx="16">
                  <c:v>0.22950819672131148</c:v>
                </c:pt>
                <c:pt idx="17">
                  <c:v>0.23497267759562843</c:v>
                </c:pt>
                <c:pt idx="18">
                  <c:v>0.27322404371584702</c:v>
                </c:pt>
                <c:pt idx="19">
                  <c:v>0.27322404371584702</c:v>
                </c:pt>
                <c:pt idx="20">
                  <c:v>0.27322404371584702</c:v>
                </c:pt>
                <c:pt idx="21">
                  <c:v>0.27322404371584702</c:v>
                </c:pt>
                <c:pt idx="22">
                  <c:v>0.27322404371584702</c:v>
                </c:pt>
                <c:pt idx="23">
                  <c:v>0.27322404371584702</c:v>
                </c:pt>
                <c:pt idx="24">
                  <c:v>0.27322404371584702</c:v>
                </c:pt>
                <c:pt idx="25">
                  <c:v>0.30601092896174864</c:v>
                </c:pt>
                <c:pt idx="26">
                  <c:v>0.30601092896174864</c:v>
                </c:pt>
                <c:pt idx="27">
                  <c:v>0.36612021857923499</c:v>
                </c:pt>
                <c:pt idx="28">
                  <c:v>0.36612021857923499</c:v>
                </c:pt>
                <c:pt idx="29">
                  <c:v>0.36612021857923499</c:v>
                </c:pt>
                <c:pt idx="30">
                  <c:v>0.36612021857923499</c:v>
                </c:pt>
                <c:pt idx="31">
                  <c:v>0.36612021857923499</c:v>
                </c:pt>
                <c:pt idx="32">
                  <c:v>0.48633879781420764</c:v>
                </c:pt>
                <c:pt idx="33">
                  <c:v>0.48633879781420764</c:v>
                </c:pt>
                <c:pt idx="34">
                  <c:v>0.52459016393442626</c:v>
                </c:pt>
                <c:pt idx="35">
                  <c:v>0.52459016393442626</c:v>
                </c:pt>
                <c:pt idx="36">
                  <c:v>0.52459016393442626</c:v>
                </c:pt>
                <c:pt idx="37">
                  <c:v>0.52459016393442626</c:v>
                </c:pt>
                <c:pt idx="38">
                  <c:v>0.52459016393442626</c:v>
                </c:pt>
                <c:pt idx="39">
                  <c:v>0.64480874316939896</c:v>
                </c:pt>
                <c:pt idx="40">
                  <c:v>0.69398907103825147</c:v>
                </c:pt>
                <c:pt idx="41">
                  <c:v>0.75409836065573776</c:v>
                </c:pt>
                <c:pt idx="42">
                  <c:v>0.75409836065573776</c:v>
                </c:pt>
                <c:pt idx="43">
                  <c:v>0.75409836065573776</c:v>
                </c:pt>
                <c:pt idx="44">
                  <c:v>0.75956284153005471</c:v>
                </c:pt>
                <c:pt idx="45">
                  <c:v>0.75956284153005471</c:v>
                </c:pt>
                <c:pt idx="46">
                  <c:v>0.75956284153005471</c:v>
                </c:pt>
                <c:pt idx="47">
                  <c:v>0.75956284153005471</c:v>
                </c:pt>
                <c:pt idx="48">
                  <c:v>0.75956284153005471</c:v>
                </c:pt>
                <c:pt idx="49">
                  <c:v>0.75956284153005471</c:v>
                </c:pt>
                <c:pt idx="50">
                  <c:v>0.84153005464480879</c:v>
                </c:pt>
                <c:pt idx="51">
                  <c:v>0.84153005464480879</c:v>
                </c:pt>
              </c:numCache>
            </c:numRef>
          </c:val>
          <c:smooth val="1"/>
          <c:extLst>
            <c:ext xmlns:c16="http://schemas.microsoft.com/office/drawing/2014/chart" uri="{C3380CC4-5D6E-409C-BE32-E72D297353CC}">
              <c16:uniqueId val="{0000001D-CA51-4621-A5E4-C42E8ED1AF1B}"/>
            </c:ext>
          </c:extLst>
        </c:ser>
        <c:dLbls>
          <c:showLegendKey val="0"/>
          <c:showVal val="0"/>
          <c:showCatName val="0"/>
          <c:showSerName val="0"/>
          <c:showPercent val="0"/>
          <c:showBubbleSize val="0"/>
        </c:dLbls>
        <c:smooth val="0"/>
        <c:axId val="176985536"/>
        <c:axId val="93893488"/>
      </c:lineChart>
      <c:catAx>
        <c:axId val="176985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chemeClr val="dk1"/>
                </a:solidFill>
                <a:latin typeface="+mn-lt"/>
                <a:ea typeface="+mn-ea"/>
                <a:cs typeface="+mn-cs"/>
              </a:defRPr>
            </a:pPr>
            <a:endParaRPr lang="en-US"/>
          </a:p>
        </c:txPr>
        <c:crossAx val="93893488"/>
        <c:crosses val="autoZero"/>
        <c:auto val="1"/>
        <c:lblAlgn val="ctr"/>
        <c:lblOffset val="100"/>
        <c:noMultiLvlLbl val="0"/>
      </c:catAx>
      <c:valAx>
        <c:axId val="93893488"/>
        <c:scaling>
          <c:orientation val="minMax"/>
          <c:max val="1.2"/>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7698553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[Civil_Project_Tracker_Datasheets.xlsx]S-Curve Wkly!PivotTable2</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Architecture S-Curve (Weekly)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ln w="25400"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5400"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5400" cap="rnd">
            <a:solidFill>
              <a:srgbClr val="0000C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'S-Curve Wkly'!$AJ$10</c:f>
              <c:strCache>
                <c:ptCount val="1"/>
                <c:pt idx="0">
                  <c:v> Submission_1 Plan</c:v>
                </c:pt>
              </c:strCache>
            </c:strRef>
          </c:tx>
          <c:spPr>
            <a:ln w="25400" cap="rnd">
              <a:solidFill>
                <a:srgbClr val="00B050"/>
              </a:solidFill>
              <a:round/>
            </a:ln>
            <a:effectLst/>
          </c:spPr>
          <c:marker>
            <c:symbol val="none"/>
          </c:marker>
          <c:cat>
            <c:strRef>
              <c:f>'S-Curve Wkly'!$AI$11:$AI$80</c:f>
              <c:strCache>
                <c:ptCount val="69"/>
                <c:pt idx="0">
                  <c:v>03-Feb-25</c:v>
                </c:pt>
                <c:pt idx="1">
                  <c:v>10-Feb-25</c:v>
                </c:pt>
                <c:pt idx="2">
                  <c:v>17-Feb-25</c:v>
                </c:pt>
                <c:pt idx="3">
                  <c:v>24-Feb-25</c:v>
                </c:pt>
                <c:pt idx="4">
                  <c:v>03-Mar-25</c:v>
                </c:pt>
                <c:pt idx="5">
                  <c:v>10-Mar-25</c:v>
                </c:pt>
                <c:pt idx="6">
                  <c:v>17-Mar-25</c:v>
                </c:pt>
                <c:pt idx="7">
                  <c:v>24-Mar-25</c:v>
                </c:pt>
                <c:pt idx="8">
                  <c:v>31-Mar-25</c:v>
                </c:pt>
                <c:pt idx="9">
                  <c:v>07-Apr-25</c:v>
                </c:pt>
                <c:pt idx="10">
                  <c:v>14-Apr-25</c:v>
                </c:pt>
                <c:pt idx="11">
                  <c:v>21-Apr-25</c:v>
                </c:pt>
                <c:pt idx="12">
                  <c:v>28-Apr-25</c:v>
                </c:pt>
                <c:pt idx="13">
                  <c:v>05-May-25</c:v>
                </c:pt>
                <c:pt idx="14">
                  <c:v>12-May-25</c:v>
                </c:pt>
                <c:pt idx="15">
                  <c:v>19-May-25</c:v>
                </c:pt>
                <c:pt idx="16">
                  <c:v>26-May-25</c:v>
                </c:pt>
                <c:pt idx="17">
                  <c:v>02-Jun-25</c:v>
                </c:pt>
                <c:pt idx="18">
                  <c:v>09-Jun-25</c:v>
                </c:pt>
                <c:pt idx="19">
                  <c:v>16-Jun-25</c:v>
                </c:pt>
                <c:pt idx="20">
                  <c:v>23-Jun-25</c:v>
                </c:pt>
                <c:pt idx="21">
                  <c:v>30-Jun-25</c:v>
                </c:pt>
                <c:pt idx="22">
                  <c:v>07-Jul-25</c:v>
                </c:pt>
                <c:pt idx="23">
                  <c:v>14-Jul-25</c:v>
                </c:pt>
                <c:pt idx="24">
                  <c:v>21-Jul-25</c:v>
                </c:pt>
                <c:pt idx="25">
                  <c:v>28-Jul-25</c:v>
                </c:pt>
                <c:pt idx="26">
                  <c:v>04-Aug-25</c:v>
                </c:pt>
                <c:pt idx="27">
                  <c:v>11-Aug-25</c:v>
                </c:pt>
                <c:pt idx="28">
                  <c:v>18-Aug-25</c:v>
                </c:pt>
                <c:pt idx="29">
                  <c:v>25-Aug-25</c:v>
                </c:pt>
                <c:pt idx="30">
                  <c:v>01-Sep-25</c:v>
                </c:pt>
                <c:pt idx="31">
                  <c:v>08-Sep-25</c:v>
                </c:pt>
                <c:pt idx="32">
                  <c:v>15-Sep-25</c:v>
                </c:pt>
                <c:pt idx="33">
                  <c:v>22-Sep-25</c:v>
                </c:pt>
                <c:pt idx="34">
                  <c:v>29-Sep-25</c:v>
                </c:pt>
                <c:pt idx="35">
                  <c:v>06-Oct-25</c:v>
                </c:pt>
                <c:pt idx="36">
                  <c:v>13-Oct-25</c:v>
                </c:pt>
                <c:pt idx="37">
                  <c:v>20-Oct-25</c:v>
                </c:pt>
                <c:pt idx="38">
                  <c:v>27-Oct-25</c:v>
                </c:pt>
                <c:pt idx="39">
                  <c:v>03-Nov-25</c:v>
                </c:pt>
                <c:pt idx="40">
                  <c:v>10-Nov-25</c:v>
                </c:pt>
                <c:pt idx="41">
                  <c:v>17-Nov-25</c:v>
                </c:pt>
                <c:pt idx="42">
                  <c:v>24-Nov-25</c:v>
                </c:pt>
                <c:pt idx="43">
                  <c:v>01-Dec-25</c:v>
                </c:pt>
                <c:pt idx="44">
                  <c:v>08-Dec-25</c:v>
                </c:pt>
                <c:pt idx="45">
                  <c:v>15-Dec-25</c:v>
                </c:pt>
                <c:pt idx="46">
                  <c:v>22-Dec-25</c:v>
                </c:pt>
                <c:pt idx="47">
                  <c:v>29-Dec-25</c:v>
                </c:pt>
                <c:pt idx="48">
                  <c:v>05-Jan-26</c:v>
                </c:pt>
                <c:pt idx="49">
                  <c:v>12-Jan-26</c:v>
                </c:pt>
                <c:pt idx="50">
                  <c:v>19-Jan-26</c:v>
                </c:pt>
                <c:pt idx="51">
                  <c:v>26-Jan-26</c:v>
                </c:pt>
                <c:pt idx="52">
                  <c:v>02-Feb-26</c:v>
                </c:pt>
                <c:pt idx="53">
                  <c:v>09-Feb-26</c:v>
                </c:pt>
                <c:pt idx="54">
                  <c:v>16-Feb-26</c:v>
                </c:pt>
                <c:pt idx="55">
                  <c:v>23-Feb-26</c:v>
                </c:pt>
                <c:pt idx="56">
                  <c:v>02-Mar-26</c:v>
                </c:pt>
                <c:pt idx="57">
                  <c:v>09-Mar-26</c:v>
                </c:pt>
                <c:pt idx="58">
                  <c:v>16-Mar-26</c:v>
                </c:pt>
                <c:pt idx="59">
                  <c:v>23-Mar-26</c:v>
                </c:pt>
                <c:pt idx="60">
                  <c:v>30-Mar-26</c:v>
                </c:pt>
                <c:pt idx="61">
                  <c:v>06-Apr-26</c:v>
                </c:pt>
                <c:pt idx="62">
                  <c:v>13-Apr-26</c:v>
                </c:pt>
                <c:pt idx="63">
                  <c:v>20-Apr-26</c:v>
                </c:pt>
                <c:pt idx="64">
                  <c:v>27-Apr-26</c:v>
                </c:pt>
                <c:pt idx="65">
                  <c:v>04-May-26</c:v>
                </c:pt>
                <c:pt idx="66">
                  <c:v>11-May-26</c:v>
                </c:pt>
                <c:pt idx="67">
                  <c:v>18-May-26</c:v>
                </c:pt>
                <c:pt idx="68">
                  <c:v>25-May-26</c:v>
                </c:pt>
              </c:strCache>
            </c:strRef>
          </c:cat>
          <c:val>
            <c:numRef>
              <c:f>'S-Curve Wkly'!$AJ$11:$AJ$80</c:f>
              <c:numCache>
                <c:formatCode>0.0%</c:formatCode>
                <c:ptCount val="69"/>
                <c:pt idx="0">
                  <c:v>0</c:v>
                </c:pt>
                <c:pt idx="1">
                  <c:v>0</c:v>
                </c:pt>
                <c:pt idx="2">
                  <c:v>0</c:v>
                </c:pt>
                <c:pt idx="3">
                  <c:v>0</c:v>
                </c:pt>
                <c:pt idx="4">
                  <c:v>0.13821138211382114</c:v>
                </c:pt>
                <c:pt idx="5">
                  <c:v>0.13821138211382114</c:v>
                </c:pt>
                <c:pt idx="6">
                  <c:v>0.13821138211382114</c:v>
                </c:pt>
                <c:pt idx="7">
                  <c:v>0.13821138211382114</c:v>
                </c:pt>
                <c:pt idx="8">
                  <c:v>0.17886178861788618</c:v>
                </c:pt>
                <c:pt idx="9">
                  <c:v>0.23577235772357724</c:v>
                </c:pt>
                <c:pt idx="10">
                  <c:v>0.25203252032520324</c:v>
                </c:pt>
                <c:pt idx="11">
                  <c:v>0.25203252032520324</c:v>
                </c:pt>
                <c:pt idx="12">
                  <c:v>0.25203252032520324</c:v>
                </c:pt>
                <c:pt idx="13">
                  <c:v>0.30081300813008127</c:v>
                </c:pt>
                <c:pt idx="14">
                  <c:v>0.33333333333333331</c:v>
                </c:pt>
                <c:pt idx="15">
                  <c:v>0.38211382113821135</c:v>
                </c:pt>
                <c:pt idx="16">
                  <c:v>0.41463414634146339</c:v>
                </c:pt>
                <c:pt idx="17">
                  <c:v>0.42276422764227639</c:v>
                </c:pt>
                <c:pt idx="18">
                  <c:v>0.43089430894308939</c:v>
                </c:pt>
                <c:pt idx="19">
                  <c:v>0.43089430894308939</c:v>
                </c:pt>
                <c:pt idx="20">
                  <c:v>0.43902439024390238</c:v>
                </c:pt>
                <c:pt idx="21">
                  <c:v>0.43902439024390238</c:v>
                </c:pt>
                <c:pt idx="22">
                  <c:v>0.43902439024390238</c:v>
                </c:pt>
                <c:pt idx="23">
                  <c:v>0.43902439024390238</c:v>
                </c:pt>
                <c:pt idx="24">
                  <c:v>0.43902439024390238</c:v>
                </c:pt>
                <c:pt idx="25">
                  <c:v>0.44715447154471538</c:v>
                </c:pt>
                <c:pt idx="26">
                  <c:v>0.44715447154471538</c:v>
                </c:pt>
                <c:pt idx="27">
                  <c:v>0.44715447154471538</c:v>
                </c:pt>
                <c:pt idx="28">
                  <c:v>0.44715447154471538</c:v>
                </c:pt>
                <c:pt idx="29">
                  <c:v>0.44715447154471538</c:v>
                </c:pt>
                <c:pt idx="30">
                  <c:v>0.44715447154471538</c:v>
                </c:pt>
                <c:pt idx="31">
                  <c:v>0.44715447154471538</c:v>
                </c:pt>
                <c:pt idx="32">
                  <c:v>0.44715447154471538</c:v>
                </c:pt>
                <c:pt idx="33">
                  <c:v>0.44715447154471538</c:v>
                </c:pt>
                <c:pt idx="34">
                  <c:v>0.44715447154471538</c:v>
                </c:pt>
                <c:pt idx="35">
                  <c:v>0.44715447154471538</c:v>
                </c:pt>
                <c:pt idx="36">
                  <c:v>0.46341463414634138</c:v>
                </c:pt>
                <c:pt idx="37">
                  <c:v>0.47967479674796737</c:v>
                </c:pt>
                <c:pt idx="38">
                  <c:v>0.49593495934959336</c:v>
                </c:pt>
                <c:pt idx="39">
                  <c:v>0.50406504065040636</c:v>
                </c:pt>
                <c:pt idx="40">
                  <c:v>0.56910569105691045</c:v>
                </c:pt>
                <c:pt idx="41">
                  <c:v>0.56910569105691045</c:v>
                </c:pt>
                <c:pt idx="42">
                  <c:v>0.65040650406504052</c:v>
                </c:pt>
                <c:pt idx="43">
                  <c:v>0.7479674796747966</c:v>
                </c:pt>
                <c:pt idx="44">
                  <c:v>0.84552845528455267</c:v>
                </c:pt>
                <c:pt idx="45">
                  <c:v>0.9349593495934958</c:v>
                </c:pt>
                <c:pt idx="46">
                  <c:v>0.9837398373983739</c:v>
                </c:pt>
                <c:pt idx="47">
                  <c:v>0.99999999999999989</c:v>
                </c:pt>
                <c:pt idx="48">
                  <c:v>0.99999999999999989</c:v>
                </c:pt>
                <c:pt idx="49">
                  <c:v>0.99999999999999989</c:v>
                </c:pt>
                <c:pt idx="50">
                  <c:v>0.99999999999999989</c:v>
                </c:pt>
                <c:pt idx="51">
                  <c:v>0.99999999999999989</c:v>
                </c:pt>
                <c:pt idx="52">
                  <c:v>0.99999999999999989</c:v>
                </c:pt>
                <c:pt idx="53">
                  <c:v>0.99999999999999989</c:v>
                </c:pt>
                <c:pt idx="54">
                  <c:v>0.99999999999999989</c:v>
                </c:pt>
                <c:pt idx="55">
                  <c:v>0.99999999999999989</c:v>
                </c:pt>
                <c:pt idx="56">
                  <c:v>0.99999999999999989</c:v>
                </c:pt>
                <c:pt idx="57">
                  <c:v>0.99999999999999989</c:v>
                </c:pt>
                <c:pt idx="58">
                  <c:v>0.99999999999999989</c:v>
                </c:pt>
                <c:pt idx="59">
                  <c:v>0.99999999999999989</c:v>
                </c:pt>
                <c:pt idx="60">
                  <c:v>0.99999999999999989</c:v>
                </c:pt>
                <c:pt idx="61">
                  <c:v>0.99999999999999989</c:v>
                </c:pt>
                <c:pt idx="62">
                  <c:v>0.99999999999999989</c:v>
                </c:pt>
                <c:pt idx="63">
                  <c:v>0.99999999999999989</c:v>
                </c:pt>
                <c:pt idx="64">
                  <c:v>0.99999999999999989</c:v>
                </c:pt>
                <c:pt idx="65">
                  <c:v>0.99999999999999989</c:v>
                </c:pt>
                <c:pt idx="66">
                  <c:v>0.99999999999999989</c:v>
                </c:pt>
                <c:pt idx="67">
                  <c:v>0.99999999999999989</c:v>
                </c:pt>
                <c:pt idx="68">
                  <c:v>0.99999999999999989</c:v>
                </c:pt>
              </c:numCache>
            </c:numRef>
          </c:val>
          <c:smooth val="1"/>
          <c:extLst>
            <c:ext xmlns:c16="http://schemas.microsoft.com/office/drawing/2014/chart" uri="{C3380CC4-5D6E-409C-BE32-E72D297353CC}">
              <c16:uniqueId val="{00000000-E309-4F39-BD0E-F798DB80203F}"/>
            </c:ext>
          </c:extLst>
        </c:ser>
        <c:ser>
          <c:idx val="1"/>
          <c:order val="1"/>
          <c:tx>
            <c:strRef>
              <c:f>'S-Curve Wkly'!$AK$10</c:f>
              <c:strCache>
                <c:ptCount val="1"/>
                <c:pt idx="0">
                  <c:v> Submission_1 Actuals</c:v>
                </c:pt>
              </c:strCache>
            </c:strRef>
          </c:tx>
          <c:spPr>
            <a:ln w="25400" cap="rnd">
              <a:solidFill>
                <a:srgbClr val="C00000"/>
              </a:solidFill>
              <a:round/>
            </a:ln>
            <a:effectLst/>
          </c:spPr>
          <c:marker>
            <c:symbol val="none"/>
          </c:marker>
          <c:cat>
            <c:strRef>
              <c:f>'S-Curve Wkly'!$AI$11:$AI$80</c:f>
              <c:strCache>
                <c:ptCount val="69"/>
                <c:pt idx="0">
                  <c:v>03-Feb-25</c:v>
                </c:pt>
                <c:pt idx="1">
                  <c:v>10-Feb-25</c:v>
                </c:pt>
                <c:pt idx="2">
                  <c:v>17-Feb-25</c:v>
                </c:pt>
                <c:pt idx="3">
                  <c:v>24-Feb-25</c:v>
                </c:pt>
                <c:pt idx="4">
                  <c:v>03-Mar-25</c:v>
                </c:pt>
                <c:pt idx="5">
                  <c:v>10-Mar-25</c:v>
                </c:pt>
                <c:pt idx="6">
                  <c:v>17-Mar-25</c:v>
                </c:pt>
                <c:pt idx="7">
                  <c:v>24-Mar-25</c:v>
                </c:pt>
                <c:pt idx="8">
                  <c:v>31-Mar-25</c:v>
                </c:pt>
                <c:pt idx="9">
                  <c:v>07-Apr-25</c:v>
                </c:pt>
                <c:pt idx="10">
                  <c:v>14-Apr-25</c:v>
                </c:pt>
                <c:pt idx="11">
                  <c:v>21-Apr-25</c:v>
                </c:pt>
                <c:pt idx="12">
                  <c:v>28-Apr-25</c:v>
                </c:pt>
                <c:pt idx="13">
                  <c:v>05-May-25</c:v>
                </c:pt>
                <c:pt idx="14">
                  <c:v>12-May-25</c:v>
                </c:pt>
                <c:pt idx="15">
                  <c:v>19-May-25</c:v>
                </c:pt>
                <c:pt idx="16">
                  <c:v>26-May-25</c:v>
                </c:pt>
                <c:pt idx="17">
                  <c:v>02-Jun-25</c:v>
                </c:pt>
                <c:pt idx="18">
                  <c:v>09-Jun-25</c:v>
                </c:pt>
                <c:pt idx="19">
                  <c:v>16-Jun-25</c:v>
                </c:pt>
                <c:pt idx="20">
                  <c:v>23-Jun-25</c:v>
                </c:pt>
                <c:pt idx="21">
                  <c:v>30-Jun-25</c:v>
                </c:pt>
                <c:pt idx="22">
                  <c:v>07-Jul-25</c:v>
                </c:pt>
                <c:pt idx="23">
                  <c:v>14-Jul-25</c:v>
                </c:pt>
                <c:pt idx="24">
                  <c:v>21-Jul-25</c:v>
                </c:pt>
                <c:pt idx="25">
                  <c:v>28-Jul-25</c:v>
                </c:pt>
                <c:pt idx="26">
                  <c:v>04-Aug-25</c:v>
                </c:pt>
                <c:pt idx="27">
                  <c:v>11-Aug-25</c:v>
                </c:pt>
                <c:pt idx="28">
                  <c:v>18-Aug-25</c:v>
                </c:pt>
                <c:pt idx="29">
                  <c:v>25-Aug-25</c:v>
                </c:pt>
                <c:pt idx="30">
                  <c:v>01-Sep-25</c:v>
                </c:pt>
                <c:pt idx="31">
                  <c:v>08-Sep-25</c:v>
                </c:pt>
                <c:pt idx="32">
                  <c:v>15-Sep-25</c:v>
                </c:pt>
                <c:pt idx="33">
                  <c:v>22-Sep-25</c:v>
                </c:pt>
                <c:pt idx="34">
                  <c:v>29-Sep-25</c:v>
                </c:pt>
                <c:pt idx="35">
                  <c:v>06-Oct-25</c:v>
                </c:pt>
                <c:pt idx="36">
                  <c:v>13-Oct-25</c:v>
                </c:pt>
                <c:pt idx="37">
                  <c:v>20-Oct-25</c:v>
                </c:pt>
                <c:pt idx="38">
                  <c:v>27-Oct-25</c:v>
                </c:pt>
                <c:pt idx="39">
                  <c:v>03-Nov-25</c:v>
                </c:pt>
                <c:pt idx="40">
                  <c:v>10-Nov-25</c:v>
                </c:pt>
                <c:pt idx="41">
                  <c:v>17-Nov-25</c:v>
                </c:pt>
                <c:pt idx="42">
                  <c:v>24-Nov-25</c:v>
                </c:pt>
                <c:pt idx="43">
                  <c:v>01-Dec-25</c:v>
                </c:pt>
                <c:pt idx="44">
                  <c:v>08-Dec-25</c:v>
                </c:pt>
                <c:pt idx="45">
                  <c:v>15-Dec-25</c:v>
                </c:pt>
                <c:pt idx="46">
                  <c:v>22-Dec-25</c:v>
                </c:pt>
                <c:pt idx="47">
                  <c:v>29-Dec-25</c:v>
                </c:pt>
                <c:pt idx="48">
                  <c:v>05-Jan-26</c:v>
                </c:pt>
                <c:pt idx="49">
                  <c:v>12-Jan-26</c:v>
                </c:pt>
                <c:pt idx="50">
                  <c:v>19-Jan-26</c:v>
                </c:pt>
                <c:pt idx="51">
                  <c:v>26-Jan-26</c:v>
                </c:pt>
                <c:pt idx="52">
                  <c:v>02-Feb-26</c:v>
                </c:pt>
                <c:pt idx="53">
                  <c:v>09-Feb-26</c:v>
                </c:pt>
                <c:pt idx="54">
                  <c:v>16-Feb-26</c:v>
                </c:pt>
                <c:pt idx="55">
                  <c:v>23-Feb-26</c:v>
                </c:pt>
                <c:pt idx="56">
                  <c:v>02-Mar-26</c:v>
                </c:pt>
                <c:pt idx="57">
                  <c:v>09-Mar-26</c:v>
                </c:pt>
                <c:pt idx="58">
                  <c:v>16-Mar-26</c:v>
                </c:pt>
                <c:pt idx="59">
                  <c:v>23-Mar-26</c:v>
                </c:pt>
                <c:pt idx="60">
                  <c:v>30-Mar-26</c:v>
                </c:pt>
                <c:pt idx="61">
                  <c:v>06-Apr-26</c:v>
                </c:pt>
                <c:pt idx="62">
                  <c:v>13-Apr-26</c:v>
                </c:pt>
                <c:pt idx="63">
                  <c:v>20-Apr-26</c:v>
                </c:pt>
                <c:pt idx="64">
                  <c:v>27-Apr-26</c:v>
                </c:pt>
                <c:pt idx="65">
                  <c:v>04-May-26</c:v>
                </c:pt>
                <c:pt idx="66">
                  <c:v>11-May-26</c:v>
                </c:pt>
                <c:pt idx="67">
                  <c:v>18-May-26</c:v>
                </c:pt>
                <c:pt idx="68">
                  <c:v>25-May-26</c:v>
                </c:pt>
              </c:strCache>
            </c:strRef>
          </c:cat>
          <c:val>
            <c:numRef>
              <c:f>'S-Curve Wkly'!$AK$11:$AK$80</c:f>
              <c:numCache>
                <c:formatCode>0.0%</c:formatCode>
                <c:ptCount val="69"/>
                <c:pt idx="0">
                  <c:v>0</c:v>
                </c:pt>
                <c:pt idx="1">
                  <c:v>0</c:v>
                </c:pt>
                <c:pt idx="2">
                  <c:v>0</c:v>
                </c:pt>
                <c:pt idx="3">
                  <c:v>0</c:v>
                </c:pt>
                <c:pt idx="4">
                  <c:v>0.13821138211382114</c:v>
                </c:pt>
                <c:pt idx="5">
                  <c:v>0.14634146341463414</c:v>
                </c:pt>
                <c:pt idx="6">
                  <c:v>0.14634146341463414</c:v>
                </c:pt>
                <c:pt idx="7">
                  <c:v>0.14634146341463414</c:v>
                </c:pt>
                <c:pt idx="8">
                  <c:v>0.17886178861788618</c:v>
                </c:pt>
                <c:pt idx="9">
                  <c:v>0.22764227642276424</c:v>
                </c:pt>
                <c:pt idx="10">
                  <c:v>0.26016260162601629</c:v>
                </c:pt>
                <c:pt idx="11">
                  <c:v>0.26016260162601629</c:v>
                </c:pt>
                <c:pt idx="12">
                  <c:v>0.26016260162601629</c:v>
                </c:pt>
                <c:pt idx="13">
                  <c:v>0.26016260162601629</c:v>
                </c:pt>
                <c:pt idx="14">
                  <c:v>0.29268292682926833</c:v>
                </c:pt>
                <c:pt idx="15">
                  <c:v>0.32520325203252037</c:v>
                </c:pt>
                <c:pt idx="16">
                  <c:v>0.32520325203252037</c:v>
                </c:pt>
                <c:pt idx="17">
                  <c:v>0.35772357723577242</c:v>
                </c:pt>
                <c:pt idx="18">
                  <c:v>0.37398373983739841</c:v>
                </c:pt>
                <c:pt idx="19">
                  <c:v>0.38211382113821141</c:v>
                </c:pt>
                <c:pt idx="20">
                  <c:v>0.42276422764227645</c:v>
                </c:pt>
                <c:pt idx="21">
                  <c:v>0.42276422764227645</c:v>
                </c:pt>
                <c:pt idx="22">
                  <c:v>0.44715447154471549</c:v>
                </c:pt>
                <c:pt idx="23">
                  <c:v>0.44715447154471549</c:v>
                </c:pt>
                <c:pt idx="24">
                  <c:v>0.45528455284552849</c:v>
                </c:pt>
                <c:pt idx="25">
                  <c:v>0.46341463414634149</c:v>
                </c:pt>
                <c:pt idx="26">
                  <c:v>0.46341463414634149</c:v>
                </c:pt>
                <c:pt idx="27">
                  <c:v>0.46341463414634149</c:v>
                </c:pt>
                <c:pt idx="28">
                  <c:v>0.46341463414634149</c:v>
                </c:pt>
                <c:pt idx="29">
                  <c:v>0.47154471544715448</c:v>
                </c:pt>
                <c:pt idx="30">
                  <c:v>0.47154471544715448</c:v>
                </c:pt>
                <c:pt idx="31">
                  <c:v>0.47154471544715448</c:v>
                </c:pt>
                <c:pt idx="32">
                  <c:v>0.47154471544715448</c:v>
                </c:pt>
                <c:pt idx="33">
                  <c:v>0.47154471544715448</c:v>
                </c:pt>
                <c:pt idx="34">
                  <c:v>0.47154471544715448</c:v>
                </c:pt>
                <c:pt idx="35">
                  <c:v>0.47154471544715448</c:v>
                </c:pt>
                <c:pt idx="36">
                  <c:v>0.48780487804878048</c:v>
                </c:pt>
                <c:pt idx="37">
                  <c:v>0.53658536585365857</c:v>
                </c:pt>
                <c:pt idx="38">
                  <c:v>0.53658536585365857</c:v>
                </c:pt>
                <c:pt idx="39">
                  <c:v>0.56097560975609762</c:v>
                </c:pt>
                <c:pt idx="40">
                  <c:v>0.60975609756097571</c:v>
                </c:pt>
                <c:pt idx="41">
                  <c:v>0.64227642276422769</c:v>
                </c:pt>
                <c:pt idx="42">
                  <c:v>0.72357723577235777</c:v>
                </c:pt>
                <c:pt idx="43">
                  <c:v>0.80487804878048785</c:v>
                </c:pt>
                <c:pt idx="44">
                  <c:v>0.88617886178861793</c:v>
                </c:pt>
                <c:pt idx="45">
                  <c:v>0.92682926829268297</c:v>
                </c:pt>
                <c:pt idx="46">
                  <c:v>0.92682926829268297</c:v>
                </c:pt>
                <c:pt idx="47">
                  <c:v>0.92682926829268297</c:v>
                </c:pt>
                <c:pt idx="48">
                  <c:v>0.93495934959349603</c:v>
                </c:pt>
                <c:pt idx="49">
                  <c:v>0.93495934959349603</c:v>
                </c:pt>
                <c:pt idx="50">
                  <c:v>0.94308943089430908</c:v>
                </c:pt>
                <c:pt idx="51">
                  <c:v>0.94308943089430908</c:v>
                </c:pt>
                <c:pt idx="52">
                  <c:v>0.94308943089430908</c:v>
                </c:pt>
                <c:pt idx="53">
                  <c:v>0.94308943089430908</c:v>
                </c:pt>
                <c:pt idx="54">
                  <c:v>0.94308943089430908</c:v>
                </c:pt>
                <c:pt idx="55">
                  <c:v>0.94308943089430908</c:v>
                </c:pt>
                <c:pt idx="56">
                  <c:v>0.96747967479674812</c:v>
                </c:pt>
                <c:pt idx="57">
                  <c:v>0.99186991869918717</c:v>
                </c:pt>
                <c:pt idx="58">
                  <c:v>0.99186991869918717</c:v>
                </c:pt>
                <c:pt idx="59">
                  <c:v>0.99186991869918717</c:v>
                </c:pt>
                <c:pt idx="60">
                  <c:v>0.99186991869918717</c:v>
                </c:pt>
                <c:pt idx="61">
                  <c:v>1.0000000000000002</c:v>
                </c:pt>
                <c:pt idx="62">
                  <c:v>1.0000000000000002</c:v>
                </c:pt>
                <c:pt idx="63">
                  <c:v>1.0000000000000002</c:v>
                </c:pt>
                <c:pt idx="64">
                  <c:v>1.0000000000000002</c:v>
                </c:pt>
                <c:pt idx="65">
                  <c:v>1.0000000000000002</c:v>
                </c:pt>
                <c:pt idx="66">
                  <c:v>1.0000000000000002</c:v>
                </c:pt>
                <c:pt idx="67">
                  <c:v>1.0000000000000002</c:v>
                </c:pt>
                <c:pt idx="68">
                  <c:v>1.0000000000000002</c:v>
                </c:pt>
              </c:numCache>
            </c:numRef>
          </c:val>
          <c:smooth val="1"/>
          <c:extLst>
            <c:ext xmlns:c16="http://schemas.microsoft.com/office/drawing/2014/chart" uri="{C3380CC4-5D6E-409C-BE32-E72D297353CC}">
              <c16:uniqueId val="{00000002-E309-4F39-BD0E-F798DB80203F}"/>
            </c:ext>
          </c:extLst>
        </c:ser>
        <c:ser>
          <c:idx val="2"/>
          <c:order val="2"/>
          <c:tx>
            <c:strRef>
              <c:f>'S-Curve Wkly'!$AL$10</c:f>
              <c:strCache>
                <c:ptCount val="1"/>
                <c:pt idx="0">
                  <c:v> Approval Plan</c:v>
                </c:pt>
              </c:strCache>
            </c:strRef>
          </c:tx>
          <c:spPr>
            <a:ln w="25400" cap="rnd">
              <a:solidFill>
                <a:schemeClr val="tx1"/>
              </a:solidFill>
              <a:round/>
            </a:ln>
            <a:effectLst/>
          </c:spPr>
          <c:marker>
            <c:symbol val="none"/>
          </c:marker>
          <c:cat>
            <c:strRef>
              <c:f>'S-Curve Wkly'!$AI$11:$AI$80</c:f>
              <c:strCache>
                <c:ptCount val="69"/>
                <c:pt idx="0">
                  <c:v>03-Feb-25</c:v>
                </c:pt>
                <c:pt idx="1">
                  <c:v>10-Feb-25</c:v>
                </c:pt>
                <c:pt idx="2">
                  <c:v>17-Feb-25</c:v>
                </c:pt>
                <c:pt idx="3">
                  <c:v>24-Feb-25</c:v>
                </c:pt>
                <c:pt idx="4">
                  <c:v>03-Mar-25</c:v>
                </c:pt>
                <c:pt idx="5">
                  <c:v>10-Mar-25</c:v>
                </c:pt>
                <c:pt idx="6">
                  <c:v>17-Mar-25</c:v>
                </c:pt>
                <c:pt idx="7">
                  <c:v>24-Mar-25</c:v>
                </c:pt>
                <c:pt idx="8">
                  <c:v>31-Mar-25</c:v>
                </c:pt>
                <c:pt idx="9">
                  <c:v>07-Apr-25</c:v>
                </c:pt>
                <c:pt idx="10">
                  <c:v>14-Apr-25</c:v>
                </c:pt>
                <c:pt idx="11">
                  <c:v>21-Apr-25</c:v>
                </c:pt>
                <c:pt idx="12">
                  <c:v>28-Apr-25</c:v>
                </c:pt>
                <c:pt idx="13">
                  <c:v>05-May-25</c:v>
                </c:pt>
                <c:pt idx="14">
                  <c:v>12-May-25</c:v>
                </c:pt>
                <c:pt idx="15">
                  <c:v>19-May-25</c:v>
                </c:pt>
                <c:pt idx="16">
                  <c:v>26-May-25</c:v>
                </c:pt>
                <c:pt idx="17">
                  <c:v>02-Jun-25</c:v>
                </c:pt>
                <c:pt idx="18">
                  <c:v>09-Jun-25</c:v>
                </c:pt>
                <c:pt idx="19">
                  <c:v>16-Jun-25</c:v>
                </c:pt>
                <c:pt idx="20">
                  <c:v>23-Jun-25</c:v>
                </c:pt>
                <c:pt idx="21">
                  <c:v>30-Jun-25</c:v>
                </c:pt>
                <c:pt idx="22">
                  <c:v>07-Jul-25</c:v>
                </c:pt>
                <c:pt idx="23">
                  <c:v>14-Jul-25</c:v>
                </c:pt>
                <c:pt idx="24">
                  <c:v>21-Jul-25</c:v>
                </c:pt>
                <c:pt idx="25">
                  <c:v>28-Jul-25</c:v>
                </c:pt>
                <c:pt idx="26">
                  <c:v>04-Aug-25</c:v>
                </c:pt>
                <c:pt idx="27">
                  <c:v>11-Aug-25</c:v>
                </c:pt>
                <c:pt idx="28">
                  <c:v>18-Aug-25</c:v>
                </c:pt>
                <c:pt idx="29">
                  <c:v>25-Aug-25</c:v>
                </c:pt>
                <c:pt idx="30">
                  <c:v>01-Sep-25</c:v>
                </c:pt>
                <c:pt idx="31">
                  <c:v>08-Sep-25</c:v>
                </c:pt>
                <c:pt idx="32">
                  <c:v>15-Sep-25</c:v>
                </c:pt>
                <c:pt idx="33">
                  <c:v>22-Sep-25</c:v>
                </c:pt>
                <c:pt idx="34">
                  <c:v>29-Sep-25</c:v>
                </c:pt>
                <c:pt idx="35">
                  <c:v>06-Oct-25</c:v>
                </c:pt>
                <c:pt idx="36">
                  <c:v>13-Oct-25</c:v>
                </c:pt>
                <c:pt idx="37">
                  <c:v>20-Oct-25</c:v>
                </c:pt>
                <c:pt idx="38">
                  <c:v>27-Oct-25</c:v>
                </c:pt>
                <c:pt idx="39">
                  <c:v>03-Nov-25</c:v>
                </c:pt>
                <c:pt idx="40">
                  <c:v>10-Nov-25</c:v>
                </c:pt>
                <c:pt idx="41">
                  <c:v>17-Nov-25</c:v>
                </c:pt>
                <c:pt idx="42">
                  <c:v>24-Nov-25</c:v>
                </c:pt>
                <c:pt idx="43">
                  <c:v>01-Dec-25</c:v>
                </c:pt>
                <c:pt idx="44">
                  <c:v>08-Dec-25</c:v>
                </c:pt>
                <c:pt idx="45">
                  <c:v>15-Dec-25</c:v>
                </c:pt>
                <c:pt idx="46">
                  <c:v>22-Dec-25</c:v>
                </c:pt>
                <c:pt idx="47">
                  <c:v>29-Dec-25</c:v>
                </c:pt>
                <c:pt idx="48">
                  <c:v>05-Jan-26</c:v>
                </c:pt>
                <c:pt idx="49">
                  <c:v>12-Jan-26</c:v>
                </c:pt>
                <c:pt idx="50">
                  <c:v>19-Jan-26</c:v>
                </c:pt>
                <c:pt idx="51">
                  <c:v>26-Jan-26</c:v>
                </c:pt>
                <c:pt idx="52">
                  <c:v>02-Feb-26</c:v>
                </c:pt>
                <c:pt idx="53">
                  <c:v>09-Feb-26</c:v>
                </c:pt>
                <c:pt idx="54">
                  <c:v>16-Feb-26</c:v>
                </c:pt>
                <c:pt idx="55">
                  <c:v>23-Feb-26</c:v>
                </c:pt>
                <c:pt idx="56">
                  <c:v>02-Mar-26</c:v>
                </c:pt>
                <c:pt idx="57">
                  <c:v>09-Mar-26</c:v>
                </c:pt>
                <c:pt idx="58">
                  <c:v>16-Mar-26</c:v>
                </c:pt>
                <c:pt idx="59">
                  <c:v>23-Mar-26</c:v>
                </c:pt>
                <c:pt idx="60">
                  <c:v>30-Mar-26</c:v>
                </c:pt>
                <c:pt idx="61">
                  <c:v>06-Apr-26</c:v>
                </c:pt>
                <c:pt idx="62">
                  <c:v>13-Apr-26</c:v>
                </c:pt>
                <c:pt idx="63">
                  <c:v>20-Apr-26</c:v>
                </c:pt>
                <c:pt idx="64">
                  <c:v>27-Apr-26</c:v>
                </c:pt>
                <c:pt idx="65">
                  <c:v>04-May-26</c:v>
                </c:pt>
                <c:pt idx="66">
                  <c:v>11-May-26</c:v>
                </c:pt>
                <c:pt idx="67">
                  <c:v>18-May-26</c:v>
                </c:pt>
                <c:pt idx="68">
                  <c:v>25-May-26</c:v>
                </c:pt>
              </c:strCache>
            </c:strRef>
          </c:cat>
          <c:val>
            <c:numRef>
              <c:f>'S-Curve Wkly'!$AL$11:$AL$80</c:f>
              <c:numCache>
                <c:formatCode>0.0%</c:formatCode>
                <c:ptCount val="69"/>
                <c:pt idx="0">
                  <c:v>0</c:v>
                </c:pt>
                <c:pt idx="1">
                  <c:v>0</c:v>
                </c:pt>
                <c:pt idx="2">
                  <c:v>0</c:v>
                </c:pt>
                <c:pt idx="3">
                  <c:v>0</c:v>
                </c:pt>
                <c:pt idx="4">
                  <c:v>0</c:v>
                </c:pt>
                <c:pt idx="5">
                  <c:v>0</c:v>
                </c:pt>
                <c:pt idx="6">
                  <c:v>0</c:v>
                </c:pt>
                <c:pt idx="7">
                  <c:v>2.4390243902439025E-2</c:v>
                </c:pt>
                <c:pt idx="8">
                  <c:v>0.13821138211382114</c:v>
                </c:pt>
                <c:pt idx="9">
                  <c:v>0.13821138211382114</c:v>
                </c:pt>
                <c:pt idx="10">
                  <c:v>0.13821138211382114</c:v>
                </c:pt>
                <c:pt idx="11">
                  <c:v>0.13821138211382114</c:v>
                </c:pt>
                <c:pt idx="12">
                  <c:v>0.17886178861788618</c:v>
                </c:pt>
                <c:pt idx="13">
                  <c:v>0.23577235772357724</c:v>
                </c:pt>
                <c:pt idx="14">
                  <c:v>0.25203252032520324</c:v>
                </c:pt>
                <c:pt idx="15">
                  <c:v>0.25203252032520324</c:v>
                </c:pt>
                <c:pt idx="16">
                  <c:v>0.25203252032520324</c:v>
                </c:pt>
                <c:pt idx="17">
                  <c:v>0.30081300813008127</c:v>
                </c:pt>
                <c:pt idx="18">
                  <c:v>0.33333333333333331</c:v>
                </c:pt>
                <c:pt idx="19">
                  <c:v>0.38211382113821135</c:v>
                </c:pt>
                <c:pt idx="20">
                  <c:v>0.41463414634146339</c:v>
                </c:pt>
                <c:pt idx="21">
                  <c:v>0.42276422764227639</c:v>
                </c:pt>
                <c:pt idx="22">
                  <c:v>0.43089430894308939</c:v>
                </c:pt>
                <c:pt idx="23">
                  <c:v>0.43089430894308939</c:v>
                </c:pt>
                <c:pt idx="24">
                  <c:v>0.43902439024390238</c:v>
                </c:pt>
                <c:pt idx="25">
                  <c:v>0.43902439024390238</c:v>
                </c:pt>
                <c:pt idx="26">
                  <c:v>0.43902439024390238</c:v>
                </c:pt>
                <c:pt idx="27">
                  <c:v>0.43902439024390238</c:v>
                </c:pt>
                <c:pt idx="28">
                  <c:v>0.43902439024390238</c:v>
                </c:pt>
                <c:pt idx="29">
                  <c:v>0.44715447154471538</c:v>
                </c:pt>
                <c:pt idx="30">
                  <c:v>0.44715447154471538</c:v>
                </c:pt>
                <c:pt idx="31">
                  <c:v>0.44715447154471538</c:v>
                </c:pt>
                <c:pt idx="32">
                  <c:v>0.44715447154471538</c:v>
                </c:pt>
                <c:pt idx="33">
                  <c:v>0.44715447154471538</c:v>
                </c:pt>
                <c:pt idx="34">
                  <c:v>0.44715447154471538</c:v>
                </c:pt>
                <c:pt idx="35">
                  <c:v>0.44715447154471538</c:v>
                </c:pt>
                <c:pt idx="36">
                  <c:v>0.44715447154471538</c:v>
                </c:pt>
                <c:pt idx="37">
                  <c:v>0.44715447154471538</c:v>
                </c:pt>
                <c:pt idx="38">
                  <c:v>0.44715447154471538</c:v>
                </c:pt>
                <c:pt idx="39">
                  <c:v>0.44715447154471538</c:v>
                </c:pt>
                <c:pt idx="40">
                  <c:v>0.55284552845528445</c:v>
                </c:pt>
                <c:pt idx="41">
                  <c:v>0.55284552845528445</c:v>
                </c:pt>
                <c:pt idx="42">
                  <c:v>0.55284552845528445</c:v>
                </c:pt>
                <c:pt idx="43">
                  <c:v>0.55284552845528445</c:v>
                </c:pt>
                <c:pt idx="44">
                  <c:v>0.61788617886178854</c:v>
                </c:pt>
                <c:pt idx="45">
                  <c:v>0.61788617886178854</c:v>
                </c:pt>
                <c:pt idx="46">
                  <c:v>0.71544715447154461</c:v>
                </c:pt>
                <c:pt idx="47">
                  <c:v>0.80487804878048774</c:v>
                </c:pt>
                <c:pt idx="48">
                  <c:v>0.89430894308943087</c:v>
                </c:pt>
                <c:pt idx="49">
                  <c:v>0.93495934959349591</c:v>
                </c:pt>
                <c:pt idx="50">
                  <c:v>0.98373983739837401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numCache>
            </c:numRef>
          </c:val>
          <c:smooth val="1"/>
          <c:extLst>
            <c:ext xmlns:c16="http://schemas.microsoft.com/office/drawing/2014/chart" uri="{C3380CC4-5D6E-409C-BE32-E72D297353CC}">
              <c16:uniqueId val="{00000003-E309-4F39-BD0E-F798DB80203F}"/>
            </c:ext>
          </c:extLst>
        </c:ser>
        <c:ser>
          <c:idx val="3"/>
          <c:order val="3"/>
          <c:tx>
            <c:strRef>
              <c:f>'S-Curve Wkly'!$AM$10</c:f>
              <c:strCache>
                <c:ptCount val="1"/>
                <c:pt idx="0">
                  <c:v> Approval Actuals</c:v>
                </c:pt>
              </c:strCache>
            </c:strRef>
          </c:tx>
          <c:spPr>
            <a:ln w="25400" cap="rnd">
              <a:solidFill>
                <a:srgbClr val="0000CC"/>
              </a:solidFill>
              <a:round/>
            </a:ln>
            <a:effectLst/>
          </c:spPr>
          <c:marker>
            <c:symbol val="none"/>
          </c:marker>
          <c:cat>
            <c:strRef>
              <c:f>'S-Curve Wkly'!$AI$11:$AI$80</c:f>
              <c:strCache>
                <c:ptCount val="69"/>
                <c:pt idx="0">
                  <c:v>03-Feb-25</c:v>
                </c:pt>
                <c:pt idx="1">
                  <c:v>10-Feb-25</c:v>
                </c:pt>
                <c:pt idx="2">
                  <c:v>17-Feb-25</c:v>
                </c:pt>
                <c:pt idx="3">
                  <c:v>24-Feb-25</c:v>
                </c:pt>
                <c:pt idx="4">
                  <c:v>03-Mar-25</c:v>
                </c:pt>
                <c:pt idx="5">
                  <c:v>10-Mar-25</c:v>
                </c:pt>
                <c:pt idx="6">
                  <c:v>17-Mar-25</c:v>
                </c:pt>
                <c:pt idx="7">
                  <c:v>24-Mar-25</c:v>
                </c:pt>
                <c:pt idx="8">
                  <c:v>31-Mar-25</c:v>
                </c:pt>
                <c:pt idx="9">
                  <c:v>07-Apr-25</c:v>
                </c:pt>
                <c:pt idx="10">
                  <c:v>14-Apr-25</c:v>
                </c:pt>
                <c:pt idx="11">
                  <c:v>21-Apr-25</c:v>
                </c:pt>
                <c:pt idx="12">
                  <c:v>28-Apr-25</c:v>
                </c:pt>
                <c:pt idx="13">
                  <c:v>05-May-25</c:v>
                </c:pt>
                <c:pt idx="14">
                  <c:v>12-May-25</c:v>
                </c:pt>
                <c:pt idx="15">
                  <c:v>19-May-25</c:v>
                </c:pt>
                <c:pt idx="16">
                  <c:v>26-May-25</c:v>
                </c:pt>
                <c:pt idx="17">
                  <c:v>02-Jun-25</c:v>
                </c:pt>
                <c:pt idx="18">
                  <c:v>09-Jun-25</c:v>
                </c:pt>
                <c:pt idx="19">
                  <c:v>16-Jun-25</c:v>
                </c:pt>
                <c:pt idx="20">
                  <c:v>23-Jun-25</c:v>
                </c:pt>
                <c:pt idx="21">
                  <c:v>30-Jun-25</c:v>
                </c:pt>
                <c:pt idx="22">
                  <c:v>07-Jul-25</c:v>
                </c:pt>
                <c:pt idx="23">
                  <c:v>14-Jul-25</c:v>
                </c:pt>
                <c:pt idx="24">
                  <c:v>21-Jul-25</c:v>
                </c:pt>
                <c:pt idx="25">
                  <c:v>28-Jul-25</c:v>
                </c:pt>
                <c:pt idx="26">
                  <c:v>04-Aug-25</c:v>
                </c:pt>
                <c:pt idx="27">
                  <c:v>11-Aug-25</c:v>
                </c:pt>
                <c:pt idx="28">
                  <c:v>18-Aug-25</c:v>
                </c:pt>
                <c:pt idx="29">
                  <c:v>25-Aug-25</c:v>
                </c:pt>
                <c:pt idx="30">
                  <c:v>01-Sep-25</c:v>
                </c:pt>
                <c:pt idx="31">
                  <c:v>08-Sep-25</c:v>
                </c:pt>
                <c:pt idx="32">
                  <c:v>15-Sep-25</c:v>
                </c:pt>
                <c:pt idx="33">
                  <c:v>22-Sep-25</c:v>
                </c:pt>
                <c:pt idx="34">
                  <c:v>29-Sep-25</c:v>
                </c:pt>
                <c:pt idx="35">
                  <c:v>06-Oct-25</c:v>
                </c:pt>
                <c:pt idx="36">
                  <c:v>13-Oct-25</c:v>
                </c:pt>
                <c:pt idx="37">
                  <c:v>20-Oct-25</c:v>
                </c:pt>
                <c:pt idx="38">
                  <c:v>27-Oct-25</c:v>
                </c:pt>
                <c:pt idx="39">
                  <c:v>03-Nov-25</c:v>
                </c:pt>
                <c:pt idx="40">
                  <c:v>10-Nov-25</c:v>
                </c:pt>
                <c:pt idx="41">
                  <c:v>17-Nov-25</c:v>
                </c:pt>
                <c:pt idx="42">
                  <c:v>24-Nov-25</c:v>
                </c:pt>
                <c:pt idx="43">
                  <c:v>01-Dec-25</c:v>
                </c:pt>
                <c:pt idx="44">
                  <c:v>08-Dec-25</c:v>
                </c:pt>
                <c:pt idx="45">
                  <c:v>15-Dec-25</c:v>
                </c:pt>
                <c:pt idx="46">
                  <c:v>22-Dec-25</c:v>
                </c:pt>
                <c:pt idx="47">
                  <c:v>29-Dec-25</c:v>
                </c:pt>
                <c:pt idx="48">
                  <c:v>05-Jan-26</c:v>
                </c:pt>
                <c:pt idx="49">
                  <c:v>12-Jan-26</c:v>
                </c:pt>
                <c:pt idx="50">
                  <c:v>19-Jan-26</c:v>
                </c:pt>
                <c:pt idx="51">
                  <c:v>26-Jan-26</c:v>
                </c:pt>
                <c:pt idx="52">
                  <c:v>02-Feb-26</c:v>
                </c:pt>
                <c:pt idx="53">
                  <c:v>09-Feb-26</c:v>
                </c:pt>
                <c:pt idx="54">
                  <c:v>16-Feb-26</c:v>
                </c:pt>
                <c:pt idx="55">
                  <c:v>23-Feb-26</c:v>
                </c:pt>
                <c:pt idx="56">
                  <c:v>02-Mar-26</c:v>
                </c:pt>
                <c:pt idx="57">
                  <c:v>09-Mar-26</c:v>
                </c:pt>
                <c:pt idx="58">
                  <c:v>16-Mar-26</c:v>
                </c:pt>
                <c:pt idx="59">
                  <c:v>23-Mar-26</c:v>
                </c:pt>
                <c:pt idx="60">
                  <c:v>30-Mar-26</c:v>
                </c:pt>
                <c:pt idx="61">
                  <c:v>06-Apr-26</c:v>
                </c:pt>
                <c:pt idx="62">
                  <c:v>13-Apr-26</c:v>
                </c:pt>
                <c:pt idx="63">
                  <c:v>20-Apr-26</c:v>
                </c:pt>
                <c:pt idx="64">
                  <c:v>27-Apr-26</c:v>
                </c:pt>
                <c:pt idx="65">
                  <c:v>04-May-26</c:v>
                </c:pt>
                <c:pt idx="66">
                  <c:v>11-May-26</c:v>
                </c:pt>
                <c:pt idx="67">
                  <c:v>18-May-26</c:v>
                </c:pt>
                <c:pt idx="68">
                  <c:v>25-May-26</c:v>
                </c:pt>
              </c:strCache>
            </c:strRef>
          </c:cat>
          <c:val>
            <c:numRef>
              <c:f>'S-Curve Wkly'!$AM$11:$AM$80</c:f>
              <c:numCache>
                <c:formatCode>0.0%</c:formatCode>
                <c:ptCount val="69"/>
                <c:pt idx="0">
                  <c:v>0</c:v>
                </c:pt>
                <c:pt idx="1">
                  <c:v>0</c:v>
                </c:pt>
                <c:pt idx="2">
                  <c:v>0</c:v>
                </c:pt>
                <c:pt idx="3">
                  <c:v>0</c:v>
                </c:pt>
                <c:pt idx="4">
                  <c:v>0</c:v>
                </c:pt>
                <c:pt idx="5">
                  <c:v>0</c:v>
                </c:pt>
                <c:pt idx="6">
                  <c:v>0</c:v>
                </c:pt>
                <c:pt idx="7">
                  <c:v>0.13821138211382114</c:v>
                </c:pt>
                <c:pt idx="8">
                  <c:v>0.13821138211382114</c:v>
                </c:pt>
                <c:pt idx="9">
                  <c:v>0.13821138211382114</c:v>
                </c:pt>
                <c:pt idx="10">
                  <c:v>0.13821138211382114</c:v>
                </c:pt>
                <c:pt idx="11">
                  <c:v>0.13821138211382114</c:v>
                </c:pt>
                <c:pt idx="12">
                  <c:v>0.15447154471544716</c:v>
                </c:pt>
                <c:pt idx="13">
                  <c:v>0.15447154471544716</c:v>
                </c:pt>
                <c:pt idx="14">
                  <c:v>0.15447154471544716</c:v>
                </c:pt>
                <c:pt idx="15">
                  <c:v>0.15447154471544716</c:v>
                </c:pt>
                <c:pt idx="16">
                  <c:v>0.15447154471544716</c:v>
                </c:pt>
                <c:pt idx="17">
                  <c:v>0.15447154471544716</c:v>
                </c:pt>
                <c:pt idx="18">
                  <c:v>0.15447154471544716</c:v>
                </c:pt>
                <c:pt idx="19">
                  <c:v>0.15447154471544716</c:v>
                </c:pt>
                <c:pt idx="20">
                  <c:v>0.15447154471544716</c:v>
                </c:pt>
                <c:pt idx="21">
                  <c:v>0.17886178861788618</c:v>
                </c:pt>
                <c:pt idx="22">
                  <c:v>0.1951219512195122</c:v>
                </c:pt>
                <c:pt idx="23">
                  <c:v>0.21951219512195122</c:v>
                </c:pt>
                <c:pt idx="24">
                  <c:v>0.21951219512195122</c:v>
                </c:pt>
                <c:pt idx="25">
                  <c:v>0.21951219512195122</c:v>
                </c:pt>
                <c:pt idx="26">
                  <c:v>0.21951219512195122</c:v>
                </c:pt>
                <c:pt idx="27">
                  <c:v>0.23577235772357724</c:v>
                </c:pt>
                <c:pt idx="28">
                  <c:v>0.23577235772357724</c:v>
                </c:pt>
                <c:pt idx="29">
                  <c:v>0.23577235772357724</c:v>
                </c:pt>
                <c:pt idx="30">
                  <c:v>0.23577235772357724</c:v>
                </c:pt>
                <c:pt idx="31">
                  <c:v>0.41463414634146345</c:v>
                </c:pt>
                <c:pt idx="32">
                  <c:v>0.41463414634146345</c:v>
                </c:pt>
                <c:pt idx="33">
                  <c:v>0.41463414634146345</c:v>
                </c:pt>
                <c:pt idx="34">
                  <c:v>0.42276422764227645</c:v>
                </c:pt>
                <c:pt idx="35">
                  <c:v>0.42276422764227645</c:v>
                </c:pt>
                <c:pt idx="36">
                  <c:v>0.42276422764227645</c:v>
                </c:pt>
                <c:pt idx="37">
                  <c:v>0.43902439024390244</c:v>
                </c:pt>
                <c:pt idx="38">
                  <c:v>0.45528455284552843</c:v>
                </c:pt>
                <c:pt idx="39">
                  <c:v>0.45528455284552843</c:v>
                </c:pt>
                <c:pt idx="40">
                  <c:v>0.49593495934959347</c:v>
                </c:pt>
                <c:pt idx="41">
                  <c:v>0.49593495934959347</c:v>
                </c:pt>
                <c:pt idx="42">
                  <c:v>0.49593495934959347</c:v>
                </c:pt>
                <c:pt idx="43">
                  <c:v>0.58536585365853655</c:v>
                </c:pt>
                <c:pt idx="44">
                  <c:v>0.78048780487804881</c:v>
                </c:pt>
                <c:pt idx="45">
                  <c:v>0.86178861788617889</c:v>
                </c:pt>
                <c:pt idx="46">
                  <c:v>0.86178861788617889</c:v>
                </c:pt>
                <c:pt idx="47">
                  <c:v>0.86178861788617889</c:v>
                </c:pt>
                <c:pt idx="48">
                  <c:v>0.89430894308943087</c:v>
                </c:pt>
                <c:pt idx="49">
                  <c:v>0.89430894308943087</c:v>
                </c:pt>
                <c:pt idx="50">
                  <c:v>0.89430894308943087</c:v>
                </c:pt>
                <c:pt idx="51">
                  <c:v>0.89430894308943087</c:v>
                </c:pt>
                <c:pt idx="52">
                  <c:v>0.89430894308943087</c:v>
                </c:pt>
                <c:pt idx="53">
                  <c:v>0.89430894308943087</c:v>
                </c:pt>
                <c:pt idx="54">
                  <c:v>0.89430894308943087</c:v>
                </c:pt>
                <c:pt idx="55">
                  <c:v>0.89430894308943087</c:v>
                </c:pt>
                <c:pt idx="56">
                  <c:v>0.89430894308943087</c:v>
                </c:pt>
                <c:pt idx="57">
                  <c:v>0.89430894308943087</c:v>
                </c:pt>
                <c:pt idx="58">
                  <c:v>0.89430894308943087</c:v>
                </c:pt>
                <c:pt idx="59">
                  <c:v>0.89430894308943087</c:v>
                </c:pt>
                <c:pt idx="60">
                  <c:v>0.89430894308943087</c:v>
                </c:pt>
                <c:pt idx="61">
                  <c:v>0.89430894308943087</c:v>
                </c:pt>
                <c:pt idx="62">
                  <c:v>0.89430894308943087</c:v>
                </c:pt>
                <c:pt idx="63">
                  <c:v>0.98373983739837401</c:v>
                </c:pt>
                <c:pt idx="64">
                  <c:v>0.98373983739837401</c:v>
                </c:pt>
                <c:pt idx="65">
                  <c:v>0.98373983739837401</c:v>
                </c:pt>
                <c:pt idx="66">
                  <c:v>1</c:v>
                </c:pt>
                <c:pt idx="67">
                  <c:v>1</c:v>
                </c:pt>
                <c:pt idx="68">
                  <c:v>1</c:v>
                </c:pt>
              </c:numCache>
            </c:numRef>
          </c:val>
          <c:smooth val="1"/>
          <c:extLst>
            <c:ext xmlns:c16="http://schemas.microsoft.com/office/drawing/2014/chart" uri="{C3380CC4-5D6E-409C-BE32-E72D297353CC}">
              <c16:uniqueId val="{00000004-E309-4F39-BD0E-F798DB80203F}"/>
            </c:ext>
          </c:extLst>
        </c:ser>
        <c:dLbls>
          <c:showLegendKey val="0"/>
          <c:showVal val="0"/>
          <c:showCatName val="0"/>
          <c:showSerName val="0"/>
          <c:showPercent val="0"/>
          <c:showBubbleSize val="0"/>
        </c:dLbls>
        <c:smooth val="0"/>
        <c:axId val="840905743"/>
        <c:axId val="749321967"/>
      </c:lineChart>
      <c:catAx>
        <c:axId val="840905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49321967"/>
        <c:crosses val="autoZero"/>
        <c:auto val="1"/>
        <c:lblAlgn val="ctr"/>
        <c:lblOffset val="100"/>
        <c:noMultiLvlLbl val="0"/>
      </c:catAx>
      <c:valAx>
        <c:axId val="749321967"/>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409057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[Civil_Project_Tracker_Datasheets.xlsx]S-Curve Wkly!PivotTable3</c:name>
    <c:fmtId val="0"/>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sz="1400" b="1" i="0" u="none" strike="noStrike" kern="1200" spc="0" baseline="0">
                <a:solidFill>
                  <a:schemeClr val="tx1"/>
                </a:solidFill>
              </a:rPr>
              <a:t>MEP S-Curve (Weekly)</a:t>
            </a:r>
            <a:endParaRPr lang="en-IN" sz="1400"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IN"/>
        </a:p>
      </c:txPr>
    </c:title>
    <c:autoTitleDeleted val="0"/>
    <c:pivotFmts>
      <c:pivotFmt>
        <c:idx val="0"/>
        <c:spPr>
          <a:ln w="25400"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5400"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5400" cap="rnd">
            <a:solidFill>
              <a:srgbClr val="0000C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'S-Curve Wkly'!$BJ$9</c:f>
              <c:strCache>
                <c:ptCount val="1"/>
                <c:pt idx="0">
                  <c:v> Submission_1 Plan</c:v>
                </c:pt>
              </c:strCache>
            </c:strRef>
          </c:tx>
          <c:spPr>
            <a:ln w="25400" cap="rnd">
              <a:solidFill>
                <a:srgbClr val="00B050"/>
              </a:solidFill>
              <a:round/>
            </a:ln>
            <a:effectLst/>
          </c:spPr>
          <c:marker>
            <c:symbol val="none"/>
          </c:marker>
          <c:cat>
            <c:strRef>
              <c:f>'S-Curve Wkly'!$BI$10:$BI$62</c:f>
              <c:strCache>
                <c:ptCount val="52"/>
                <c:pt idx="0">
                  <c:v>05-May-25</c:v>
                </c:pt>
                <c:pt idx="1">
                  <c:v>12-May-25</c:v>
                </c:pt>
                <c:pt idx="2">
                  <c:v>19-May-25</c:v>
                </c:pt>
                <c:pt idx="3">
                  <c:v>26-May-25</c:v>
                </c:pt>
                <c:pt idx="4">
                  <c:v>02-Jun-25</c:v>
                </c:pt>
                <c:pt idx="5">
                  <c:v>09-Jun-25</c:v>
                </c:pt>
                <c:pt idx="6">
                  <c:v>16-Jun-25</c:v>
                </c:pt>
                <c:pt idx="7">
                  <c:v>23-Jun-25</c:v>
                </c:pt>
                <c:pt idx="8">
                  <c:v>30-Jun-25</c:v>
                </c:pt>
                <c:pt idx="9">
                  <c:v>07-Jul-25</c:v>
                </c:pt>
                <c:pt idx="10">
                  <c:v>14-Jul-25</c:v>
                </c:pt>
                <c:pt idx="11">
                  <c:v>21-Jul-25</c:v>
                </c:pt>
                <c:pt idx="12">
                  <c:v>28-Jul-25</c:v>
                </c:pt>
                <c:pt idx="13">
                  <c:v>04-Aug-25</c:v>
                </c:pt>
                <c:pt idx="14">
                  <c:v>11-Aug-25</c:v>
                </c:pt>
                <c:pt idx="15">
                  <c:v>18-Aug-25</c:v>
                </c:pt>
                <c:pt idx="16">
                  <c:v>25-Aug-25</c:v>
                </c:pt>
                <c:pt idx="17">
                  <c:v>01-Sep-25</c:v>
                </c:pt>
                <c:pt idx="18">
                  <c:v>08-Sep-25</c:v>
                </c:pt>
                <c:pt idx="19">
                  <c:v>15-Sep-25</c:v>
                </c:pt>
                <c:pt idx="20">
                  <c:v>22-Sep-25</c:v>
                </c:pt>
                <c:pt idx="21">
                  <c:v>29-Sep-25</c:v>
                </c:pt>
                <c:pt idx="22">
                  <c:v>06-Oct-25</c:v>
                </c:pt>
                <c:pt idx="23">
                  <c:v>13-Oct-25</c:v>
                </c:pt>
                <c:pt idx="24">
                  <c:v>20-Oct-25</c:v>
                </c:pt>
                <c:pt idx="25">
                  <c:v>27-Oct-25</c:v>
                </c:pt>
                <c:pt idx="26">
                  <c:v>03-Nov-25</c:v>
                </c:pt>
                <c:pt idx="27">
                  <c:v>10-Nov-25</c:v>
                </c:pt>
                <c:pt idx="28">
                  <c:v>17-Nov-25</c:v>
                </c:pt>
                <c:pt idx="29">
                  <c:v>24-Nov-25</c:v>
                </c:pt>
                <c:pt idx="30">
                  <c:v>01-Dec-25</c:v>
                </c:pt>
                <c:pt idx="31">
                  <c:v>08-Dec-25</c:v>
                </c:pt>
                <c:pt idx="32">
                  <c:v>15-Dec-25</c:v>
                </c:pt>
                <c:pt idx="33">
                  <c:v>22-Dec-25</c:v>
                </c:pt>
                <c:pt idx="34">
                  <c:v>29-Dec-25</c:v>
                </c:pt>
                <c:pt idx="35">
                  <c:v>05-Jan-26</c:v>
                </c:pt>
                <c:pt idx="36">
                  <c:v>12-Jan-26</c:v>
                </c:pt>
                <c:pt idx="37">
                  <c:v>19-Jan-26</c:v>
                </c:pt>
                <c:pt idx="38">
                  <c:v>26-Jan-26</c:v>
                </c:pt>
                <c:pt idx="39">
                  <c:v>02-Feb-26</c:v>
                </c:pt>
                <c:pt idx="40">
                  <c:v>09-Feb-26</c:v>
                </c:pt>
                <c:pt idx="41">
                  <c:v>16-Feb-26</c:v>
                </c:pt>
                <c:pt idx="42">
                  <c:v>23-Feb-26</c:v>
                </c:pt>
                <c:pt idx="43">
                  <c:v>02-Mar-26</c:v>
                </c:pt>
                <c:pt idx="44">
                  <c:v>09-Mar-26</c:v>
                </c:pt>
                <c:pt idx="45">
                  <c:v>16-Mar-26</c:v>
                </c:pt>
                <c:pt idx="46">
                  <c:v>23-Mar-26</c:v>
                </c:pt>
                <c:pt idx="47">
                  <c:v>30-Mar-26</c:v>
                </c:pt>
                <c:pt idx="48">
                  <c:v>06-Apr-26</c:v>
                </c:pt>
                <c:pt idx="49">
                  <c:v>13-Apr-26</c:v>
                </c:pt>
                <c:pt idx="50">
                  <c:v>20-Apr-26</c:v>
                </c:pt>
                <c:pt idx="51">
                  <c:v>27-Apr-26</c:v>
                </c:pt>
              </c:strCache>
            </c:strRef>
          </c:cat>
          <c:val>
            <c:numRef>
              <c:f>'S-Curve Wkly'!$BJ$10:$BJ$62</c:f>
              <c:numCache>
                <c:formatCode>0.0%</c:formatCode>
                <c:ptCount val="52"/>
                <c:pt idx="0">
                  <c:v>0</c:v>
                </c:pt>
                <c:pt idx="1">
                  <c:v>6.3559322033898302E-2</c:v>
                </c:pt>
                <c:pt idx="2">
                  <c:v>6.3559322033898302E-2</c:v>
                </c:pt>
                <c:pt idx="3">
                  <c:v>0.11864406779661016</c:v>
                </c:pt>
                <c:pt idx="4">
                  <c:v>0.11864406779661016</c:v>
                </c:pt>
                <c:pt idx="5">
                  <c:v>0.1864406779661017</c:v>
                </c:pt>
                <c:pt idx="6">
                  <c:v>0.19915254237288135</c:v>
                </c:pt>
                <c:pt idx="7">
                  <c:v>0.31779661016949151</c:v>
                </c:pt>
                <c:pt idx="8">
                  <c:v>0.31779661016949151</c:v>
                </c:pt>
                <c:pt idx="9">
                  <c:v>0.40254237288135591</c:v>
                </c:pt>
                <c:pt idx="10">
                  <c:v>0.4152542372881356</c:v>
                </c:pt>
                <c:pt idx="11">
                  <c:v>0.42796610169491528</c:v>
                </c:pt>
                <c:pt idx="12">
                  <c:v>0.42796610169491528</c:v>
                </c:pt>
                <c:pt idx="13">
                  <c:v>0.42796610169491528</c:v>
                </c:pt>
                <c:pt idx="14">
                  <c:v>0.42796610169491528</c:v>
                </c:pt>
                <c:pt idx="15">
                  <c:v>0.42796610169491528</c:v>
                </c:pt>
                <c:pt idx="16">
                  <c:v>0.42796610169491528</c:v>
                </c:pt>
                <c:pt idx="17">
                  <c:v>0.42796610169491528</c:v>
                </c:pt>
                <c:pt idx="18">
                  <c:v>0.42796610169491528</c:v>
                </c:pt>
                <c:pt idx="19">
                  <c:v>0.42796610169491528</c:v>
                </c:pt>
                <c:pt idx="20">
                  <c:v>0.42796610169491528</c:v>
                </c:pt>
                <c:pt idx="21">
                  <c:v>0.42796610169491528</c:v>
                </c:pt>
                <c:pt idx="22">
                  <c:v>0.42796610169491528</c:v>
                </c:pt>
                <c:pt idx="23">
                  <c:v>0.42796610169491528</c:v>
                </c:pt>
                <c:pt idx="24">
                  <c:v>0.48728813559322037</c:v>
                </c:pt>
                <c:pt idx="25">
                  <c:v>0.54661016949152541</c:v>
                </c:pt>
                <c:pt idx="26">
                  <c:v>0.54661016949152541</c:v>
                </c:pt>
                <c:pt idx="27">
                  <c:v>0.66101694915254239</c:v>
                </c:pt>
                <c:pt idx="28">
                  <c:v>0.66101694915254239</c:v>
                </c:pt>
                <c:pt idx="29">
                  <c:v>0.6652542372881356</c:v>
                </c:pt>
                <c:pt idx="30">
                  <c:v>0.6652542372881356</c:v>
                </c:pt>
                <c:pt idx="31">
                  <c:v>0.6652542372881356</c:v>
                </c:pt>
                <c:pt idx="32">
                  <c:v>0.67372881355932202</c:v>
                </c:pt>
                <c:pt idx="33">
                  <c:v>0.67372881355932202</c:v>
                </c:pt>
                <c:pt idx="34">
                  <c:v>0.68644067796610164</c:v>
                </c:pt>
                <c:pt idx="35">
                  <c:v>0.68644067796610164</c:v>
                </c:pt>
                <c:pt idx="36">
                  <c:v>0.68644067796610164</c:v>
                </c:pt>
                <c:pt idx="37">
                  <c:v>0.68644067796610164</c:v>
                </c:pt>
                <c:pt idx="38">
                  <c:v>0.68644067796610164</c:v>
                </c:pt>
                <c:pt idx="39">
                  <c:v>0.68644067796610164</c:v>
                </c:pt>
                <c:pt idx="40">
                  <c:v>0.68644067796610164</c:v>
                </c:pt>
                <c:pt idx="41">
                  <c:v>0.68644067796610164</c:v>
                </c:pt>
                <c:pt idx="42">
                  <c:v>0.68644067796610164</c:v>
                </c:pt>
                <c:pt idx="43">
                  <c:v>0.68644067796610164</c:v>
                </c:pt>
                <c:pt idx="44">
                  <c:v>0.68644067796610164</c:v>
                </c:pt>
                <c:pt idx="45">
                  <c:v>0.68644067796610164</c:v>
                </c:pt>
                <c:pt idx="46">
                  <c:v>0.68644067796610164</c:v>
                </c:pt>
                <c:pt idx="47">
                  <c:v>0.68644067796610164</c:v>
                </c:pt>
                <c:pt idx="48">
                  <c:v>0.68644067796610164</c:v>
                </c:pt>
                <c:pt idx="49">
                  <c:v>0.68644067796610164</c:v>
                </c:pt>
                <c:pt idx="50">
                  <c:v>0.68644067796610164</c:v>
                </c:pt>
                <c:pt idx="51">
                  <c:v>0.68644067796610164</c:v>
                </c:pt>
              </c:numCache>
            </c:numRef>
          </c:val>
          <c:smooth val="1"/>
          <c:extLst>
            <c:ext xmlns:c16="http://schemas.microsoft.com/office/drawing/2014/chart" uri="{C3380CC4-5D6E-409C-BE32-E72D297353CC}">
              <c16:uniqueId val="{00000000-695B-49D0-8A9F-E13A62DC64EC}"/>
            </c:ext>
          </c:extLst>
        </c:ser>
        <c:ser>
          <c:idx val="1"/>
          <c:order val="1"/>
          <c:tx>
            <c:strRef>
              <c:f>'S-Curve Wkly'!$BK$9</c:f>
              <c:strCache>
                <c:ptCount val="1"/>
                <c:pt idx="0">
                  <c:v> Submission_1 Actuals</c:v>
                </c:pt>
              </c:strCache>
            </c:strRef>
          </c:tx>
          <c:spPr>
            <a:ln w="25400" cap="rnd">
              <a:solidFill>
                <a:srgbClr val="C00000"/>
              </a:solidFill>
              <a:round/>
            </a:ln>
            <a:effectLst/>
          </c:spPr>
          <c:marker>
            <c:symbol val="none"/>
          </c:marker>
          <c:cat>
            <c:strRef>
              <c:f>'S-Curve Wkly'!$BI$10:$BI$62</c:f>
              <c:strCache>
                <c:ptCount val="52"/>
                <c:pt idx="0">
                  <c:v>05-May-25</c:v>
                </c:pt>
                <c:pt idx="1">
                  <c:v>12-May-25</c:v>
                </c:pt>
                <c:pt idx="2">
                  <c:v>19-May-25</c:v>
                </c:pt>
                <c:pt idx="3">
                  <c:v>26-May-25</c:v>
                </c:pt>
                <c:pt idx="4">
                  <c:v>02-Jun-25</c:v>
                </c:pt>
                <c:pt idx="5">
                  <c:v>09-Jun-25</c:v>
                </c:pt>
                <c:pt idx="6">
                  <c:v>16-Jun-25</c:v>
                </c:pt>
                <c:pt idx="7">
                  <c:v>23-Jun-25</c:v>
                </c:pt>
                <c:pt idx="8">
                  <c:v>30-Jun-25</c:v>
                </c:pt>
                <c:pt idx="9">
                  <c:v>07-Jul-25</c:v>
                </c:pt>
                <c:pt idx="10">
                  <c:v>14-Jul-25</c:v>
                </c:pt>
                <c:pt idx="11">
                  <c:v>21-Jul-25</c:v>
                </c:pt>
                <c:pt idx="12">
                  <c:v>28-Jul-25</c:v>
                </c:pt>
                <c:pt idx="13">
                  <c:v>04-Aug-25</c:v>
                </c:pt>
                <c:pt idx="14">
                  <c:v>11-Aug-25</c:v>
                </c:pt>
                <c:pt idx="15">
                  <c:v>18-Aug-25</c:v>
                </c:pt>
                <c:pt idx="16">
                  <c:v>25-Aug-25</c:v>
                </c:pt>
                <c:pt idx="17">
                  <c:v>01-Sep-25</c:v>
                </c:pt>
                <c:pt idx="18">
                  <c:v>08-Sep-25</c:v>
                </c:pt>
                <c:pt idx="19">
                  <c:v>15-Sep-25</c:v>
                </c:pt>
                <c:pt idx="20">
                  <c:v>22-Sep-25</c:v>
                </c:pt>
                <c:pt idx="21">
                  <c:v>29-Sep-25</c:v>
                </c:pt>
                <c:pt idx="22">
                  <c:v>06-Oct-25</c:v>
                </c:pt>
                <c:pt idx="23">
                  <c:v>13-Oct-25</c:v>
                </c:pt>
                <c:pt idx="24">
                  <c:v>20-Oct-25</c:v>
                </c:pt>
                <c:pt idx="25">
                  <c:v>27-Oct-25</c:v>
                </c:pt>
                <c:pt idx="26">
                  <c:v>03-Nov-25</c:v>
                </c:pt>
                <c:pt idx="27">
                  <c:v>10-Nov-25</c:v>
                </c:pt>
                <c:pt idx="28">
                  <c:v>17-Nov-25</c:v>
                </c:pt>
                <c:pt idx="29">
                  <c:v>24-Nov-25</c:v>
                </c:pt>
                <c:pt idx="30">
                  <c:v>01-Dec-25</c:v>
                </c:pt>
                <c:pt idx="31">
                  <c:v>08-Dec-25</c:v>
                </c:pt>
                <c:pt idx="32">
                  <c:v>15-Dec-25</c:v>
                </c:pt>
                <c:pt idx="33">
                  <c:v>22-Dec-25</c:v>
                </c:pt>
                <c:pt idx="34">
                  <c:v>29-Dec-25</c:v>
                </c:pt>
                <c:pt idx="35">
                  <c:v>05-Jan-26</c:v>
                </c:pt>
                <c:pt idx="36">
                  <c:v>12-Jan-26</c:v>
                </c:pt>
                <c:pt idx="37">
                  <c:v>19-Jan-26</c:v>
                </c:pt>
                <c:pt idx="38">
                  <c:v>26-Jan-26</c:v>
                </c:pt>
                <c:pt idx="39">
                  <c:v>02-Feb-26</c:v>
                </c:pt>
                <c:pt idx="40">
                  <c:v>09-Feb-26</c:v>
                </c:pt>
                <c:pt idx="41">
                  <c:v>16-Feb-26</c:v>
                </c:pt>
                <c:pt idx="42">
                  <c:v>23-Feb-26</c:v>
                </c:pt>
                <c:pt idx="43">
                  <c:v>02-Mar-26</c:v>
                </c:pt>
                <c:pt idx="44">
                  <c:v>09-Mar-26</c:v>
                </c:pt>
                <c:pt idx="45">
                  <c:v>16-Mar-26</c:v>
                </c:pt>
                <c:pt idx="46">
                  <c:v>23-Mar-26</c:v>
                </c:pt>
                <c:pt idx="47">
                  <c:v>30-Mar-26</c:v>
                </c:pt>
                <c:pt idx="48">
                  <c:v>06-Apr-26</c:v>
                </c:pt>
                <c:pt idx="49">
                  <c:v>13-Apr-26</c:v>
                </c:pt>
                <c:pt idx="50">
                  <c:v>20-Apr-26</c:v>
                </c:pt>
                <c:pt idx="51">
                  <c:v>27-Apr-26</c:v>
                </c:pt>
              </c:strCache>
            </c:strRef>
          </c:cat>
          <c:val>
            <c:numRef>
              <c:f>'S-Curve Wkly'!$BK$10:$BK$62</c:f>
              <c:numCache>
                <c:formatCode>0.0%</c:formatCode>
                <c:ptCount val="52"/>
                <c:pt idx="0">
                  <c:v>0</c:v>
                </c:pt>
                <c:pt idx="1">
                  <c:v>0</c:v>
                </c:pt>
                <c:pt idx="2">
                  <c:v>5.9322033898305086E-2</c:v>
                </c:pt>
                <c:pt idx="3">
                  <c:v>5.9322033898305086E-2</c:v>
                </c:pt>
                <c:pt idx="4">
                  <c:v>5.9322033898305086E-2</c:v>
                </c:pt>
                <c:pt idx="5">
                  <c:v>5.9322033898305086E-2</c:v>
                </c:pt>
                <c:pt idx="6">
                  <c:v>0.11440677966101695</c:v>
                </c:pt>
                <c:pt idx="7">
                  <c:v>0.11440677966101695</c:v>
                </c:pt>
                <c:pt idx="8">
                  <c:v>0.17372881355932204</c:v>
                </c:pt>
                <c:pt idx="9">
                  <c:v>0.23305084745762714</c:v>
                </c:pt>
                <c:pt idx="10">
                  <c:v>0.23305084745762714</c:v>
                </c:pt>
                <c:pt idx="11">
                  <c:v>0.24152542372881358</c:v>
                </c:pt>
                <c:pt idx="12">
                  <c:v>0.24152542372881358</c:v>
                </c:pt>
                <c:pt idx="13">
                  <c:v>0.24152542372881358</c:v>
                </c:pt>
                <c:pt idx="14">
                  <c:v>0.24152542372881358</c:v>
                </c:pt>
                <c:pt idx="15">
                  <c:v>0.24152542372881358</c:v>
                </c:pt>
                <c:pt idx="16">
                  <c:v>0.3728813559322034</c:v>
                </c:pt>
                <c:pt idx="17">
                  <c:v>0.3728813559322034</c:v>
                </c:pt>
                <c:pt idx="18">
                  <c:v>0.42796610169491528</c:v>
                </c:pt>
                <c:pt idx="19">
                  <c:v>0.42796610169491528</c:v>
                </c:pt>
                <c:pt idx="20">
                  <c:v>0.42796610169491528</c:v>
                </c:pt>
                <c:pt idx="21">
                  <c:v>0.42796610169491528</c:v>
                </c:pt>
                <c:pt idx="22">
                  <c:v>0.4364406779661017</c:v>
                </c:pt>
                <c:pt idx="23">
                  <c:v>0.4364406779661017</c:v>
                </c:pt>
                <c:pt idx="24">
                  <c:v>0.4364406779661017</c:v>
                </c:pt>
                <c:pt idx="25">
                  <c:v>0.49576271186440679</c:v>
                </c:pt>
                <c:pt idx="26">
                  <c:v>0.59322033898305082</c:v>
                </c:pt>
                <c:pt idx="27">
                  <c:v>0.71610169491525422</c:v>
                </c:pt>
                <c:pt idx="28">
                  <c:v>0.72033898305084743</c:v>
                </c:pt>
                <c:pt idx="29">
                  <c:v>0.72881355932203384</c:v>
                </c:pt>
                <c:pt idx="30">
                  <c:v>0.72881355932203384</c:v>
                </c:pt>
                <c:pt idx="31">
                  <c:v>0.72881355932203384</c:v>
                </c:pt>
                <c:pt idx="32">
                  <c:v>0.72881355932203384</c:v>
                </c:pt>
                <c:pt idx="33">
                  <c:v>0.72881355932203384</c:v>
                </c:pt>
                <c:pt idx="34">
                  <c:v>0.72881355932203384</c:v>
                </c:pt>
                <c:pt idx="35">
                  <c:v>0.72881355932203384</c:v>
                </c:pt>
                <c:pt idx="36">
                  <c:v>0.72881355932203384</c:v>
                </c:pt>
                <c:pt idx="37">
                  <c:v>0.72881355932203384</c:v>
                </c:pt>
                <c:pt idx="38">
                  <c:v>0.72881355932203384</c:v>
                </c:pt>
                <c:pt idx="39">
                  <c:v>0.73728813559322026</c:v>
                </c:pt>
                <c:pt idx="40">
                  <c:v>0.73728813559322026</c:v>
                </c:pt>
                <c:pt idx="41">
                  <c:v>0.73728813559322026</c:v>
                </c:pt>
                <c:pt idx="42">
                  <c:v>0.73728813559322026</c:v>
                </c:pt>
                <c:pt idx="43">
                  <c:v>0.74576271186440668</c:v>
                </c:pt>
                <c:pt idx="44">
                  <c:v>0.74576271186440668</c:v>
                </c:pt>
                <c:pt idx="45">
                  <c:v>0.74576271186440668</c:v>
                </c:pt>
                <c:pt idx="46">
                  <c:v>0.7542372881355931</c:v>
                </c:pt>
                <c:pt idx="47">
                  <c:v>0.7542372881355931</c:v>
                </c:pt>
                <c:pt idx="48">
                  <c:v>0.7542372881355931</c:v>
                </c:pt>
                <c:pt idx="49">
                  <c:v>0.75847457627118631</c:v>
                </c:pt>
                <c:pt idx="50">
                  <c:v>0.75847457627118631</c:v>
                </c:pt>
                <c:pt idx="51">
                  <c:v>0.75847457627118631</c:v>
                </c:pt>
              </c:numCache>
            </c:numRef>
          </c:val>
          <c:smooth val="1"/>
          <c:extLst>
            <c:ext xmlns:c16="http://schemas.microsoft.com/office/drawing/2014/chart" uri="{C3380CC4-5D6E-409C-BE32-E72D297353CC}">
              <c16:uniqueId val="{00000001-695B-49D0-8A9F-E13A62DC64EC}"/>
            </c:ext>
          </c:extLst>
        </c:ser>
        <c:ser>
          <c:idx val="2"/>
          <c:order val="2"/>
          <c:tx>
            <c:strRef>
              <c:f>'S-Curve Wkly'!$BL$9</c:f>
              <c:strCache>
                <c:ptCount val="1"/>
                <c:pt idx="0">
                  <c:v> Approval Plan</c:v>
                </c:pt>
              </c:strCache>
            </c:strRef>
          </c:tx>
          <c:spPr>
            <a:ln w="25400" cap="rnd">
              <a:solidFill>
                <a:schemeClr val="tx1"/>
              </a:solidFill>
              <a:round/>
            </a:ln>
            <a:effectLst/>
          </c:spPr>
          <c:marker>
            <c:symbol val="none"/>
          </c:marker>
          <c:cat>
            <c:strRef>
              <c:f>'S-Curve Wkly'!$BI$10:$BI$62</c:f>
              <c:strCache>
                <c:ptCount val="52"/>
                <c:pt idx="0">
                  <c:v>05-May-25</c:v>
                </c:pt>
                <c:pt idx="1">
                  <c:v>12-May-25</c:v>
                </c:pt>
                <c:pt idx="2">
                  <c:v>19-May-25</c:v>
                </c:pt>
                <c:pt idx="3">
                  <c:v>26-May-25</c:v>
                </c:pt>
                <c:pt idx="4">
                  <c:v>02-Jun-25</c:v>
                </c:pt>
                <c:pt idx="5">
                  <c:v>09-Jun-25</c:v>
                </c:pt>
                <c:pt idx="6">
                  <c:v>16-Jun-25</c:v>
                </c:pt>
                <c:pt idx="7">
                  <c:v>23-Jun-25</c:v>
                </c:pt>
                <c:pt idx="8">
                  <c:v>30-Jun-25</c:v>
                </c:pt>
                <c:pt idx="9">
                  <c:v>07-Jul-25</c:v>
                </c:pt>
                <c:pt idx="10">
                  <c:v>14-Jul-25</c:v>
                </c:pt>
                <c:pt idx="11">
                  <c:v>21-Jul-25</c:v>
                </c:pt>
                <c:pt idx="12">
                  <c:v>28-Jul-25</c:v>
                </c:pt>
                <c:pt idx="13">
                  <c:v>04-Aug-25</c:v>
                </c:pt>
                <c:pt idx="14">
                  <c:v>11-Aug-25</c:v>
                </c:pt>
                <c:pt idx="15">
                  <c:v>18-Aug-25</c:v>
                </c:pt>
                <c:pt idx="16">
                  <c:v>25-Aug-25</c:v>
                </c:pt>
                <c:pt idx="17">
                  <c:v>01-Sep-25</c:v>
                </c:pt>
                <c:pt idx="18">
                  <c:v>08-Sep-25</c:v>
                </c:pt>
                <c:pt idx="19">
                  <c:v>15-Sep-25</c:v>
                </c:pt>
                <c:pt idx="20">
                  <c:v>22-Sep-25</c:v>
                </c:pt>
                <c:pt idx="21">
                  <c:v>29-Sep-25</c:v>
                </c:pt>
                <c:pt idx="22">
                  <c:v>06-Oct-25</c:v>
                </c:pt>
                <c:pt idx="23">
                  <c:v>13-Oct-25</c:v>
                </c:pt>
                <c:pt idx="24">
                  <c:v>20-Oct-25</c:v>
                </c:pt>
                <c:pt idx="25">
                  <c:v>27-Oct-25</c:v>
                </c:pt>
                <c:pt idx="26">
                  <c:v>03-Nov-25</c:v>
                </c:pt>
                <c:pt idx="27">
                  <c:v>10-Nov-25</c:v>
                </c:pt>
                <c:pt idx="28">
                  <c:v>17-Nov-25</c:v>
                </c:pt>
                <c:pt idx="29">
                  <c:v>24-Nov-25</c:v>
                </c:pt>
                <c:pt idx="30">
                  <c:v>01-Dec-25</c:v>
                </c:pt>
                <c:pt idx="31">
                  <c:v>08-Dec-25</c:v>
                </c:pt>
                <c:pt idx="32">
                  <c:v>15-Dec-25</c:v>
                </c:pt>
                <c:pt idx="33">
                  <c:v>22-Dec-25</c:v>
                </c:pt>
                <c:pt idx="34">
                  <c:v>29-Dec-25</c:v>
                </c:pt>
                <c:pt idx="35">
                  <c:v>05-Jan-26</c:v>
                </c:pt>
                <c:pt idx="36">
                  <c:v>12-Jan-26</c:v>
                </c:pt>
                <c:pt idx="37">
                  <c:v>19-Jan-26</c:v>
                </c:pt>
                <c:pt idx="38">
                  <c:v>26-Jan-26</c:v>
                </c:pt>
                <c:pt idx="39">
                  <c:v>02-Feb-26</c:v>
                </c:pt>
                <c:pt idx="40">
                  <c:v>09-Feb-26</c:v>
                </c:pt>
                <c:pt idx="41">
                  <c:v>16-Feb-26</c:v>
                </c:pt>
                <c:pt idx="42">
                  <c:v>23-Feb-26</c:v>
                </c:pt>
                <c:pt idx="43">
                  <c:v>02-Mar-26</c:v>
                </c:pt>
                <c:pt idx="44">
                  <c:v>09-Mar-26</c:v>
                </c:pt>
                <c:pt idx="45">
                  <c:v>16-Mar-26</c:v>
                </c:pt>
                <c:pt idx="46">
                  <c:v>23-Mar-26</c:v>
                </c:pt>
                <c:pt idx="47">
                  <c:v>30-Mar-26</c:v>
                </c:pt>
                <c:pt idx="48">
                  <c:v>06-Apr-26</c:v>
                </c:pt>
                <c:pt idx="49">
                  <c:v>13-Apr-26</c:v>
                </c:pt>
                <c:pt idx="50">
                  <c:v>20-Apr-26</c:v>
                </c:pt>
                <c:pt idx="51">
                  <c:v>27-Apr-26</c:v>
                </c:pt>
              </c:strCache>
            </c:strRef>
          </c:cat>
          <c:val>
            <c:numRef>
              <c:f>'S-Curve Wkly'!$BL$10:$BL$62</c:f>
              <c:numCache>
                <c:formatCode>0.0%</c:formatCode>
                <c:ptCount val="52"/>
                <c:pt idx="0">
                  <c:v>4.2372881355932203E-3</c:v>
                </c:pt>
                <c:pt idx="1">
                  <c:v>8.4745762711864406E-3</c:v>
                </c:pt>
                <c:pt idx="2">
                  <c:v>8.4745762711864406E-3</c:v>
                </c:pt>
                <c:pt idx="3">
                  <c:v>0.11864406779661017</c:v>
                </c:pt>
                <c:pt idx="4">
                  <c:v>0.15254237288135594</c:v>
                </c:pt>
                <c:pt idx="5">
                  <c:v>0.19915254237288138</c:v>
                </c:pt>
                <c:pt idx="6">
                  <c:v>0.20762711864406783</c:v>
                </c:pt>
                <c:pt idx="7">
                  <c:v>0.22033898305084748</c:v>
                </c:pt>
                <c:pt idx="8">
                  <c:v>0.27542372881355937</c:v>
                </c:pt>
                <c:pt idx="9">
                  <c:v>0.27966101694915257</c:v>
                </c:pt>
                <c:pt idx="10">
                  <c:v>0.39406779661016955</c:v>
                </c:pt>
                <c:pt idx="11">
                  <c:v>0.39406779661016955</c:v>
                </c:pt>
                <c:pt idx="12">
                  <c:v>0.50423728813559332</c:v>
                </c:pt>
                <c:pt idx="13">
                  <c:v>0.50423728813559332</c:v>
                </c:pt>
                <c:pt idx="14">
                  <c:v>0.61016949152542388</c:v>
                </c:pt>
                <c:pt idx="15">
                  <c:v>0.61016949152542388</c:v>
                </c:pt>
                <c:pt idx="16">
                  <c:v>0.61016949152542388</c:v>
                </c:pt>
                <c:pt idx="17">
                  <c:v>0.61016949152542388</c:v>
                </c:pt>
                <c:pt idx="18">
                  <c:v>0.61016949152542388</c:v>
                </c:pt>
                <c:pt idx="19">
                  <c:v>0.61016949152542388</c:v>
                </c:pt>
                <c:pt idx="20">
                  <c:v>0.61016949152542388</c:v>
                </c:pt>
                <c:pt idx="21">
                  <c:v>0.61016949152542388</c:v>
                </c:pt>
                <c:pt idx="22">
                  <c:v>0.61016949152542388</c:v>
                </c:pt>
                <c:pt idx="23">
                  <c:v>0.61016949152542388</c:v>
                </c:pt>
                <c:pt idx="24">
                  <c:v>0.61016949152542388</c:v>
                </c:pt>
                <c:pt idx="25">
                  <c:v>0.61016949152542388</c:v>
                </c:pt>
                <c:pt idx="26">
                  <c:v>0.66949152542372892</c:v>
                </c:pt>
                <c:pt idx="27">
                  <c:v>0.72881355932203395</c:v>
                </c:pt>
                <c:pt idx="28">
                  <c:v>0.72881355932203395</c:v>
                </c:pt>
                <c:pt idx="29">
                  <c:v>0.78389830508474578</c:v>
                </c:pt>
                <c:pt idx="30">
                  <c:v>0.78389830508474578</c:v>
                </c:pt>
                <c:pt idx="31">
                  <c:v>0.78813559322033899</c:v>
                </c:pt>
                <c:pt idx="32">
                  <c:v>0.78813559322033899</c:v>
                </c:pt>
                <c:pt idx="33">
                  <c:v>0.7923728813559322</c:v>
                </c:pt>
                <c:pt idx="34">
                  <c:v>0.7923728813559322</c:v>
                </c:pt>
                <c:pt idx="35">
                  <c:v>0.79661016949152541</c:v>
                </c:pt>
                <c:pt idx="36">
                  <c:v>0.79661016949152541</c:v>
                </c:pt>
                <c:pt idx="37">
                  <c:v>0.79661016949152541</c:v>
                </c:pt>
                <c:pt idx="38">
                  <c:v>0.80084745762711862</c:v>
                </c:pt>
                <c:pt idx="39">
                  <c:v>0.80084745762711862</c:v>
                </c:pt>
                <c:pt idx="40">
                  <c:v>0.80084745762711862</c:v>
                </c:pt>
                <c:pt idx="41">
                  <c:v>0.80084745762711862</c:v>
                </c:pt>
                <c:pt idx="42">
                  <c:v>0.80084745762711862</c:v>
                </c:pt>
                <c:pt idx="43">
                  <c:v>0.80084745762711862</c:v>
                </c:pt>
                <c:pt idx="44">
                  <c:v>0.80084745762711862</c:v>
                </c:pt>
                <c:pt idx="45">
                  <c:v>0.80084745762711862</c:v>
                </c:pt>
                <c:pt idx="46">
                  <c:v>0.80084745762711862</c:v>
                </c:pt>
                <c:pt idx="47">
                  <c:v>0.80084745762711862</c:v>
                </c:pt>
                <c:pt idx="48">
                  <c:v>0.80084745762711862</c:v>
                </c:pt>
                <c:pt idx="49">
                  <c:v>0.80084745762711862</c:v>
                </c:pt>
                <c:pt idx="50">
                  <c:v>0.80084745762711862</c:v>
                </c:pt>
                <c:pt idx="51">
                  <c:v>0.80084745762711862</c:v>
                </c:pt>
              </c:numCache>
            </c:numRef>
          </c:val>
          <c:smooth val="1"/>
          <c:extLst>
            <c:ext xmlns:c16="http://schemas.microsoft.com/office/drawing/2014/chart" uri="{C3380CC4-5D6E-409C-BE32-E72D297353CC}">
              <c16:uniqueId val="{00000002-695B-49D0-8A9F-E13A62DC64EC}"/>
            </c:ext>
          </c:extLst>
        </c:ser>
        <c:ser>
          <c:idx val="3"/>
          <c:order val="3"/>
          <c:tx>
            <c:strRef>
              <c:f>'S-Curve Wkly'!$BM$9</c:f>
              <c:strCache>
                <c:ptCount val="1"/>
                <c:pt idx="0">
                  <c:v> Approval Actuals</c:v>
                </c:pt>
              </c:strCache>
            </c:strRef>
          </c:tx>
          <c:spPr>
            <a:ln w="25400" cap="rnd">
              <a:solidFill>
                <a:srgbClr val="0000CC"/>
              </a:solidFill>
              <a:round/>
            </a:ln>
            <a:effectLst/>
          </c:spPr>
          <c:marker>
            <c:symbol val="none"/>
          </c:marker>
          <c:cat>
            <c:strRef>
              <c:f>'S-Curve Wkly'!$BI$10:$BI$62</c:f>
              <c:strCache>
                <c:ptCount val="52"/>
                <c:pt idx="0">
                  <c:v>05-May-25</c:v>
                </c:pt>
                <c:pt idx="1">
                  <c:v>12-May-25</c:v>
                </c:pt>
                <c:pt idx="2">
                  <c:v>19-May-25</c:v>
                </c:pt>
                <c:pt idx="3">
                  <c:v>26-May-25</c:v>
                </c:pt>
                <c:pt idx="4">
                  <c:v>02-Jun-25</c:v>
                </c:pt>
                <c:pt idx="5">
                  <c:v>09-Jun-25</c:v>
                </c:pt>
                <c:pt idx="6">
                  <c:v>16-Jun-25</c:v>
                </c:pt>
                <c:pt idx="7">
                  <c:v>23-Jun-25</c:v>
                </c:pt>
                <c:pt idx="8">
                  <c:v>30-Jun-25</c:v>
                </c:pt>
                <c:pt idx="9">
                  <c:v>07-Jul-25</c:v>
                </c:pt>
                <c:pt idx="10">
                  <c:v>14-Jul-25</c:v>
                </c:pt>
                <c:pt idx="11">
                  <c:v>21-Jul-25</c:v>
                </c:pt>
                <c:pt idx="12">
                  <c:v>28-Jul-25</c:v>
                </c:pt>
                <c:pt idx="13">
                  <c:v>04-Aug-25</c:v>
                </c:pt>
                <c:pt idx="14">
                  <c:v>11-Aug-25</c:v>
                </c:pt>
                <c:pt idx="15">
                  <c:v>18-Aug-25</c:v>
                </c:pt>
                <c:pt idx="16">
                  <c:v>25-Aug-25</c:v>
                </c:pt>
                <c:pt idx="17">
                  <c:v>01-Sep-25</c:v>
                </c:pt>
                <c:pt idx="18">
                  <c:v>08-Sep-25</c:v>
                </c:pt>
                <c:pt idx="19">
                  <c:v>15-Sep-25</c:v>
                </c:pt>
                <c:pt idx="20">
                  <c:v>22-Sep-25</c:v>
                </c:pt>
                <c:pt idx="21">
                  <c:v>29-Sep-25</c:v>
                </c:pt>
                <c:pt idx="22">
                  <c:v>06-Oct-25</c:v>
                </c:pt>
                <c:pt idx="23">
                  <c:v>13-Oct-25</c:v>
                </c:pt>
                <c:pt idx="24">
                  <c:v>20-Oct-25</c:v>
                </c:pt>
                <c:pt idx="25">
                  <c:v>27-Oct-25</c:v>
                </c:pt>
                <c:pt idx="26">
                  <c:v>03-Nov-25</c:v>
                </c:pt>
                <c:pt idx="27">
                  <c:v>10-Nov-25</c:v>
                </c:pt>
                <c:pt idx="28">
                  <c:v>17-Nov-25</c:v>
                </c:pt>
                <c:pt idx="29">
                  <c:v>24-Nov-25</c:v>
                </c:pt>
                <c:pt idx="30">
                  <c:v>01-Dec-25</c:v>
                </c:pt>
                <c:pt idx="31">
                  <c:v>08-Dec-25</c:v>
                </c:pt>
                <c:pt idx="32">
                  <c:v>15-Dec-25</c:v>
                </c:pt>
                <c:pt idx="33">
                  <c:v>22-Dec-25</c:v>
                </c:pt>
                <c:pt idx="34">
                  <c:v>29-Dec-25</c:v>
                </c:pt>
                <c:pt idx="35">
                  <c:v>05-Jan-26</c:v>
                </c:pt>
                <c:pt idx="36">
                  <c:v>12-Jan-26</c:v>
                </c:pt>
                <c:pt idx="37">
                  <c:v>19-Jan-26</c:v>
                </c:pt>
                <c:pt idx="38">
                  <c:v>26-Jan-26</c:v>
                </c:pt>
                <c:pt idx="39">
                  <c:v>02-Feb-26</c:v>
                </c:pt>
                <c:pt idx="40">
                  <c:v>09-Feb-26</c:v>
                </c:pt>
                <c:pt idx="41">
                  <c:v>16-Feb-26</c:v>
                </c:pt>
                <c:pt idx="42">
                  <c:v>23-Feb-26</c:v>
                </c:pt>
                <c:pt idx="43">
                  <c:v>02-Mar-26</c:v>
                </c:pt>
                <c:pt idx="44">
                  <c:v>09-Mar-26</c:v>
                </c:pt>
                <c:pt idx="45">
                  <c:v>16-Mar-26</c:v>
                </c:pt>
                <c:pt idx="46">
                  <c:v>23-Mar-26</c:v>
                </c:pt>
                <c:pt idx="47">
                  <c:v>30-Mar-26</c:v>
                </c:pt>
                <c:pt idx="48">
                  <c:v>06-Apr-26</c:v>
                </c:pt>
                <c:pt idx="49">
                  <c:v>13-Apr-26</c:v>
                </c:pt>
                <c:pt idx="50">
                  <c:v>20-Apr-26</c:v>
                </c:pt>
                <c:pt idx="51">
                  <c:v>27-Apr-26</c:v>
                </c:pt>
              </c:strCache>
            </c:strRef>
          </c:cat>
          <c:val>
            <c:numRef>
              <c:f>'S-Curve Wkly'!$BM$10:$BM$62</c:f>
              <c:numCache>
                <c:formatCode>0.0%</c:formatCode>
                <c:ptCount val="52"/>
                <c:pt idx="0">
                  <c:v>0</c:v>
                </c:pt>
                <c:pt idx="1">
                  <c:v>0</c:v>
                </c:pt>
                <c:pt idx="2">
                  <c:v>0</c:v>
                </c:pt>
                <c:pt idx="3">
                  <c:v>8.050847457627118E-2</c:v>
                </c:pt>
                <c:pt idx="4">
                  <c:v>0.19915254237288135</c:v>
                </c:pt>
                <c:pt idx="5">
                  <c:v>0.19915254237288135</c:v>
                </c:pt>
                <c:pt idx="6">
                  <c:v>0.19915254237288135</c:v>
                </c:pt>
                <c:pt idx="7">
                  <c:v>0.19915254237288135</c:v>
                </c:pt>
                <c:pt idx="8">
                  <c:v>0.19915254237288135</c:v>
                </c:pt>
                <c:pt idx="9">
                  <c:v>0.25847457627118642</c:v>
                </c:pt>
                <c:pt idx="10">
                  <c:v>0.25847457627118642</c:v>
                </c:pt>
                <c:pt idx="11">
                  <c:v>0.25847457627118642</c:v>
                </c:pt>
                <c:pt idx="12">
                  <c:v>0.25847457627118642</c:v>
                </c:pt>
                <c:pt idx="13">
                  <c:v>0.25847457627118642</c:v>
                </c:pt>
                <c:pt idx="14">
                  <c:v>0.25847457627118642</c:v>
                </c:pt>
                <c:pt idx="15">
                  <c:v>0.25847457627118642</c:v>
                </c:pt>
                <c:pt idx="16">
                  <c:v>0.2711864406779661</c:v>
                </c:pt>
                <c:pt idx="17">
                  <c:v>0.2711864406779661</c:v>
                </c:pt>
                <c:pt idx="18">
                  <c:v>0.2711864406779661</c:v>
                </c:pt>
                <c:pt idx="19">
                  <c:v>0.2711864406779661</c:v>
                </c:pt>
                <c:pt idx="20">
                  <c:v>0.2711864406779661</c:v>
                </c:pt>
                <c:pt idx="21">
                  <c:v>0.2711864406779661</c:v>
                </c:pt>
                <c:pt idx="22">
                  <c:v>0.2711864406779661</c:v>
                </c:pt>
                <c:pt idx="23">
                  <c:v>0.50847457627118642</c:v>
                </c:pt>
                <c:pt idx="24">
                  <c:v>0.50847457627118642</c:v>
                </c:pt>
                <c:pt idx="25">
                  <c:v>0.56779661016949146</c:v>
                </c:pt>
                <c:pt idx="26">
                  <c:v>0.56779661016949146</c:v>
                </c:pt>
                <c:pt idx="27">
                  <c:v>0.56779661016949146</c:v>
                </c:pt>
                <c:pt idx="28">
                  <c:v>0.56779661016949146</c:v>
                </c:pt>
                <c:pt idx="29">
                  <c:v>0.56779661016949146</c:v>
                </c:pt>
                <c:pt idx="30">
                  <c:v>0.74152542372881347</c:v>
                </c:pt>
                <c:pt idx="31">
                  <c:v>0.74152542372881347</c:v>
                </c:pt>
                <c:pt idx="32">
                  <c:v>0.74152542372881347</c:v>
                </c:pt>
                <c:pt idx="33">
                  <c:v>0.74152542372881347</c:v>
                </c:pt>
                <c:pt idx="34">
                  <c:v>0.74152542372881347</c:v>
                </c:pt>
                <c:pt idx="35">
                  <c:v>0.74152542372881347</c:v>
                </c:pt>
                <c:pt idx="36">
                  <c:v>0.74152542372881347</c:v>
                </c:pt>
                <c:pt idx="37">
                  <c:v>0.74152542372881347</c:v>
                </c:pt>
                <c:pt idx="38">
                  <c:v>0.74152542372881347</c:v>
                </c:pt>
                <c:pt idx="39">
                  <c:v>0.74576271186440668</c:v>
                </c:pt>
                <c:pt idx="40">
                  <c:v>0.74576271186440668</c:v>
                </c:pt>
                <c:pt idx="41">
                  <c:v>0.84745762711864403</c:v>
                </c:pt>
                <c:pt idx="42">
                  <c:v>0.86864406779661008</c:v>
                </c:pt>
                <c:pt idx="43">
                  <c:v>0.8813559322033897</c:v>
                </c:pt>
                <c:pt idx="44">
                  <c:v>0.8813559322033897</c:v>
                </c:pt>
                <c:pt idx="45">
                  <c:v>0.8813559322033897</c:v>
                </c:pt>
                <c:pt idx="46">
                  <c:v>0.8813559322033897</c:v>
                </c:pt>
                <c:pt idx="47">
                  <c:v>0.8813559322033897</c:v>
                </c:pt>
                <c:pt idx="48">
                  <c:v>0.8813559322033897</c:v>
                </c:pt>
                <c:pt idx="49">
                  <c:v>0.8813559322033897</c:v>
                </c:pt>
                <c:pt idx="50">
                  <c:v>0.89830508474576254</c:v>
                </c:pt>
                <c:pt idx="51">
                  <c:v>0.89830508474576254</c:v>
                </c:pt>
              </c:numCache>
            </c:numRef>
          </c:val>
          <c:smooth val="1"/>
          <c:extLst>
            <c:ext xmlns:c16="http://schemas.microsoft.com/office/drawing/2014/chart" uri="{C3380CC4-5D6E-409C-BE32-E72D297353CC}">
              <c16:uniqueId val="{00000003-695B-49D0-8A9F-E13A62DC64EC}"/>
            </c:ext>
          </c:extLst>
        </c:ser>
        <c:dLbls>
          <c:showLegendKey val="0"/>
          <c:showVal val="0"/>
          <c:showCatName val="0"/>
          <c:showSerName val="0"/>
          <c:showPercent val="0"/>
          <c:showBubbleSize val="0"/>
        </c:dLbls>
        <c:smooth val="0"/>
        <c:axId val="1381593871"/>
        <c:axId val="749329167"/>
      </c:lineChart>
      <c:catAx>
        <c:axId val="138159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749329167"/>
        <c:crosses val="autoZero"/>
        <c:auto val="1"/>
        <c:lblAlgn val="ctr"/>
        <c:lblOffset val="100"/>
        <c:noMultiLvlLbl val="0"/>
      </c:catAx>
      <c:valAx>
        <c:axId val="749329167"/>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381593871"/>
        <c:crosses val="autoZero"/>
        <c:crossBetween val="between"/>
        <c:majorUnit val="0.2"/>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[Civil_Project_Tracker_Datasheets.xlsx]S-Curve Monthly!PivotTable1</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400" b="1" i="0" u="none" strike="noStrike" kern="1200" spc="0" baseline="0">
                <a:solidFill>
                  <a:sysClr val="windowText" lastClr="000000"/>
                </a:solidFill>
              </a:rPr>
              <a:t>Structural S-Curve (Monthly)</a:t>
            </a:r>
            <a:endParaRPr lang="en-IN" sz="14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ln w="25400"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5400"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5400" cap="rnd">
            <a:solidFill>
              <a:srgbClr val="0000C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'S-Curve Monthly'!$B$1</c:f>
              <c:strCache>
                <c:ptCount val="1"/>
                <c:pt idx="0">
                  <c:v> Submission_1 Plan</c:v>
                </c:pt>
              </c:strCache>
            </c:strRef>
          </c:tx>
          <c:spPr>
            <a:ln w="25400" cap="rnd">
              <a:solidFill>
                <a:srgbClr val="00B050"/>
              </a:solidFill>
              <a:round/>
            </a:ln>
            <a:effectLst/>
          </c:spPr>
          <c:marker>
            <c:symbol val="none"/>
          </c:marker>
          <c:cat>
            <c:strRef>
              <c:f>'S-Curve Monthly'!$A$2:$A$16</c:f>
              <c:strCache>
                <c:ptCount val="14"/>
                <c:pt idx="0">
                  <c:v>Feb-2025</c:v>
                </c:pt>
                <c:pt idx="1">
                  <c:v>Mar-2025</c:v>
                </c:pt>
                <c:pt idx="2">
                  <c:v>Apr-2025</c:v>
                </c:pt>
                <c:pt idx="3">
                  <c:v>May-2025</c:v>
                </c:pt>
                <c:pt idx="4">
                  <c:v>Jun-2025</c:v>
                </c:pt>
                <c:pt idx="5">
                  <c:v>Jul-2025</c:v>
                </c:pt>
                <c:pt idx="6">
                  <c:v>Aug-2025</c:v>
                </c:pt>
                <c:pt idx="7">
                  <c:v>Sep-2025</c:v>
                </c:pt>
                <c:pt idx="8">
                  <c:v>Oct-2025</c:v>
                </c:pt>
                <c:pt idx="9">
                  <c:v>Nov-2025</c:v>
                </c:pt>
                <c:pt idx="10">
                  <c:v>Dec-2025</c:v>
                </c:pt>
                <c:pt idx="11">
                  <c:v>Jan-2026</c:v>
                </c:pt>
                <c:pt idx="12">
                  <c:v>Feb-2026</c:v>
                </c:pt>
                <c:pt idx="13">
                  <c:v>Mar-2026</c:v>
                </c:pt>
              </c:strCache>
            </c:strRef>
          </c:cat>
          <c:val>
            <c:numRef>
              <c:f>'S-Curve Monthly'!$B$2:$B$16</c:f>
              <c:numCache>
                <c:formatCode>0.0%</c:formatCode>
                <c:ptCount val="14"/>
                <c:pt idx="0">
                  <c:v>0</c:v>
                </c:pt>
                <c:pt idx="1">
                  <c:v>0.20218579234972678</c:v>
                </c:pt>
                <c:pt idx="2">
                  <c:v>0.22950819672131148</c:v>
                </c:pt>
                <c:pt idx="3">
                  <c:v>0.31693989071038253</c:v>
                </c:pt>
                <c:pt idx="4">
                  <c:v>0.45901639344262296</c:v>
                </c:pt>
                <c:pt idx="5">
                  <c:v>0.57377049180327866</c:v>
                </c:pt>
                <c:pt idx="6">
                  <c:v>0.57377049180327866</c:v>
                </c:pt>
                <c:pt idx="7">
                  <c:v>0.57377049180327866</c:v>
                </c:pt>
                <c:pt idx="8">
                  <c:v>0.65573770491803274</c:v>
                </c:pt>
                <c:pt idx="9">
                  <c:v>0.74316939890710376</c:v>
                </c:pt>
                <c:pt idx="10">
                  <c:v>0.86885245901639341</c:v>
                </c:pt>
                <c:pt idx="11">
                  <c:v>0.86885245901639341</c:v>
                </c:pt>
                <c:pt idx="12">
                  <c:v>1</c:v>
                </c:pt>
                <c:pt idx="13">
                  <c:v>1</c:v>
                </c:pt>
              </c:numCache>
            </c:numRef>
          </c:val>
          <c:smooth val="1"/>
          <c:extLst>
            <c:ext xmlns:c16="http://schemas.microsoft.com/office/drawing/2014/chart" uri="{C3380CC4-5D6E-409C-BE32-E72D297353CC}">
              <c16:uniqueId val="{00000000-3379-4E41-A288-69F109514392}"/>
            </c:ext>
          </c:extLst>
        </c:ser>
        <c:ser>
          <c:idx val="1"/>
          <c:order val="1"/>
          <c:tx>
            <c:strRef>
              <c:f>'S-Curve Monthly'!$C$1</c:f>
              <c:strCache>
                <c:ptCount val="1"/>
                <c:pt idx="0">
                  <c:v> Submission_1 Actuals</c:v>
                </c:pt>
              </c:strCache>
            </c:strRef>
          </c:tx>
          <c:spPr>
            <a:ln w="25400" cap="rnd">
              <a:solidFill>
                <a:srgbClr val="C00000"/>
              </a:solidFill>
              <a:round/>
            </a:ln>
            <a:effectLst/>
          </c:spPr>
          <c:marker>
            <c:symbol val="none"/>
          </c:marker>
          <c:cat>
            <c:strRef>
              <c:f>'S-Curve Monthly'!$A$2:$A$16</c:f>
              <c:strCache>
                <c:ptCount val="14"/>
                <c:pt idx="0">
                  <c:v>Feb-2025</c:v>
                </c:pt>
                <c:pt idx="1">
                  <c:v>Mar-2025</c:v>
                </c:pt>
                <c:pt idx="2">
                  <c:v>Apr-2025</c:v>
                </c:pt>
                <c:pt idx="3">
                  <c:v>May-2025</c:v>
                </c:pt>
                <c:pt idx="4">
                  <c:v>Jun-2025</c:v>
                </c:pt>
                <c:pt idx="5">
                  <c:v>Jul-2025</c:v>
                </c:pt>
                <c:pt idx="6">
                  <c:v>Aug-2025</c:v>
                </c:pt>
                <c:pt idx="7">
                  <c:v>Sep-2025</c:v>
                </c:pt>
                <c:pt idx="8">
                  <c:v>Oct-2025</c:v>
                </c:pt>
                <c:pt idx="9">
                  <c:v>Nov-2025</c:v>
                </c:pt>
                <c:pt idx="10">
                  <c:v>Dec-2025</c:v>
                </c:pt>
                <c:pt idx="11">
                  <c:v>Jan-2026</c:v>
                </c:pt>
                <c:pt idx="12">
                  <c:v>Feb-2026</c:v>
                </c:pt>
                <c:pt idx="13">
                  <c:v>Mar-2026</c:v>
                </c:pt>
              </c:strCache>
            </c:strRef>
          </c:cat>
          <c:val>
            <c:numRef>
              <c:f>'S-Curve Monthly'!$C$2:$C$16</c:f>
              <c:numCache>
                <c:formatCode>0.0%</c:formatCode>
                <c:ptCount val="14"/>
                <c:pt idx="0">
                  <c:v>0</c:v>
                </c:pt>
                <c:pt idx="1">
                  <c:v>0.14754098360655737</c:v>
                </c:pt>
                <c:pt idx="2">
                  <c:v>0.25683060109289618</c:v>
                </c:pt>
                <c:pt idx="3">
                  <c:v>0.27322404371584702</c:v>
                </c:pt>
                <c:pt idx="4">
                  <c:v>0.34426229508196726</c:v>
                </c:pt>
                <c:pt idx="5">
                  <c:v>0.45355191256830607</c:v>
                </c:pt>
                <c:pt idx="6">
                  <c:v>0.56284153005464488</c:v>
                </c:pt>
                <c:pt idx="7">
                  <c:v>0.6010928961748635</c:v>
                </c:pt>
                <c:pt idx="8">
                  <c:v>0.6502732240437159</c:v>
                </c:pt>
                <c:pt idx="9">
                  <c:v>0.75409836065573776</c:v>
                </c:pt>
                <c:pt idx="10">
                  <c:v>0.82513661202185795</c:v>
                </c:pt>
                <c:pt idx="11">
                  <c:v>0.85792349726775963</c:v>
                </c:pt>
                <c:pt idx="12">
                  <c:v>0.93442622950819676</c:v>
                </c:pt>
                <c:pt idx="13">
                  <c:v>0.94535519125683065</c:v>
                </c:pt>
              </c:numCache>
            </c:numRef>
          </c:val>
          <c:smooth val="1"/>
          <c:extLst>
            <c:ext xmlns:c16="http://schemas.microsoft.com/office/drawing/2014/chart" uri="{C3380CC4-5D6E-409C-BE32-E72D297353CC}">
              <c16:uniqueId val="{00000002-3379-4E41-A288-69F109514392}"/>
            </c:ext>
          </c:extLst>
        </c:ser>
        <c:ser>
          <c:idx val="2"/>
          <c:order val="2"/>
          <c:tx>
            <c:strRef>
              <c:f>'S-Curve Monthly'!$D$1</c:f>
              <c:strCache>
                <c:ptCount val="1"/>
                <c:pt idx="0">
                  <c:v> Approval Plan</c:v>
                </c:pt>
              </c:strCache>
            </c:strRef>
          </c:tx>
          <c:spPr>
            <a:ln w="25400" cap="rnd">
              <a:solidFill>
                <a:schemeClr val="tx1"/>
              </a:solidFill>
              <a:round/>
            </a:ln>
            <a:effectLst/>
          </c:spPr>
          <c:marker>
            <c:symbol val="none"/>
          </c:marker>
          <c:cat>
            <c:strRef>
              <c:f>'S-Curve Monthly'!$A$2:$A$16</c:f>
              <c:strCache>
                <c:ptCount val="14"/>
                <c:pt idx="0">
                  <c:v>Feb-2025</c:v>
                </c:pt>
                <c:pt idx="1">
                  <c:v>Mar-2025</c:v>
                </c:pt>
                <c:pt idx="2">
                  <c:v>Apr-2025</c:v>
                </c:pt>
                <c:pt idx="3">
                  <c:v>May-2025</c:v>
                </c:pt>
                <c:pt idx="4">
                  <c:v>Jun-2025</c:v>
                </c:pt>
                <c:pt idx="5">
                  <c:v>Jul-2025</c:v>
                </c:pt>
                <c:pt idx="6">
                  <c:v>Aug-2025</c:v>
                </c:pt>
                <c:pt idx="7">
                  <c:v>Sep-2025</c:v>
                </c:pt>
                <c:pt idx="8">
                  <c:v>Oct-2025</c:v>
                </c:pt>
                <c:pt idx="9">
                  <c:v>Nov-2025</c:v>
                </c:pt>
                <c:pt idx="10">
                  <c:v>Dec-2025</c:v>
                </c:pt>
                <c:pt idx="11">
                  <c:v>Jan-2026</c:v>
                </c:pt>
                <c:pt idx="12">
                  <c:v>Feb-2026</c:v>
                </c:pt>
                <c:pt idx="13">
                  <c:v>Mar-2026</c:v>
                </c:pt>
              </c:strCache>
            </c:strRef>
          </c:cat>
          <c:val>
            <c:numRef>
              <c:f>'S-Curve Monthly'!$D$2:$D$16</c:f>
              <c:numCache>
                <c:formatCode>0.0%</c:formatCode>
                <c:ptCount val="14"/>
                <c:pt idx="0">
                  <c:v>0</c:v>
                </c:pt>
                <c:pt idx="1">
                  <c:v>8.1967213114754092E-2</c:v>
                </c:pt>
                <c:pt idx="2">
                  <c:v>0.21311475409836067</c:v>
                </c:pt>
                <c:pt idx="3">
                  <c:v>0.24043715846994537</c:v>
                </c:pt>
                <c:pt idx="4">
                  <c:v>0.32786885245901642</c:v>
                </c:pt>
                <c:pt idx="5">
                  <c:v>0.4754098360655738</c:v>
                </c:pt>
                <c:pt idx="6">
                  <c:v>0.60655737704918034</c:v>
                </c:pt>
                <c:pt idx="7">
                  <c:v>0.60655737704918034</c:v>
                </c:pt>
                <c:pt idx="8">
                  <c:v>0.61748633879781423</c:v>
                </c:pt>
                <c:pt idx="9">
                  <c:v>0.73770491803278693</c:v>
                </c:pt>
                <c:pt idx="10">
                  <c:v>0.75956284153005471</c:v>
                </c:pt>
                <c:pt idx="11">
                  <c:v>0.86885245901639352</c:v>
                </c:pt>
                <c:pt idx="12">
                  <c:v>0.86885245901639352</c:v>
                </c:pt>
                <c:pt idx="13">
                  <c:v>1</c:v>
                </c:pt>
              </c:numCache>
            </c:numRef>
          </c:val>
          <c:smooth val="1"/>
          <c:extLst>
            <c:ext xmlns:c16="http://schemas.microsoft.com/office/drawing/2014/chart" uri="{C3380CC4-5D6E-409C-BE32-E72D297353CC}">
              <c16:uniqueId val="{00000003-3379-4E41-A288-69F109514392}"/>
            </c:ext>
          </c:extLst>
        </c:ser>
        <c:ser>
          <c:idx val="3"/>
          <c:order val="3"/>
          <c:tx>
            <c:strRef>
              <c:f>'S-Curve Monthly'!$E$1</c:f>
              <c:strCache>
                <c:ptCount val="1"/>
                <c:pt idx="0">
                  <c:v> Approval Actuals</c:v>
                </c:pt>
              </c:strCache>
            </c:strRef>
          </c:tx>
          <c:spPr>
            <a:ln w="25400" cap="rnd">
              <a:solidFill>
                <a:srgbClr val="0000CC"/>
              </a:solidFill>
              <a:round/>
            </a:ln>
            <a:effectLst/>
          </c:spPr>
          <c:marker>
            <c:symbol val="none"/>
          </c:marker>
          <c:cat>
            <c:strRef>
              <c:f>'S-Curve Monthly'!$A$2:$A$16</c:f>
              <c:strCache>
                <c:ptCount val="14"/>
                <c:pt idx="0">
                  <c:v>Feb-2025</c:v>
                </c:pt>
                <c:pt idx="1">
                  <c:v>Mar-2025</c:v>
                </c:pt>
                <c:pt idx="2">
                  <c:v>Apr-2025</c:v>
                </c:pt>
                <c:pt idx="3">
                  <c:v>May-2025</c:v>
                </c:pt>
                <c:pt idx="4">
                  <c:v>Jun-2025</c:v>
                </c:pt>
                <c:pt idx="5">
                  <c:v>Jul-2025</c:v>
                </c:pt>
                <c:pt idx="6">
                  <c:v>Aug-2025</c:v>
                </c:pt>
                <c:pt idx="7">
                  <c:v>Sep-2025</c:v>
                </c:pt>
                <c:pt idx="8">
                  <c:v>Oct-2025</c:v>
                </c:pt>
                <c:pt idx="9">
                  <c:v>Nov-2025</c:v>
                </c:pt>
                <c:pt idx="10">
                  <c:v>Dec-2025</c:v>
                </c:pt>
                <c:pt idx="11">
                  <c:v>Jan-2026</c:v>
                </c:pt>
                <c:pt idx="12">
                  <c:v>Feb-2026</c:v>
                </c:pt>
                <c:pt idx="13">
                  <c:v>Mar-2026</c:v>
                </c:pt>
              </c:strCache>
            </c:strRef>
          </c:cat>
          <c:val>
            <c:numRef>
              <c:f>'S-Curve Monthly'!$E$2:$E$16</c:f>
              <c:numCache>
                <c:formatCode>0.0%</c:formatCode>
                <c:ptCount val="14"/>
                <c:pt idx="0">
                  <c:v>0</c:v>
                </c:pt>
                <c:pt idx="1">
                  <c:v>8.1967213114754092E-2</c:v>
                </c:pt>
                <c:pt idx="2">
                  <c:v>9.8360655737704916E-2</c:v>
                </c:pt>
                <c:pt idx="3">
                  <c:v>0.15300546448087432</c:v>
                </c:pt>
                <c:pt idx="4">
                  <c:v>0.22950819672131148</c:v>
                </c:pt>
                <c:pt idx="5">
                  <c:v>0.27322404371584702</c:v>
                </c:pt>
                <c:pt idx="6">
                  <c:v>0.30601092896174864</c:v>
                </c:pt>
                <c:pt idx="7">
                  <c:v>0.36612021857923499</c:v>
                </c:pt>
                <c:pt idx="8">
                  <c:v>0.52459016393442626</c:v>
                </c:pt>
                <c:pt idx="9">
                  <c:v>0.52459016393442626</c:v>
                </c:pt>
                <c:pt idx="10">
                  <c:v>0.75409836065573776</c:v>
                </c:pt>
                <c:pt idx="11">
                  <c:v>0.75956284153005471</c:v>
                </c:pt>
                <c:pt idx="12">
                  <c:v>0.84153005464480879</c:v>
                </c:pt>
                <c:pt idx="13">
                  <c:v>0.84153005464480879</c:v>
                </c:pt>
              </c:numCache>
            </c:numRef>
          </c:val>
          <c:smooth val="1"/>
          <c:extLst>
            <c:ext xmlns:c16="http://schemas.microsoft.com/office/drawing/2014/chart" uri="{C3380CC4-5D6E-409C-BE32-E72D297353CC}">
              <c16:uniqueId val="{00000004-3379-4E41-A288-69F109514392}"/>
            </c:ext>
          </c:extLst>
        </c:ser>
        <c:dLbls>
          <c:showLegendKey val="0"/>
          <c:showVal val="0"/>
          <c:showCatName val="0"/>
          <c:showSerName val="0"/>
          <c:showPercent val="0"/>
          <c:showBubbleSize val="0"/>
        </c:dLbls>
        <c:smooth val="0"/>
        <c:axId val="1007673504"/>
        <c:axId val="865266768"/>
      </c:lineChart>
      <c:catAx>
        <c:axId val="1007673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65266768"/>
        <c:crosses val="autoZero"/>
        <c:auto val="1"/>
        <c:lblAlgn val="ctr"/>
        <c:lblOffset val="100"/>
        <c:noMultiLvlLbl val="0"/>
      </c:catAx>
      <c:valAx>
        <c:axId val="86526676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076735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[Civil_Project_Tracker_Datasheets.xlsx]S-Curve Monthly!PivotTable2</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400" b="1" i="0" u="none" strike="noStrike" kern="1200" spc="0" baseline="0">
                <a:solidFill>
                  <a:sysClr val="windowText" lastClr="000000"/>
                </a:solidFill>
              </a:rPr>
              <a:t>Architecture S-Curve (Monthly)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ln w="25400"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5400"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5400" cap="rnd">
            <a:solidFill>
              <a:srgbClr val="0000C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'S-Curve Monthly'!$AB$1</c:f>
              <c:strCache>
                <c:ptCount val="1"/>
                <c:pt idx="0">
                  <c:v> Submission_1 Plan</c:v>
                </c:pt>
              </c:strCache>
            </c:strRef>
          </c:tx>
          <c:spPr>
            <a:ln w="25400" cap="rnd">
              <a:solidFill>
                <a:srgbClr val="00B050"/>
              </a:solidFill>
              <a:round/>
            </a:ln>
            <a:effectLst/>
          </c:spPr>
          <c:marker>
            <c:symbol val="none"/>
          </c:marker>
          <c:cat>
            <c:strRef>
              <c:f>'S-Curve Monthly'!$AA$2:$AA$13</c:f>
              <c:strCache>
                <c:ptCount val="11"/>
                <c:pt idx="0">
                  <c:v>Mar-2025</c:v>
                </c:pt>
                <c:pt idx="1">
                  <c:v>Apr-2025</c:v>
                </c:pt>
                <c:pt idx="2">
                  <c:v>May-2025</c:v>
                </c:pt>
                <c:pt idx="3">
                  <c:v>Jun-2025</c:v>
                </c:pt>
                <c:pt idx="4">
                  <c:v>Jul-2025</c:v>
                </c:pt>
                <c:pt idx="5">
                  <c:v>Aug-2025</c:v>
                </c:pt>
                <c:pt idx="6">
                  <c:v>Sep-2025</c:v>
                </c:pt>
                <c:pt idx="7">
                  <c:v>Oct-2025</c:v>
                </c:pt>
                <c:pt idx="8">
                  <c:v>Nov-2025</c:v>
                </c:pt>
                <c:pt idx="9">
                  <c:v>Dec-2025</c:v>
                </c:pt>
                <c:pt idx="10">
                  <c:v>Jan-2026</c:v>
                </c:pt>
              </c:strCache>
            </c:strRef>
          </c:cat>
          <c:val>
            <c:numRef>
              <c:f>'S-Curve Monthly'!$AB$2:$AB$13</c:f>
              <c:numCache>
                <c:formatCode>0.0%</c:formatCode>
                <c:ptCount val="11"/>
                <c:pt idx="0">
                  <c:v>0.13821138211382114</c:v>
                </c:pt>
                <c:pt idx="1">
                  <c:v>0.25203252032520324</c:v>
                </c:pt>
                <c:pt idx="2">
                  <c:v>0.41463414634146339</c:v>
                </c:pt>
                <c:pt idx="3">
                  <c:v>0.43902439024390244</c:v>
                </c:pt>
                <c:pt idx="4">
                  <c:v>0.43902439024390244</c:v>
                </c:pt>
                <c:pt idx="5">
                  <c:v>0.44715447154471544</c:v>
                </c:pt>
                <c:pt idx="6">
                  <c:v>0.44715447154471544</c:v>
                </c:pt>
                <c:pt idx="7">
                  <c:v>0.49593495934959347</c:v>
                </c:pt>
                <c:pt idx="8">
                  <c:v>0.65040650406504064</c:v>
                </c:pt>
                <c:pt idx="9">
                  <c:v>1</c:v>
                </c:pt>
                <c:pt idx="10">
                  <c:v>1</c:v>
                </c:pt>
              </c:numCache>
            </c:numRef>
          </c:val>
          <c:smooth val="1"/>
          <c:extLst>
            <c:ext xmlns:c16="http://schemas.microsoft.com/office/drawing/2014/chart" uri="{C3380CC4-5D6E-409C-BE32-E72D297353CC}">
              <c16:uniqueId val="{00000000-ED0A-4DE8-94EA-29D965A4A93F}"/>
            </c:ext>
          </c:extLst>
        </c:ser>
        <c:ser>
          <c:idx val="1"/>
          <c:order val="1"/>
          <c:tx>
            <c:strRef>
              <c:f>'S-Curve Monthly'!$AC$1</c:f>
              <c:strCache>
                <c:ptCount val="1"/>
                <c:pt idx="0">
                  <c:v> Submission_1 Actuals</c:v>
                </c:pt>
              </c:strCache>
            </c:strRef>
          </c:tx>
          <c:spPr>
            <a:ln w="25400" cap="rnd">
              <a:solidFill>
                <a:srgbClr val="C00000"/>
              </a:solidFill>
              <a:round/>
            </a:ln>
            <a:effectLst/>
          </c:spPr>
          <c:marker>
            <c:symbol val="none"/>
          </c:marker>
          <c:cat>
            <c:strRef>
              <c:f>'S-Curve Monthly'!$AA$2:$AA$13</c:f>
              <c:strCache>
                <c:ptCount val="11"/>
                <c:pt idx="0">
                  <c:v>Mar-2025</c:v>
                </c:pt>
                <c:pt idx="1">
                  <c:v>Apr-2025</c:v>
                </c:pt>
                <c:pt idx="2">
                  <c:v>May-2025</c:v>
                </c:pt>
                <c:pt idx="3">
                  <c:v>Jun-2025</c:v>
                </c:pt>
                <c:pt idx="4">
                  <c:v>Jul-2025</c:v>
                </c:pt>
                <c:pt idx="5">
                  <c:v>Aug-2025</c:v>
                </c:pt>
                <c:pt idx="6">
                  <c:v>Sep-2025</c:v>
                </c:pt>
                <c:pt idx="7">
                  <c:v>Oct-2025</c:v>
                </c:pt>
                <c:pt idx="8">
                  <c:v>Nov-2025</c:v>
                </c:pt>
                <c:pt idx="9">
                  <c:v>Dec-2025</c:v>
                </c:pt>
                <c:pt idx="10">
                  <c:v>Jan-2026</c:v>
                </c:pt>
              </c:strCache>
            </c:strRef>
          </c:cat>
          <c:val>
            <c:numRef>
              <c:f>'S-Curve Monthly'!$AC$2:$AC$13</c:f>
              <c:numCache>
                <c:formatCode>0.0%</c:formatCode>
                <c:ptCount val="11"/>
                <c:pt idx="0">
                  <c:v>0.14634146341463414</c:v>
                </c:pt>
                <c:pt idx="1">
                  <c:v>0.26016260162601623</c:v>
                </c:pt>
                <c:pt idx="2">
                  <c:v>0.32520325203252032</c:v>
                </c:pt>
                <c:pt idx="3">
                  <c:v>0.42276422764227639</c:v>
                </c:pt>
                <c:pt idx="4">
                  <c:v>0.45528455284552843</c:v>
                </c:pt>
                <c:pt idx="5">
                  <c:v>0.47154471544715443</c:v>
                </c:pt>
                <c:pt idx="6">
                  <c:v>0.47154471544715443</c:v>
                </c:pt>
                <c:pt idx="7">
                  <c:v>0.53658536585365846</c:v>
                </c:pt>
                <c:pt idx="8">
                  <c:v>0.72357723577235766</c:v>
                </c:pt>
                <c:pt idx="9">
                  <c:v>0.92682926829268286</c:v>
                </c:pt>
                <c:pt idx="10">
                  <c:v>0.94308943089430886</c:v>
                </c:pt>
              </c:numCache>
            </c:numRef>
          </c:val>
          <c:smooth val="1"/>
          <c:extLst>
            <c:ext xmlns:c16="http://schemas.microsoft.com/office/drawing/2014/chart" uri="{C3380CC4-5D6E-409C-BE32-E72D297353CC}">
              <c16:uniqueId val="{00000002-ED0A-4DE8-94EA-29D965A4A93F}"/>
            </c:ext>
          </c:extLst>
        </c:ser>
        <c:ser>
          <c:idx val="2"/>
          <c:order val="2"/>
          <c:tx>
            <c:strRef>
              <c:f>'S-Curve Monthly'!$AD$1</c:f>
              <c:strCache>
                <c:ptCount val="1"/>
                <c:pt idx="0">
                  <c:v> Approval Plan</c:v>
                </c:pt>
              </c:strCache>
            </c:strRef>
          </c:tx>
          <c:spPr>
            <a:ln w="25400" cap="rnd">
              <a:solidFill>
                <a:schemeClr val="tx1"/>
              </a:solidFill>
              <a:round/>
            </a:ln>
            <a:effectLst/>
          </c:spPr>
          <c:marker>
            <c:symbol val="none"/>
          </c:marker>
          <c:cat>
            <c:strRef>
              <c:f>'S-Curve Monthly'!$AA$2:$AA$13</c:f>
              <c:strCache>
                <c:ptCount val="11"/>
                <c:pt idx="0">
                  <c:v>Mar-2025</c:v>
                </c:pt>
                <c:pt idx="1">
                  <c:v>Apr-2025</c:v>
                </c:pt>
                <c:pt idx="2">
                  <c:v>May-2025</c:v>
                </c:pt>
                <c:pt idx="3">
                  <c:v>Jun-2025</c:v>
                </c:pt>
                <c:pt idx="4">
                  <c:v>Jul-2025</c:v>
                </c:pt>
                <c:pt idx="5">
                  <c:v>Aug-2025</c:v>
                </c:pt>
                <c:pt idx="6">
                  <c:v>Sep-2025</c:v>
                </c:pt>
                <c:pt idx="7">
                  <c:v>Oct-2025</c:v>
                </c:pt>
                <c:pt idx="8">
                  <c:v>Nov-2025</c:v>
                </c:pt>
                <c:pt idx="9">
                  <c:v>Dec-2025</c:v>
                </c:pt>
                <c:pt idx="10">
                  <c:v>Jan-2026</c:v>
                </c:pt>
              </c:strCache>
            </c:strRef>
          </c:cat>
          <c:val>
            <c:numRef>
              <c:f>'S-Curve Monthly'!$AD$2:$AD$13</c:f>
              <c:numCache>
                <c:formatCode>0.0%</c:formatCode>
                <c:ptCount val="11"/>
                <c:pt idx="0">
                  <c:v>0.13821138211382114</c:v>
                </c:pt>
                <c:pt idx="1">
                  <c:v>0.13821138211382114</c:v>
                </c:pt>
                <c:pt idx="2">
                  <c:v>0.25203252032520324</c:v>
                </c:pt>
                <c:pt idx="3">
                  <c:v>0.41463414634146339</c:v>
                </c:pt>
                <c:pt idx="4">
                  <c:v>0.43902439024390244</c:v>
                </c:pt>
                <c:pt idx="5">
                  <c:v>0.44715447154471544</c:v>
                </c:pt>
                <c:pt idx="6">
                  <c:v>0.44715447154471544</c:v>
                </c:pt>
                <c:pt idx="7">
                  <c:v>0.44715447154471544</c:v>
                </c:pt>
                <c:pt idx="8">
                  <c:v>0.55284552845528456</c:v>
                </c:pt>
                <c:pt idx="9">
                  <c:v>0.75609756097560976</c:v>
                </c:pt>
                <c:pt idx="10">
                  <c:v>1</c:v>
                </c:pt>
              </c:numCache>
            </c:numRef>
          </c:val>
          <c:smooth val="1"/>
          <c:extLst>
            <c:ext xmlns:c16="http://schemas.microsoft.com/office/drawing/2014/chart" uri="{C3380CC4-5D6E-409C-BE32-E72D297353CC}">
              <c16:uniqueId val="{00000003-ED0A-4DE8-94EA-29D965A4A93F}"/>
            </c:ext>
          </c:extLst>
        </c:ser>
        <c:ser>
          <c:idx val="3"/>
          <c:order val="3"/>
          <c:tx>
            <c:strRef>
              <c:f>'S-Curve Monthly'!$AE$1</c:f>
              <c:strCache>
                <c:ptCount val="1"/>
                <c:pt idx="0">
                  <c:v> Approval Actuals</c:v>
                </c:pt>
              </c:strCache>
            </c:strRef>
          </c:tx>
          <c:spPr>
            <a:ln w="25400" cap="rnd">
              <a:solidFill>
                <a:srgbClr val="0000CC"/>
              </a:solidFill>
              <a:round/>
            </a:ln>
            <a:effectLst/>
          </c:spPr>
          <c:marker>
            <c:symbol val="none"/>
          </c:marker>
          <c:cat>
            <c:strRef>
              <c:f>'S-Curve Monthly'!$AA$2:$AA$13</c:f>
              <c:strCache>
                <c:ptCount val="11"/>
                <c:pt idx="0">
                  <c:v>Mar-2025</c:v>
                </c:pt>
                <c:pt idx="1">
                  <c:v>Apr-2025</c:v>
                </c:pt>
                <c:pt idx="2">
                  <c:v>May-2025</c:v>
                </c:pt>
                <c:pt idx="3">
                  <c:v>Jun-2025</c:v>
                </c:pt>
                <c:pt idx="4">
                  <c:v>Jul-2025</c:v>
                </c:pt>
                <c:pt idx="5">
                  <c:v>Aug-2025</c:v>
                </c:pt>
                <c:pt idx="6">
                  <c:v>Sep-2025</c:v>
                </c:pt>
                <c:pt idx="7">
                  <c:v>Oct-2025</c:v>
                </c:pt>
                <c:pt idx="8">
                  <c:v>Nov-2025</c:v>
                </c:pt>
                <c:pt idx="9">
                  <c:v>Dec-2025</c:v>
                </c:pt>
                <c:pt idx="10">
                  <c:v>Jan-2026</c:v>
                </c:pt>
              </c:strCache>
            </c:strRef>
          </c:cat>
          <c:val>
            <c:numRef>
              <c:f>'S-Curve Monthly'!$AE$2:$AE$13</c:f>
              <c:numCache>
                <c:formatCode>0.0%</c:formatCode>
                <c:ptCount val="11"/>
                <c:pt idx="0">
                  <c:v>0.13821138211382114</c:v>
                </c:pt>
                <c:pt idx="1">
                  <c:v>0.13821138211382114</c:v>
                </c:pt>
                <c:pt idx="2">
                  <c:v>0.15447154471544716</c:v>
                </c:pt>
                <c:pt idx="3">
                  <c:v>0.15447154471544716</c:v>
                </c:pt>
                <c:pt idx="4">
                  <c:v>0.21951219512195125</c:v>
                </c:pt>
                <c:pt idx="5">
                  <c:v>0.23577235772357727</c:v>
                </c:pt>
                <c:pt idx="6">
                  <c:v>0.41463414634146345</c:v>
                </c:pt>
                <c:pt idx="7">
                  <c:v>0.45528455284552849</c:v>
                </c:pt>
                <c:pt idx="8">
                  <c:v>0.49593495934959353</c:v>
                </c:pt>
                <c:pt idx="9">
                  <c:v>0.86178861788617889</c:v>
                </c:pt>
                <c:pt idx="10">
                  <c:v>0.89430894308943087</c:v>
                </c:pt>
              </c:numCache>
            </c:numRef>
          </c:val>
          <c:smooth val="1"/>
          <c:extLst>
            <c:ext xmlns:c16="http://schemas.microsoft.com/office/drawing/2014/chart" uri="{C3380CC4-5D6E-409C-BE32-E72D297353CC}">
              <c16:uniqueId val="{00000004-ED0A-4DE8-94EA-29D965A4A93F}"/>
            </c:ext>
          </c:extLst>
        </c:ser>
        <c:dLbls>
          <c:showLegendKey val="0"/>
          <c:showVal val="0"/>
          <c:showCatName val="0"/>
          <c:showSerName val="0"/>
          <c:showPercent val="0"/>
          <c:showBubbleSize val="0"/>
        </c:dLbls>
        <c:smooth val="0"/>
        <c:axId val="1640960864"/>
        <c:axId val="865335888"/>
      </c:lineChart>
      <c:catAx>
        <c:axId val="164096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65335888"/>
        <c:crosses val="autoZero"/>
        <c:auto val="1"/>
        <c:lblAlgn val="ctr"/>
        <c:lblOffset val="100"/>
        <c:noMultiLvlLbl val="0"/>
      </c:catAx>
      <c:valAx>
        <c:axId val="8653358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4096086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[Civil_Project_Tracker_Datasheets.xlsx]S-Curve Monthly!PivotTable3</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sz="1400" b="1" i="0" u="none" strike="noStrike" kern="1200" spc="0" baseline="0">
                <a:solidFill>
                  <a:sysClr val="windowText" lastClr="000000"/>
                </a:solidFill>
              </a:rPr>
              <a:t>MEP S-Curve (Monthly)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IN"/>
        </a:p>
      </c:txPr>
    </c:title>
    <c:autoTitleDeleted val="0"/>
    <c:pivotFmts>
      <c:pivotFmt>
        <c:idx val="0"/>
        <c:spPr>
          <a:ln w="25400"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5400"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5400" cap="rnd">
            <a:solidFill>
              <a:srgbClr val="0000C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'S-Curve Monthly'!$BB$1</c:f>
              <c:strCache>
                <c:ptCount val="1"/>
                <c:pt idx="0">
                  <c:v> Submission_1 Plan</c:v>
                </c:pt>
              </c:strCache>
            </c:strRef>
          </c:tx>
          <c:spPr>
            <a:ln w="25400" cap="rnd">
              <a:solidFill>
                <a:srgbClr val="00B050"/>
              </a:solidFill>
              <a:round/>
            </a:ln>
            <a:effectLst/>
          </c:spPr>
          <c:marker>
            <c:symbol val="none"/>
          </c:marker>
          <c:cat>
            <c:strRef>
              <c:f>'S-Curve Monthly'!$BA$2:$BA$13</c:f>
              <c:strCache>
                <c:ptCount val="11"/>
                <c:pt idx="0">
                  <c:v>Feb-2025</c:v>
                </c:pt>
                <c:pt idx="1">
                  <c:v>Mar-2025</c:v>
                </c:pt>
                <c:pt idx="2">
                  <c:v>Apr-2025</c:v>
                </c:pt>
                <c:pt idx="3">
                  <c:v>May-2025</c:v>
                </c:pt>
                <c:pt idx="4">
                  <c:v>Jun-2025</c:v>
                </c:pt>
                <c:pt idx="5">
                  <c:v>Jul-2025</c:v>
                </c:pt>
                <c:pt idx="6">
                  <c:v>Aug-2025</c:v>
                </c:pt>
                <c:pt idx="7">
                  <c:v>Sep-2025</c:v>
                </c:pt>
                <c:pt idx="8">
                  <c:v>Oct-2025</c:v>
                </c:pt>
                <c:pt idx="9">
                  <c:v>Nov-2025</c:v>
                </c:pt>
                <c:pt idx="10">
                  <c:v>Dec-2025</c:v>
                </c:pt>
              </c:strCache>
            </c:strRef>
          </c:cat>
          <c:val>
            <c:numRef>
              <c:f>'S-Curve Monthly'!$BB$2:$BB$13</c:f>
              <c:numCache>
                <c:formatCode>0.0%</c:formatCode>
                <c:ptCount val="11"/>
                <c:pt idx="0">
                  <c:v>0</c:v>
                </c:pt>
                <c:pt idx="1">
                  <c:v>0.30084745762711862</c:v>
                </c:pt>
                <c:pt idx="2">
                  <c:v>0.3135593220338983</c:v>
                </c:pt>
                <c:pt idx="3">
                  <c:v>0.43220338983050849</c:v>
                </c:pt>
                <c:pt idx="4">
                  <c:v>0.63135593220338981</c:v>
                </c:pt>
                <c:pt idx="5">
                  <c:v>0.74152542372881358</c:v>
                </c:pt>
                <c:pt idx="6">
                  <c:v>0.74152542372881358</c:v>
                </c:pt>
                <c:pt idx="7">
                  <c:v>0.74152542372881358</c:v>
                </c:pt>
                <c:pt idx="8">
                  <c:v>0.86016949152542377</c:v>
                </c:pt>
                <c:pt idx="9">
                  <c:v>0.97881355932203395</c:v>
                </c:pt>
                <c:pt idx="10">
                  <c:v>1</c:v>
                </c:pt>
              </c:numCache>
            </c:numRef>
          </c:val>
          <c:smooth val="1"/>
          <c:extLst>
            <c:ext xmlns:c16="http://schemas.microsoft.com/office/drawing/2014/chart" uri="{C3380CC4-5D6E-409C-BE32-E72D297353CC}">
              <c16:uniqueId val="{00000000-44C5-4EC5-B2DD-06306094C6AE}"/>
            </c:ext>
          </c:extLst>
        </c:ser>
        <c:ser>
          <c:idx val="1"/>
          <c:order val="1"/>
          <c:tx>
            <c:strRef>
              <c:f>'S-Curve Monthly'!$BC$1</c:f>
              <c:strCache>
                <c:ptCount val="1"/>
                <c:pt idx="0">
                  <c:v> Submission_1 Actuals</c:v>
                </c:pt>
              </c:strCache>
            </c:strRef>
          </c:tx>
          <c:spPr>
            <a:ln w="25400" cap="rnd">
              <a:solidFill>
                <a:srgbClr val="C00000"/>
              </a:solidFill>
              <a:round/>
            </a:ln>
            <a:effectLst/>
          </c:spPr>
          <c:marker>
            <c:symbol val="none"/>
          </c:marker>
          <c:cat>
            <c:strRef>
              <c:f>'S-Curve Monthly'!$BA$2:$BA$13</c:f>
              <c:strCache>
                <c:ptCount val="11"/>
                <c:pt idx="0">
                  <c:v>Feb-2025</c:v>
                </c:pt>
                <c:pt idx="1">
                  <c:v>Mar-2025</c:v>
                </c:pt>
                <c:pt idx="2">
                  <c:v>Apr-2025</c:v>
                </c:pt>
                <c:pt idx="3">
                  <c:v>May-2025</c:v>
                </c:pt>
                <c:pt idx="4">
                  <c:v>Jun-2025</c:v>
                </c:pt>
                <c:pt idx="5">
                  <c:v>Jul-2025</c:v>
                </c:pt>
                <c:pt idx="6">
                  <c:v>Aug-2025</c:v>
                </c:pt>
                <c:pt idx="7">
                  <c:v>Sep-2025</c:v>
                </c:pt>
                <c:pt idx="8">
                  <c:v>Oct-2025</c:v>
                </c:pt>
                <c:pt idx="9">
                  <c:v>Nov-2025</c:v>
                </c:pt>
                <c:pt idx="10">
                  <c:v>Dec-2025</c:v>
                </c:pt>
              </c:strCache>
            </c:strRef>
          </c:cat>
          <c:val>
            <c:numRef>
              <c:f>'S-Curve Monthly'!$BC$2:$BC$13</c:f>
              <c:numCache>
                <c:formatCode>0.0%</c:formatCode>
                <c:ptCount val="11"/>
                <c:pt idx="0">
                  <c:v>0</c:v>
                </c:pt>
                <c:pt idx="1">
                  <c:v>9.3220338983050849E-2</c:v>
                </c:pt>
                <c:pt idx="2">
                  <c:v>0.24152542372881355</c:v>
                </c:pt>
                <c:pt idx="3">
                  <c:v>0.30084745762711862</c:v>
                </c:pt>
                <c:pt idx="4">
                  <c:v>0.3559322033898305</c:v>
                </c:pt>
                <c:pt idx="5">
                  <c:v>0.48305084745762711</c:v>
                </c:pt>
                <c:pt idx="6">
                  <c:v>0.61440677966101698</c:v>
                </c:pt>
                <c:pt idx="7">
                  <c:v>0.66949152542372881</c:v>
                </c:pt>
                <c:pt idx="8">
                  <c:v>0.73728813559322037</c:v>
                </c:pt>
                <c:pt idx="9">
                  <c:v>0.97033898305084754</c:v>
                </c:pt>
                <c:pt idx="10">
                  <c:v>0.97033898305084754</c:v>
                </c:pt>
              </c:numCache>
            </c:numRef>
          </c:val>
          <c:smooth val="1"/>
          <c:extLst>
            <c:ext xmlns:c16="http://schemas.microsoft.com/office/drawing/2014/chart" uri="{C3380CC4-5D6E-409C-BE32-E72D297353CC}">
              <c16:uniqueId val="{00000002-44C5-4EC5-B2DD-06306094C6AE}"/>
            </c:ext>
          </c:extLst>
        </c:ser>
        <c:ser>
          <c:idx val="2"/>
          <c:order val="2"/>
          <c:tx>
            <c:strRef>
              <c:f>'S-Curve Monthly'!$BD$1</c:f>
              <c:strCache>
                <c:ptCount val="1"/>
                <c:pt idx="0">
                  <c:v> Approval Plan</c:v>
                </c:pt>
              </c:strCache>
            </c:strRef>
          </c:tx>
          <c:spPr>
            <a:ln w="25400" cap="rnd">
              <a:solidFill>
                <a:schemeClr val="tx1"/>
              </a:solidFill>
              <a:round/>
            </a:ln>
            <a:effectLst/>
          </c:spPr>
          <c:marker>
            <c:symbol val="none"/>
          </c:marker>
          <c:cat>
            <c:strRef>
              <c:f>'S-Curve Monthly'!$BA$2:$BA$13</c:f>
              <c:strCache>
                <c:ptCount val="11"/>
                <c:pt idx="0">
                  <c:v>Feb-2025</c:v>
                </c:pt>
                <c:pt idx="1">
                  <c:v>Mar-2025</c:v>
                </c:pt>
                <c:pt idx="2">
                  <c:v>Apr-2025</c:v>
                </c:pt>
                <c:pt idx="3">
                  <c:v>May-2025</c:v>
                </c:pt>
                <c:pt idx="4">
                  <c:v>Jun-2025</c:v>
                </c:pt>
                <c:pt idx="5">
                  <c:v>Jul-2025</c:v>
                </c:pt>
                <c:pt idx="6">
                  <c:v>Aug-2025</c:v>
                </c:pt>
                <c:pt idx="7">
                  <c:v>Sep-2025</c:v>
                </c:pt>
                <c:pt idx="8">
                  <c:v>Oct-2025</c:v>
                </c:pt>
                <c:pt idx="9">
                  <c:v>Nov-2025</c:v>
                </c:pt>
                <c:pt idx="10">
                  <c:v>Dec-2025</c:v>
                </c:pt>
              </c:strCache>
            </c:strRef>
          </c:cat>
          <c:val>
            <c:numRef>
              <c:f>'S-Curve Monthly'!$BD$2:$BD$13</c:f>
              <c:numCache>
                <c:formatCode>0.0%</c:formatCode>
                <c:ptCount val="11"/>
                <c:pt idx="0">
                  <c:v>0</c:v>
                </c:pt>
                <c:pt idx="1">
                  <c:v>0</c:v>
                </c:pt>
                <c:pt idx="2">
                  <c:v>0.19915254237288135</c:v>
                </c:pt>
                <c:pt idx="3">
                  <c:v>0.26694915254237289</c:v>
                </c:pt>
                <c:pt idx="4">
                  <c:v>0.41949152542372881</c:v>
                </c:pt>
                <c:pt idx="5">
                  <c:v>0.59322033898305082</c:v>
                </c:pt>
                <c:pt idx="6">
                  <c:v>0.80932203389830504</c:v>
                </c:pt>
                <c:pt idx="7">
                  <c:v>0.80932203389830504</c:v>
                </c:pt>
                <c:pt idx="8">
                  <c:v>0.80932203389830504</c:v>
                </c:pt>
                <c:pt idx="9">
                  <c:v>0.98305084745762705</c:v>
                </c:pt>
                <c:pt idx="10">
                  <c:v>0.99152542372881347</c:v>
                </c:pt>
              </c:numCache>
            </c:numRef>
          </c:val>
          <c:smooth val="1"/>
          <c:extLst>
            <c:ext xmlns:c16="http://schemas.microsoft.com/office/drawing/2014/chart" uri="{C3380CC4-5D6E-409C-BE32-E72D297353CC}">
              <c16:uniqueId val="{00000003-44C5-4EC5-B2DD-06306094C6AE}"/>
            </c:ext>
          </c:extLst>
        </c:ser>
        <c:ser>
          <c:idx val="3"/>
          <c:order val="3"/>
          <c:tx>
            <c:strRef>
              <c:f>'S-Curve Monthly'!$BE$1</c:f>
              <c:strCache>
                <c:ptCount val="1"/>
                <c:pt idx="0">
                  <c:v> Approval Actuals</c:v>
                </c:pt>
              </c:strCache>
            </c:strRef>
          </c:tx>
          <c:spPr>
            <a:ln w="25400" cap="rnd">
              <a:solidFill>
                <a:srgbClr val="0000CC"/>
              </a:solidFill>
              <a:round/>
            </a:ln>
            <a:effectLst/>
          </c:spPr>
          <c:marker>
            <c:symbol val="none"/>
          </c:marker>
          <c:cat>
            <c:strRef>
              <c:f>'S-Curve Monthly'!$BA$2:$BA$13</c:f>
              <c:strCache>
                <c:ptCount val="11"/>
                <c:pt idx="0">
                  <c:v>Feb-2025</c:v>
                </c:pt>
                <c:pt idx="1">
                  <c:v>Mar-2025</c:v>
                </c:pt>
                <c:pt idx="2">
                  <c:v>Apr-2025</c:v>
                </c:pt>
                <c:pt idx="3">
                  <c:v>May-2025</c:v>
                </c:pt>
                <c:pt idx="4">
                  <c:v>Jun-2025</c:v>
                </c:pt>
                <c:pt idx="5">
                  <c:v>Jul-2025</c:v>
                </c:pt>
                <c:pt idx="6">
                  <c:v>Aug-2025</c:v>
                </c:pt>
                <c:pt idx="7">
                  <c:v>Sep-2025</c:v>
                </c:pt>
                <c:pt idx="8">
                  <c:v>Oct-2025</c:v>
                </c:pt>
                <c:pt idx="9">
                  <c:v>Nov-2025</c:v>
                </c:pt>
                <c:pt idx="10">
                  <c:v>Dec-2025</c:v>
                </c:pt>
              </c:strCache>
            </c:strRef>
          </c:cat>
          <c:val>
            <c:numRef>
              <c:f>'S-Curve Monthly'!$BE$2:$BE$13</c:f>
              <c:numCache>
                <c:formatCode>0.0%</c:formatCode>
                <c:ptCount val="11"/>
                <c:pt idx="0">
                  <c:v>0</c:v>
                </c:pt>
                <c:pt idx="1">
                  <c:v>4.2372881355932203E-3</c:v>
                </c:pt>
                <c:pt idx="2">
                  <c:v>4.6610169491525424E-2</c:v>
                </c:pt>
                <c:pt idx="3">
                  <c:v>0.1271186440677966</c:v>
                </c:pt>
                <c:pt idx="4">
                  <c:v>0.24576271186440679</c:v>
                </c:pt>
                <c:pt idx="5">
                  <c:v>0.30508474576271188</c:v>
                </c:pt>
                <c:pt idx="6">
                  <c:v>0.31779661016949157</c:v>
                </c:pt>
                <c:pt idx="7">
                  <c:v>0.31779661016949157</c:v>
                </c:pt>
                <c:pt idx="8">
                  <c:v>0.61440677966101698</c:v>
                </c:pt>
                <c:pt idx="9">
                  <c:v>0.61440677966101698</c:v>
                </c:pt>
                <c:pt idx="10">
                  <c:v>0.78813559322033899</c:v>
                </c:pt>
              </c:numCache>
            </c:numRef>
          </c:val>
          <c:smooth val="1"/>
          <c:extLst>
            <c:ext xmlns:c16="http://schemas.microsoft.com/office/drawing/2014/chart" uri="{C3380CC4-5D6E-409C-BE32-E72D297353CC}">
              <c16:uniqueId val="{00000004-44C5-4EC5-B2DD-06306094C6AE}"/>
            </c:ext>
          </c:extLst>
        </c:ser>
        <c:dLbls>
          <c:showLegendKey val="0"/>
          <c:showVal val="0"/>
          <c:showCatName val="0"/>
          <c:showSerName val="0"/>
          <c:showPercent val="0"/>
          <c:showBubbleSize val="0"/>
        </c:dLbls>
        <c:smooth val="0"/>
        <c:axId val="1640964112"/>
        <c:axId val="865242288"/>
      </c:lineChart>
      <c:catAx>
        <c:axId val="164096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865242288"/>
        <c:crosses val="autoZero"/>
        <c:auto val="1"/>
        <c:lblAlgn val="ctr"/>
        <c:lblOffset val="100"/>
        <c:noMultiLvlLbl val="0"/>
      </c:catAx>
      <c:valAx>
        <c:axId val="8652422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409641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[Civil_Project_Tracker_Datasheets.xlsx]DB!PivotTable6</c:name>
    <c:fmtId val="4"/>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t>Overall Project Drawings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rgbClr val="0000CC"/>
          </a:solidFill>
          <a:ln w="19050">
            <a:solidFill>
              <a:schemeClr val="lt1"/>
            </a:solidFill>
          </a:ln>
          <a:effectLst/>
        </c:spPr>
        <c:dLbl>
          <c:idx val="0"/>
          <c:layout>
            <c:manualLayout>
              <c:x val="-1.735357917570499E-2"/>
              <c:y val="1.3888888888888931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2"/>
        <c:spPr>
          <a:solidFill>
            <a:srgbClr val="C00000"/>
          </a:solidFill>
          <a:ln w="19050">
            <a:solidFill>
              <a:schemeClr val="lt1"/>
            </a:solidFill>
          </a:ln>
          <a:effectLst/>
        </c:spPr>
        <c:dLbl>
          <c:idx val="0"/>
          <c:layout>
            <c:manualLayout>
              <c:x val="1.0845986984815618E-2"/>
              <c:y val="4.1666666666666664E-2"/>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
        <c:idx val="3"/>
        <c:spPr>
          <a:solidFill>
            <a:srgbClr val="00B050"/>
          </a:solidFill>
          <a:ln w="19050">
            <a:solidFill>
              <a:schemeClr val="lt1"/>
            </a:solidFill>
          </a:ln>
          <a:effectLst/>
        </c:spPr>
        <c:dLbl>
          <c:idx val="0"/>
          <c:layout>
            <c:manualLayout>
              <c:x val="5.6399132321041212E-2"/>
              <c:y val="-9.2592592592592587E-3"/>
            </c:manualLayout>
          </c:layout>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1"/>
          <c:showBubbleSize val="0"/>
          <c:separator>
</c:separator>
          <c:extLst>
            <c:ext xmlns:c15="http://schemas.microsoft.com/office/drawing/2012/chart" uri="{CE6537A1-D6FC-4f65-9D91-7224C49458BB}"/>
          </c:extLst>
        </c:dLbl>
      </c:pivotFmt>
    </c:pivotFmts>
    <c:plotArea>
      <c:layout/>
      <c:pieChart>
        <c:varyColors val="1"/>
        <c:ser>
          <c:idx val="0"/>
          <c:order val="0"/>
          <c:tx>
            <c:strRef>
              <c:f>DB!$B$1</c:f>
              <c:strCache>
                <c:ptCount val="1"/>
                <c:pt idx="0">
                  <c:v>Total</c:v>
                </c:pt>
              </c:strCache>
            </c:strRef>
          </c:tx>
          <c:dPt>
            <c:idx val="0"/>
            <c:bubble3D val="0"/>
            <c:spPr>
              <a:solidFill>
                <a:srgbClr val="C00000"/>
              </a:solidFill>
              <a:ln w="19050">
                <a:solidFill>
                  <a:schemeClr val="lt1"/>
                </a:solidFill>
              </a:ln>
              <a:effectLst/>
            </c:spPr>
            <c:extLst>
              <c:ext xmlns:c16="http://schemas.microsoft.com/office/drawing/2014/chart" uri="{C3380CC4-5D6E-409C-BE32-E72D297353CC}">
                <c16:uniqueId val="{00000003-E3DE-46D4-979C-088BF64DEF38}"/>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4-E3DE-46D4-979C-088BF64DEF38}"/>
              </c:ext>
            </c:extLst>
          </c:dPt>
          <c:dPt>
            <c:idx val="2"/>
            <c:bubble3D val="0"/>
            <c:spPr>
              <a:solidFill>
                <a:srgbClr val="0000CC"/>
              </a:solidFill>
              <a:ln w="19050">
                <a:solidFill>
                  <a:schemeClr val="lt1"/>
                </a:solidFill>
              </a:ln>
              <a:effectLst/>
            </c:spPr>
            <c:extLst>
              <c:ext xmlns:c16="http://schemas.microsoft.com/office/drawing/2014/chart" uri="{C3380CC4-5D6E-409C-BE32-E72D297353CC}">
                <c16:uniqueId val="{00000002-E3DE-46D4-979C-088BF64DEF38}"/>
              </c:ext>
            </c:extLst>
          </c:dPt>
          <c:dLbls>
            <c:dLbl>
              <c:idx val="0"/>
              <c:layout>
                <c:manualLayout>
                  <c:x val="1.0845986984815618E-2"/>
                  <c:y val="4.1666666666666664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E3DE-46D4-979C-088BF64DEF38}"/>
                </c:ext>
              </c:extLst>
            </c:dLbl>
            <c:dLbl>
              <c:idx val="1"/>
              <c:layout>
                <c:manualLayout>
                  <c:x val="5.6399132321041212E-2"/>
                  <c:y val="-9.2592592592592587E-3"/>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4-E3DE-46D4-979C-088BF64DEF38}"/>
                </c:ext>
              </c:extLst>
            </c:dLbl>
            <c:dLbl>
              <c:idx val="2"/>
              <c:layout>
                <c:manualLayout>
                  <c:x val="-1.735357917570499E-2"/>
                  <c:y val="1.3888888888888931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2-E3DE-46D4-979C-088BF64DEF38}"/>
                </c:ext>
              </c:extLst>
            </c:dLbl>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DB!$A$2:$A$5</c:f>
              <c:strCache>
                <c:ptCount val="3"/>
                <c:pt idx="0">
                  <c:v>Architecture</c:v>
                </c:pt>
                <c:pt idx="1">
                  <c:v>MEP</c:v>
                </c:pt>
                <c:pt idx="2">
                  <c:v>Structural</c:v>
                </c:pt>
              </c:strCache>
            </c:strRef>
          </c:cat>
          <c:val>
            <c:numRef>
              <c:f>DB!$B$2:$B$5</c:f>
              <c:numCache>
                <c:formatCode>General</c:formatCode>
                <c:ptCount val="3"/>
                <c:pt idx="0">
                  <c:v>123</c:v>
                </c:pt>
                <c:pt idx="1">
                  <c:v>236</c:v>
                </c:pt>
                <c:pt idx="2">
                  <c:v>183</c:v>
                </c:pt>
              </c:numCache>
            </c:numRef>
          </c:val>
          <c:extLst>
            <c:ext xmlns:c16="http://schemas.microsoft.com/office/drawing/2014/chart" uri="{C3380CC4-5D6E-409C-BE32-E72D297353CC}">
              <c16:uniqueId val="{00000000-E3DE-46D4-979C-088BF64DEF38}"/>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Discipline-wise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lotArea>
      <c:layout/>
      <c:barChart>
        <c:barDir val="col"/>
        <c:grouping val="clustered"/>
        <c:varyColors val="0"/>
        <c:ser>
          <c:idx val="0"/>
          <c:order val="0"/>
          <c:tx>
            <c:strRef>
              <c:f>DB!$G$24</c:f>
              <c:strCache>
                <c:ptCount val="1"/>
                <c:pt idx="0">
                  <c:v>Submission Status</c:v>
                </c:pt>
              </c:strCache>
            </c:strRef>
          </c:tx>
          <c:spPr>
            <a:solidFill>
              <a:srgbClr val="0000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DB!$F$25:$F$27</c:f>
              <c:strCache>
                <c:ptCount val="3"/>
                <c:pt idx="0">
                  <c:v>Architecture</c:v>
                </c:pt>
                <c:pt idx="1">
                  <c:v>MEP</c:v>
                </c:pt>
                <c:pt idx="2">
                  <c:v>Structural</c:v>
                </c:pt>
              </c:strCache>
            </c:strRef>
          </c:cat>
          <c:val>
            <c:numRef>
              <c:f>DB!$G$25:$G$27</c:f>
              <c:numCache>
                <c:formatCode>0%</c:formatCode>
                <c:ptCount val="3"/>
                <c:pt idx="0">
                  <c:v>1</c:v>
                </c:pt>
                <c:pt idx="1">
                  <c:v>1</c:v>
                </c:pt>
                <c:pt idx="2">
                  <c:v>0.96174863387978138</c:v>
                </c:pt>
              </c:numCache>
            </c:numRef>
          </c:val>
          <c:extLst>
            <c:ext xmlns:c16="http://schemas.microsoft.com/office/drawing/2014/chart" uri="{C3380CC4-5D6E-409C-BE32-E72D297353CC}">
              <c16:uniqueId val="{00000000-0C95-4EBD-8690-67A212E40B4A}"/>
            </c:ext>
          </c:extLst>
        </c:ser>
        <c:ser>
          <c:idx val="1"/>
          <c:order val="1"/>
          <c:tx>
            <c:strRef>
              <c:f>DB!$H$24</c:f>
              <c:strCache>
                <c:ptCount val="1"/>
                <c:pt idx="0">
                  <c:v>Approval Status</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DB!$F$25:$F$27</c:f>
              <c:strCache>
                <c:ptCount val="3"/>
                <c:pt idx="0">
                  <c:v>Architecture</c:v>
                </c:pt>
                <c:pt idx="1">
                  <c:v>MEP</c:v>
                </c:pt>
                <c:pt idx="2">
                  <c:v>Structural</c:v>
                </c:pt>
              </c:strCache>
            </c:strRef>
          </c:cat>
          <c:val>
            <c:numRef>
              <c:f>DB!$H$25:$H$27</c:f>
              <c:numCache>
                <c:formatCode>0%</c:formatCode>
                <c:ptCount val="3"/>
                <c:pt idx="0">
                  <c:v>1</c:v>
                </c:pt>
                <c:pt idx="1">
                  <c:v>0.94491525423728817</c:v>
                </c:pt>
                <c:pt idx="2">
                  <c:v>0.95628415300546443</c:v>
                </c:pt>
              </c:numCache>
            </c:numRef>
          </c:val>
          <c:extLst>
            <c:ext xmlns:c16="http://schemas.microsoft.com/office/drawing/2014/chart" uri="{C3380CC4-5D6E-409C-BE32-E72D297353CC}">
              <c16:uniqueId val="{00000001-0C95-4EBD-8690-67A212E40B4A}"/>
            </c:ext>
          </c:extLst>
        </c:ser>
        <c:dLbls>
          <c:dLblPos val="outEnd"/>
          <c:showLegendKey val="0"/>
          <c:showVal val="1"/>
          <c:showCatName val="0"/>
          <c:showSerName val="0"/>
          <c:showPercent val="0"/>
          <c:showBubbleSize val="0"/>
        </c:dLbls>
        <c:gapWidth val="219"/>
        <c:overlap val="-27"/>
        <c:axId val="1616814896"/>
        <c:axId val="865228368"/>
      </c:barChart>
      <c:catAx>
        <c:axId val="1616814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865228368"/>
        <c:crosses val="autoZero"/>
        <c:auto val="1"/>
        <c:lblAlgn val="ctr"/>
        <c:lblOffset val="100"/>
        <c:noMultiLvlLbl val="0"/>
      </c:catAx>
      <c:valAx>
        <c:axId val="865228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61681489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0">
                <a:solidFill>
                  <a:schemeClr val="tx1"/>
                </a:solidFill>
              </a:rPr>
              <a:t>Overall Structural Approval Status</a:t>
            </a:r>
          </a:p>
        </c:rich>
      </c:tx>
      <c:overlay val="0"/>
      <c:spPr>
        <a:noFill/>
        <a:ln>
          <a:noFill/>
        </a:ln>
        <a:effectLst/>
      </c:spPr>
    </c:title>
    <c:autoTitleDeleted val="0"/>
    <c:plotArea>
      <c:layout>
        <c:manualLayout>
          <c:layoutTarget val="inner"/>
          <c:xMode val="edge"/>
          <c:yMode val="edge"/>
          <c:x val="0.2343801652892562"/>
          <c:y val="0.13315352697095437"/>
          <c:w val="0.53123966942148759"/>
          <c:h val="0.8460995850622407"/>
        </c:manualLayout>
      </c:layout>
      <c:doughnutChart>
        <c:varyColors val="1"/>
        <c:ser>
          <c:idx val="0"/>
          <c:order val="0"/>
          <c:tx>
            <c:strRef>
              <c:f>DB!$A$39</c:f>
              <c:strCache>
                <c:ptCount val="1"/>
                <c:pt idx="0">
                  <c:v>Speedometer</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E4F6-4C0D-B01E-4E5C8B325E05}"/>
              </c:ext>
            </c:extLst>
          </c:dPt>
          <c:dPt>
            <c:idx val="1"/>
            <c:bubble3D val="0"/>
            <c:spPr>
              <a:solidFill>
                <a:srgbClr val="FF0000"/>
              </a:solidFill>
              <a:ln w="19050">
                <a:noFill/>
              </a:ln>
              <a:effectLst/>
            </c:spPr>
            <c:extLst>
              <c:ext xmlns:c16="http://schemas.microsoft.com/office/drawing/2014/chart" uri="{C3380CC4-5D6E-409C-BE32-E72D297353CC}">
                <c16:uniqueId val="{00000005-127B-4CB2-8BC7-8FD4839447D5}"/>
              </c:ext>
            </c:extLst>
          </c:dPt>
          <c:dPt>
            <c:idx val="2"/>
            <c:bubble3D val="0"/>
            <c:spPr>
              <a:solidFill>
                <a:srgbClr val="FFC000"/>
              </a:solidFill>
              <a:ln w="19050">
                <a:noFill/>
              </a:ln>
              <a:effectLst/>
            </c:spPr>
            <c:extLst>
              <c:ext xmlns:c16="http://schemas.microsoft.com/office/drawing/2014/chart" uri="{C3380CC4-5D6E-409C-BE32-E72D297353CC}">
                <c16:uniqueId val="{00000006-127B-4CB2-8BC7-8FD4839447D5}"/>
              </c:ext>
            </c:extLst>
          </c:dPt>
          <c:dPt>
            <c:idx val="3"/>
            <c:bubble3D val="0"/>
            <c:spPr>
              <a:solidFill>
                <a:srgbClr val="00B050"/>
              </a:solidFill>
              <a:ln w="19050">
                <a:noFill/>
              </a:ln>
              <a:effectLst/>
            </c:spPr>
            <c:extLst>
              <c:ext xmlns:c16="http://schemas.microsoft.com/office/drawing/2014/chart" uri="{C3380CC4-5D6E-409C-BE32-E72D297353CC}">
                <c16:uniqueId val="{00000007-127B-4CB2-8BC7-8FD4839447D5}"/>
              </c:ext>
            </c:extLst>
          </c:dPt>
          <c:dPt>
            <c:idx val="4"/>
            <c:bubble3D val="0"/>
            <c:spPr>
              <a:noFill/>
              <a:ln w="19050">
                <a:noFill/>
              </a:ln>
              <a:effectLst/>
            </c:spPr>
            <c:extLst>
              <c:ext xmlns:c16="http://schemas.microsoft.com/office/drawing/2014/chart" uri="{C3380CC4-5D6E-409C-BE32-E72D297353CC}">
                <c16:uniqueId val="{00000004-127B-4CB2-8BC7-8FD4839447D5}"/>
              </c:ext>
            </c:extLst>
          </c:dPt>
          <c:val>
            <c:numRef>
              <c:f>DB!$B$40:$B$44</c:f>
              <c:numCache>
                <c:formatCode>General</c:formatCode>
                <c:ptCount val="5"/>
                <c:pt idx="0">
                  <c:v>0</c:v>
                </c:pt>
                <c:pt idx="1">
                  <c:v>30</c:v>
                </c:pt>
                <c:pt idx="2">
                  <c:v>40</c:v>
                </c:pt>
                <c:pt idx="3">
                  <c:v>30</c:v>
                </c:pt>
                <c:pt idx="4">
                  <c:v>100</c:v>
                </c:pt>
              </c:numCache>
            </c:numRef>
          </c:val>
          <c:extLst>
            <c:ext xmlns:c16="http://schemas.microsoft.com/office/drawing/2014/chart" uri="{C3380CC4-5D6E-409C-BE32-E72D297353CC}">
              <c16:uniqueId val="{00000003-127B-4CB2-8BC7-8FD4839447D5}"/>
            </c:ext>
          </c:extLst>
        </c:ser>
        <c:dLbls>
          <c:showLegendKey val="0"/>
          <c:showVal val="0"/>
          <c:showCatName val="0"/>
          <c:showSerName val="0"/>
          <c:showPercent val="0"/>
          <c:showBubbleSize val="0"/>
          <c:showLeaderLines val="1"/>
        </c:dLbls>
        <c:firstSliceAng val="270"/>
        <c:holeSize val="50"/>
      </c:doughnutChart>
      <c:pieChart>
        <c:varyColors val="1"/>
        <c:ser>
          <c:idx val="1"/>
          <c:order val="1"/>
          <c:tx>
            <c:strRef>
              <c:f>DB!$C$39</c:f>
              <c:strCache>
                <c:ptCount val="1"/>
                <c:pt idx="0">
                  <c:v>Pointer</c:v>
                </c:pt>
              </c:strCache>
            </c:strRef>
          </c:tx>
          <c:spPr>
            <a:ln>
              <a:noFill/>
            </a:ln>
          </c:spPr>
          <c:dPt>
            <c:idx val="0"/>
            <c:bubble3D val="0"/>
            <c:spPr>
              <a:noFill/>
              <a:ln w="19050">
                <a:noFill/>
              </a:ln>
              <a:effectLst/>
            </c:spPr>
            <c:extLst>
              <c:ext xmlns:c16="http://schemas.microsoft.com/office/drawing/2014/chart" uri="{C3380CC4-5D6E-409C-BE32-E72D297353CC}">
                <c16:uniqueId val="{0000000A-127B-4CB2-8BC7-8FD4839447D5}"/>
              </c:ext>
            </c:extLst>
          </c:dPt>
          <c:dPt>
            <c:idx val="1"/>
            <c:bubble3D val="0"/>
            <c:spPr>
              <a:solidFill>
                <a:schemeClr val="tx1"/>
              </a:solidFill>
              <a:ln w="19050">
                <a:noFill/>
              </a:ln>
              <a:effectLst/>
            </c:spPr>
            <c:extLst>
              <c:ext xmlns:c16="http://schemas.microsoft.com/office/drawing/2014/chart" uri="{C3380CC4-5D6E-409C-BE32-E72D297353CC}">
                <c16:uniqueId val="{0000000B-127B-4CB2-8BC7-8FD4839447D5}"/>
              </c:ext>
            </c:extLst>
          </c:dPt>
          <c:dPt>
            <c:idx val="2"/>
            <c:bubble3D val="0"/>
            <c:spPr>
              <a:noFill/>
              <a:ln w="19050">
                <a:noFill/>
              </a:ln>
              <a:effectLst/>
            </c:spPr>
            <c:extLst>
              <c:ext xmlns:c16="http://schemas.microsoft.com/office/drawing/2014/chart" uri="{C3380CC4-5D6E-409C-BE32-E72D297353CC}">
                <c16:uniqueId val="{00000009-127B-4CB2-8BC7-8FD4839447D5}"/>
              </c:ext>
            </c:extLst>
          </c:dPt>
          <c:val>
            <c:numRef>
              <c:f>DB!$D$40:$D$42</c:f>
              <c:numCache>
                <c:formatCode>General</c:formatCode>
                <c:ptCount val="3"/>
                <c:pt idx="0" formatCode="0">
                  <c:v>95.628415300546436</c:v>
                </c:pt>
                <c:pt idx="1">
                  <c:v>2</c:v>
                </c:pt>
                <c:pt idx="2" formatCode="0">
                  <c:v>102.37158469945356</c:v>
                </c:pt>
              </c:numCache>
            </c:numRef>
          </c:val>
          <c:extLst>
            <c:ext xmlns:c16="http://schemas.microsoft.com/office/drawing/2014/chart" uri="{C3380CC4-5D6E-409C-BE32-E72D297353CC}">
              <c16:uniqueId val="{00000008-127B-4CB2-8BC7-8FD4839447D5}"/>
            </c:ext>
          </c:extLst>
        </c:ser>
        <c:dLbls>
          <c:showLegendKey val="0"/>
          <c:showVal val="0"/>
          <c:showCatName val="0"/>
          <c:showSerName val="0"/>
          <c:showPercent val="0"/>
          <c:showBubbleSize val="0"/>
          <c:showLeaderLines val="0"/>
        </c:dLbls>
        <c:firstSliceAng val="27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[Civil_Project_Tracker_Datasheets.xlsx]DB!PivotTable16</c:name>
    <c:fmtId val="0"/>
  </c:pivotSource>
  <c:chart>
    <c:autoTitleDeleted val="0"/>
    <c:pivotFmts>
      <c:pivotFmt>
        <c:idx val="0"/>
        <c:spPr>
          <a:solidFill>
            <a:srgbClr val="0000CC"/>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DB!$B$71</c:f>
              <c:strCache>
                <c:ptCount val="1"/>
                <c:pt idx="0">
                  <c:v>Total DRG ID</c:v>
                </c:pt>
              </c:strCache>
            </c:strRef>
          </c:tx>
          <c:spPr>
            <a:solidFill>
              <a:srgbClr val="0000CC"/>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DB!$A$72:$A$80</c:f>
              <c:strCache>
                <c:ptCount val="8"/>
                <c:pt idx="0">
                  <c:v>Electrical</c:v>
                </c:pt>
                <c:pt idx="1">
                  <c:v>ELV</c:v>
                </c:pt>
                <c:pt idx="2">
                  <c:v>Existing Building</c:v>
                </c:pt>
                <c:pt idx="3">
                  <c:v>Fire</c:v>
                </c:pt>
                <c:pt idx="4">
                  <c:v>HVAC</c:v>
                </c:pt>
                <c:pt idx="5">
                  <c:v>MEP</c:v>
                </c:pt>
                <c:pt idx="6">
                  <c:v>New Building</c:v>
                </c:pt>
                <c:pt idx="7">
                  <c:v>PHE</c:v>
                </c:pt>
              </c:strCache>
            </c:strRef>
          </c:cat>
          <c:val>
            <c:numRef>
              <c:f>DB!$B$72:$B$80</c:f>
              <c:numCache>
                <c:formatCode>General</c:formatCode>
                <c:ptCount val="8"/>
                <c:pt idx="0">
                  <c:v>79</c:v>
                </c:pt>
                <c:pt idx="1">
                  <c:v>65</c:v>
                </c:pt>
                <c:pt idx="2">
                  <c:v>24</c:v>
                </c:pt>
                <c:pt idx="3">
                  <c:v>46</c:v>
                </c:pt>
                <c:pt idx="4">
                  <c:v>76</c:v>
                </c:pt>
                <c:pt idx="5">
                  <c:v>26</c:v>
                </c:pt>
                <c:pt idx="6">
                  <c:v>180</c:v>
                </c:pt>
                <c:pt idx="7">
                  <c:v>46</c:v>
                </c:pt>
              </c:numCache>
            </c:numRef>
          </c:val>
          <c:extLst>
            <c:ext xmlns:c16="http://schemas.microsoft.com/office/drawing/2014/chart" uri="{C3380CC4-5D6E-409C-BE32-E72D297353CC}">
              <c16:uniqueId val="{00000000-1098-40F4-BDB1-E7CB05A144E0}"/>
            </c:ext>
          </c:extLst>
        </c:ser>
        <c:ser>
          <c:idx val="1"/>
          <c:order val="1"/>
          <c:tx>
            <c:strRef>
              <c:f>DB!$C$71</c:f>
              <c:strCache>
                <c:ptCount val="1"/>
                <c:pt idx="0">
                  <c:v>Submitted</c:v>
                </c:pt>
              </c:strCache>
            </c:strRef>
          </c:tx>
          <c:spPr>
            <a:solidFill>
              <a:srgbClr val="FFC000"/>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DB!$A$72:$A$80</c:f>
              <c:strCache>
                <c:ptCount val="8"/>
                <c:pt idx="0">
                  <c:v>Electrical</c:v>
                </c:pt>
                <c:pt idx="1">
                  <c:v>ELV</c:v>
                </c:pt>
                <c:pt idx="2">
                  <c:v>Existing Building</c:v>
                </c:pt>
                <c:pt idx="3">
                  <c:v>Fire</c:v>
                </c:pt>
                <c:pt idx="4">
                  <c:v>HVAC</c:v>
                </c:pt>
                <c:pt idx="5">
                  <c:v>MEP</c:v>
                </c:pt>
                <c:pt idx="6">
                  <c:v>New Building</c:v>
                </c:pt>
                <c:pt idx="7">
                  <c:v>PHE</c:v>
                </c:pt>
              </c:strCache>
            </c:strRef>
          </c:cat>
          <c:val>
            <c:numRef>
              <c:f>DB!$C$72:$C$80</c:f>
              <c:numCache>
                <c:formatCode>General</c:formatCode>
                <c:ptCount val="8"/>
                <c:pt idx="0">
                  <c:v>79</c:v>
                </c:pt>
                <c:pt idx="1">
                  <c:v>65</c:v>
                </c:pt>
                <c:pt idx="2">
                  <c:v>18</c:v>
                </c:pt>
                <c:pt idx="3">
                  <c:v>46</c:v>
                </c:pt>
                <c:pt idx="4">
                  <c:v>76</c:v>
                </c:pt>
                <c:pt idx="5">
                  <c:v>26</c:v>
                </c:pt>
                <c:pt idx="6">
                  <c:v>179</c:v>
                </c:pt>
                <c:pt idx="7">
                  <c:v>46</c:v>
                </c:pt>
              </c:numCache>
            </c:numRef>
          </c:val>
          <c:extLst>
            <c:ext xmlns:c16="http://schemas.microsoft.com/office/drawing/2014/chart" uri="{C3380CC4-5D6E-409C-BE32-E72D297353CC}">
              <c16:uniqueId val="{00000002-1098-40F4-BDB1-E7CB05A144E0}"/>
            </c:ext>
          </c:extLst>
        </c:ser>
        <c:ser>
          <c:idx val="2"/>
          <c:order val="2"/>
          <c:tx>
            <c:strRef>
              <c:f>DB!$D$71</c:f>
              <c:strCache>
                <c:ptCount val="1"/>
                <c:pt idx="0">
                  <c:v>Approved</c:v>
                </c:pt>
              </c:strCache>
            </c:strRef>
          </c:tx>
          <c:spPr>
            <a:solidFill>
              <a:srgbClr val="00B050"/>
            </a:solidFill>
            <a:ln>
              <a:noFill/>
            </a:ln>
            <a:effectLst/>
          </c:spPr>
          <c:invertIfNegative val="0"/>
          <c:dLbls>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DB!$A$72:$A$80</c:f>
              <c:strCache>
                <c:ptCount val="8"/>
                <c:pt idx="0">
                  <c:v>Electrical</c:v>
                </c:pt>
                <c:pt idx="1">
                  <c:v>ELV</c:v>
                </c:pt>
                <c:pt idx="2">
                  <c:v>Existing Building</c:v>
                </c:pt>
                <c:pt idx="3">
                  <c:v>Fire</c:v>
                </c:pt>
                <c:pt idx="4">
                  <c:v>HVAC</c:v>
                </c:pt>
                <c:pt idx="5">
                  <c:v>MEP</c:v>
                </c:pt>
                <c:pt idx="6">
                  <c:v>New Building</c:v>
                </c:pt>
                <c:pt idx="7">
                  <c:v>PHE</c:v>
                </c:pt>
              </c:strCache>
            </c:strRef>
          </c:cat>
          <c:val>
            <c:numRef>
              <c:f>DB!$D$72:$D$80</c:f>
              <c:numCache>
                <c:formatCode>General</c:formatCode>
                <c:ptCount val="8"/>
                <c:pt idx="0">
                  <c:v>76</c:v>
                </c:pt>
                <c:pt idx="1">
                  <c:v>56</c:v>
                </c:pt>
                <c:pt idx="2">
                  <c:v>18</c:v>
                </c:pt>
                <c:pt idx="3">
                  <c:v>46</c:v>
                </c:pt>
                <c:pt idx="4">
                  <c:v>75</c:v>
                </c:pt>
                <c:pt idx="5">
                  <c:v>26</c:v>
                </c:pt>
                <c:pt idx="6">
                  <c:v>179</c:v>
                </c:pt>
                <c:pt idx="7">
                  <c:v>45</c:v>
                </c:pt>
              </c:numCache>
            </c:numRef>
          </c:val>
          <c:extLst>
            <c:ext xmlns:c16="http://schemas.microsoft.com/office/drawing/2014/chart" uri="{C3380CC4-5D6E-409C-BE32-E72D297353CC}">
              <c16:uniqueId val="{00000003-1098-40F4-BDB1-E7CB05A144E0}"/>
            </c:ext>
          </c:extLst>
        </c:ser>
        <c:dLbls>
          <c:dLblPos val="outEnd"/>
          <c:showLegendKey val="0"/>
          <c:showVal val="1"/>
          <c:showCatName val="0"/>
          <c:showSerName val="0"/>
          <c:showPercent val="0"/>
          <c:showBubbleSize val="0"/>
        </c:dLbls>
        <c:gapWidth val="219"/>
        <c:overlap val="-27"/>
        <c:axId val="1616809328"/>
        <c:axId val="865265808"/>
      </c:barChart>
      <c:catAx>
        <c:axId val="161680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65265808"/>
        <c:crosses val="autoZero"/>
        <c:auto val="1"/>
        <c:lblAlgn val="ctr"/>
        <c:lblOffset val="100"/>
        <c:noMultiLvlLbl val="0"/>
      </c:catAx>
      <c:valAx>
        <c:axId val="865265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168093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6</xdr:col>
      <xdr:colOff>57150</xdr:colOff>
      <xdr:row>7</xdr:row>
      <xdr:rowOff>177800</xdr:rowOff>
    </xdr:from>
    <xdr:to>
      <xdr:col>24</xdr:col>
      <xdr:colOff>139700</xdr:colOff>
      <xdr:row>28</xdr:row>
      <xdr:rowOff>127000</xdr:rowOff>
    </xdr:to>
    <xdr:graphicFrame macro="">
      <xdr:nvGraphicFramePr>
        <xdr:cNvPr id="2" name="Chart 1">
          <a:extLst>
            <a:ext uri="{FF2B5EF4-FFF2-40B4-BE49-F238E27FC236}">
              <a16:creationId xmlns:a16="http://schemas.microsoft.com/office/drawing/2014/main" id="{4265885B-8499-99C2-828D-C695F3D9C2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38100</xdr:colOff>
      <xdr:row>0</xdr:row>
      <xdr:rowOff>38101</xdr:rowOff>
    </xdr:from>
    <xdr:to>
      <xdr:col>9</xdr:col>
      <xdr:colOff>38100</xdr:colOff>
      <xdr:row>7</xdr:row>
      <xdr:rowOff>88901</xdr:rowOff>
    </xdr:to>
    <mc:AlternateContent xmlns:mc="http://schemas.openxmlformats.org/markup-compatibility/2006" xmlns:a14="http://schemas.microsoft.com/office/drawing/2010/main">
      <mc:Choice Requires="a14">
        <xdr:graphicFrame macro="">
          <xdr:nvGraphicFramePr>
            <xdr:cNvPr id="3" name="Discipline">
              <a:extLst>
                <a:ext uri="{FF2B5EF4-FFF2-40B4-BE49-F238E27FC236}">
                  <a16:creationId xmlns:a16="http://schemas.microsoft.com/office/drawing/2014/main" id="{36EB0DD7-20C6-48A3-D6C8-22908AF5B216}"/>
                </a:ext>
              </a:extLst>
            </xdr:cNvPr>
            <xdr:cNvGraphicFramePr/>
          </xdr:nvGraphicFramePr>
          <xdr:xfrm>
            <a:off x="0" y="0"/>
            <a:ext cx="0" cy="0"/>
          </xdr:xfrm>
          <a:graphic>
            <a:graphicData uri="http://schemas.microsoft.com/office/drawing/2010/slicer">
              <sle:slicer xmlns:sle="http://schemas.microsoft.com/office/drawing/2010/slicer" name="Discipline"/>
            </a:graphicData>
          </a:graphic>
        </xdr:graphicFrame>
      </mc:Choice>
      <mc:Fallback xmlns="">
        <xdr:sp macro="" textlink="">
          <xdr:nvSpPr>
            <xdr:cNvPr id="0" name=""/>
            <xdr:cNvSpPr>
              <a:spLocks noTextEdit="1"/>
            </xdr:cNvSpPr>
          </xdr:nvSpPr>
          <xdr:spPr>
            <a:xfrm>
              <a:off x="38100" y="38101"/>
              <a:ext cx="1828800" cy="1339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142873</xdr:colOff>
      <xdr:row>8</xdr:row>
      <xdr:rowOff>57150</xdr:rowOff>
    </xdr:from>
    <xdr:to>
      <xdr:col>27</xdr:col>
      <xdr:colOff>9944</xdr:colOff>
      <xdr:row>27</xdr:row>
      <xdr:rowOff>122958</xdr:rowOff>
    </xdr:to>
    <xdr:graphicFrame macro="">
      <xdr:nvGraphicFramePr>
        <xdr:cNvPr id="2" name="Chart 1">
          <a:extLst>
            <a:ext uri="{FF2B5EF4-FFF2-40B4-BE49-F238E27FC236}">
              <a16:creationId xmlns:a16="http://schemas.microsoft.com/office/drawing/2014/main" id="{43B54BAD-0994-5601-5743-6B67D510B6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152593</xdr:colOff>
      <xdr:row>1</xdr:row>
      <xdr:rowOff>127449</xdr:rowOff>
    </xdr:from>
    <xdr:to>
      <xdr:col>27</xdr:col>
      <xdr:colOff>19664</xdr:colOff>
      <xdr:row>7</xdr:row>
      <xdr:rowOff>91388</xdr:rowOff>
    </xdr:to>
    <mc:AlternateContent xmlns:mc="http://schemas.openxmlformats.org/markup-compatibility/2006" xmlns:tsle="http://schemas.microsoft.com/office/drawing/2012/timeslicer">
      <mc:Choice Requires="tsle">
        <xdr:graphicFrame macro="">
          <xdr:nvGraphicFramePr>
            <xdr:cNvPr id="4" name="Rpt_Week">
              <a:extLst>
                <a:ext uri="{FF2B5EF4-FFF2-40B4-BE49-F238E27FC236}">
                  <a16:creationId xmlns:a16="http://schemas.microsoft.com/office/drawing/2014/main" id="{C48A2215-7C80-CA1D-7284-ACA824A2168E}"/>
                </a:ext>
              </a:extLst>
            </xdr:cNvPr>
            <xdr:cNvGraphicFramePr/>
          </xdr:nvGraphicFramePr>
          <xdr:xfrm>
            <a:off x="0" y="0"/>
            <a:ext cx="0" cy="0"/>
          </xdr:xfrm>
          <a:graphic>
            <a:graphicData uri="http://schemas.microsoft.com/office/drawing/2012/timeslicer">
              <tsle:timeslicer name="Rpt_Week"/>
            </a:graphicData>
          </a:graphic>
        </xdr:graphicFrame>
      </mc:Choice>
      <mc:Fallback xmlns="">
        <xdr:sp macro="" textlink="">
          <xdr:nvSpPr>
            <xdr:cNvPr id="0" name=""/>
            <xdr:cNvSpPr>
              <a:spLocks noTextEdit="1"/>
            </xdr:cNvSpPr>
          </xdr:nvSpPr>
          <xdr:spPr>
            <a:xfrm>
              <a:off x="152593" y="313459"/>
              <a:ext cx="9360000" cy="1080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40</xdr:col>
      <xdr:colOff>590101</xdr:colOff>
      <xdr:row>8</xdr:row>
      <xdr:rowOff>65168</xdr:rowOff>
    </xdr:from>
    <xdr:to>
      <xdr:col>56</xdr:col>
      <xdr:colOff>200606</xdr:colOff>
      <xdr:row>27</xdr:row>
      <xdr:rowOff>130976</xdr:rowOff>
    </xdr:to>
    <xdr:graphicFrame macro="">
      <xdr:nvGraphicFramePr>
        <xdr:cNvPr id="3" name="Chart 2">
          <a:extLst>
            <a:ext uri="{FF2B5EF4-FFF2-40B4-BE49-F238E27FC236}">
              <a16:creationId xmlns:a16="http://schemas.microsoft.com/office/drawing/2014/main" id="{AF228C2A-AE25-8F19-D75D-B32B69092B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40</xdr:col>
      <xdr:colOff>598501</xdr:colOff>
      <xdr:row>1</xdr:row>
      <xdr:rowOff>161444</xdr:rowOff>
    </xdr:from>
    <xdr:to>
      <xdr:col>56</xdr:col>
      <xdr:colOff>121868</xdr:colOff>
      <xdr:row>7</xdr:row>
      <xdr:rowOff>125383</xdr:rowOff>
    </xdr:to>
    <mc:AlternateContent xmlns:mc="http://schemas.openxmlformats.org/markup-compatibility/2006" xmlns:tsle="http://schemas.microsoft.com/office/drawing/2012/timeslicer">
      <mc:Choice Requires="tsle">
        <xdr:graphicFrame macro="">
          <xdr:nvGraphicFramePr>
            <xdr:cNvPr id="5" name="Rpt_Week 1">
              <a:extLst>
                <a:ext uri="{FF2B5EF4-FFF2-40B4-BE49-F238E27FC236}">
                  <a16:creationId xmlns:a16="http://schemas.microsoft.com/office/drawing/2014/main" id="{AD8D3CEF-3515-C626-70F3-0F0249D55C06}"/>
                </a:ext>
              </a:extLst>
            </xdr:cNvPr>
            <xdr:cNvGraphicFramePr/>
          </xdr:nvGraphicFramePr>
          <xdr:xfrm>
            <a:off x="0" y="0"/>
            <a:ext cx="0" cy="0"/>
          </xdr:xfrm>
          <a:graphic>
            <a:graphicData uri="http://schemas.microsoft.com/office/drawing/2012/timeslicer">
              <tsle:timeslicer name="Rpt_Week 1"/>
            </a:graphicData>
          </a:graphic>
        </xdr:graphicFrame>
      </mc:Choice>
      <mc:Fallback xmlns="">
        <xdr:sp macro="" textlink="">
          <xdr:nvSpPr>
            <xdr:cNvPr id="0" name=""/>
            <xdr:cNvSpPr>
              <a:spLocks noTextEdit="1"/>
            </xdr:cNvSpPr>
          </xdr:nvSpPr>
          <xdr:spPr>
            <a:xfrm>
              <a:off x="11425572" y="347454"/>
              <a:ext cx="9272862" cy="1080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68</xdr:col>
      <xdr:colOff>23088</xdr:colOff>
      <xdr:row>8</xdr:row>
      <xdr:rowOff>26682</xdr:rowOff>
    </xdr:from>
    <xdr:to>
      <xdr:col>83</xdr:col>
      <xdr:colOff>242937</xdr:colOff>
      <xdr:row>27</xdr:row>
      <xdr:rowOff>92490</xdr:rowOff>
    </xdr:to>
    <xdr:graphicFrame macro="">
      <xdr:nvGraphicFramePr>
        <xdr:cNvPr id="6" name="Chart 5">
          <a:extLst>
            <a:ext uri="{FF2B5EF4-FFF2-40B4-BE49-F238E27FC236}">
              <a16:creationId xmlns:a16="http://schemas.microsoft.com/office/drawing/2014/main" id="{A97EB4FD-D595-C8CC-9D05-3CB9129F00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68</xdr:col>
      <xdr:colOff>17958</xdr:colOff>
      <xdr:row>1</xdr:row>
      <xdr:rowOff>170553</xdr:rowOff>
    </xdr:from>
    <xdr:to>
      <xdr:col>83</xdr:col>
      <xdr:colOff>237807</xdr:colOff>
      <xdr:row>7</xdr:row>
      <xdr:rowOff>134492</xdr:rowOff>
    </xdr:to>
    <mc:AlternateContent xmlns:mc="http://schemas.openxmlformats.org/markup-compatibility/2006" xmlns:tsle="http://schemas.microsoft.com/office/drawing/2012/timeslicer">
      <mc:Choice Requires="tsle">
        <xdr:graphicFrame macro="">
          <xdr:nvGraphicFramePr>
            <xdr:cNvPr id="7" name="Rpt_Week 2">
              <a:extLst>
                <a:ext uri="{FF2B5EF4-FFF2-40B4-BE49-F238E27FC236}">
                  <a16:creationId xmlns:a16="http://schemas.microsoft.com/office/drawing/2014/main" id="{832DB11C-1BFE-B946-5463-9EE7E5048183}"/>
                </a:ext>
              </a:extLst>
            </xdr:cNvPr>
            <xdr:cNvGraphicFramePr/>
          </xdr:nvGraphicFramePr>
          <xdr:xfrm>
            <a:off x="0" y="0"/>
            <a:ext cx="0" cy="0"/>
          </xdr:xfrm>
          <a:graphic>
            <a:graphicData uri="http://schemas.microsoft.com/office/drawing/2012/timeslicer">
              <tsle:timeslicer name="Rpt_Week 2"/>
            </a:graphicData>
          </a:graphic>
        </xdr:graphicFrame>
      </mc:Choice>
      <mc:Fallback xmlns="">
        <xdr:sp macro="" textlink="">
          <xdr:nvSpPr>
            <xdr:cNvPr id="0" name=""/>
            <xdr:cNvSpPr>
              <a:spLocks noTextEdit="1"/>
            </xdr:cNvSpPr>
          </xdr:nvSpPr>
          <xdr:spPr>
            <a:xfrm>
              <a:off x="22422554" y="356563"/>
              <a:ext cx="9360000" cy="10800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34925</xdr:colOff>
      <xdr:row>8</xdr:row>
      <xdr:rowOff>76200</xdr:rowOff>
    </xdr:from>
    <xdr:to>
      <xdr:col>22</xdr:col>
      <xdr:colOff>250925</xdr:colOff>
      <xdr:row>27</xdr:row>
      <xdr:rowOff>177350</xdr:rowOff>
    </xdr:to>
    <xdr:graphicFrame macro="">
      <xdr:nvGraphicFramePr>
        <xdr:cNvPr id="2" name="Chart 1">
          <a:extLst>
            <a:ext uri="{FF2B5EF4-FFF2-40B4-BE49-F238E27FC236}">
              <a16:creationId xmlns:a16="http://schemas.microsoft.com/office/drawing/2014/main" id="{37722363-87A2-75CF-4C67-34D8ABAAED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603250</xdr:colOff>
      <xdr:row>0</xdr:row>
      <xdr:rowOff>76200</xdr:rowOff>
    </xdr:from>
    <xdr:to>
      <xdr:col>22</xdr:col>
      <xdr:colOff>247650</xdr:colOff>
      <xdr:row>7</xdr:row>
      <xdr:rowOff>177800</xdr:rowOff>
    </xdr:to>
    <mc:AlternateContent xmlns:mc="http://schemas.openxmlformats.org/markup-compatibility/2006" xmlns:tsle="http://schemas.microsoft.com/office/drawing/2012/timeslicer">
      <mc:Choice Requires="tsle">
        <xdr:graphicFrame macro="">
          <xdr:nvGraphicFramePr>
            <xdr:cNvPr id="3" name="Rpt_Month">
              <a:extLst>
                <a:ext uri="{FF2B5EF4-FFF2-40B4-BE49-F238E27FC236}">
                  <a16:creationId xmlns:a16="http://schemas.microsoft.com/office/drawing/2014/main" id="{2ED80FAC-4E36-B287-007B-CAC342AF2FF6}"/>
                </a:ext>
              </a:extLst>
            </xdr:cNvPr>
            <xdr:cNvGraphicFramePr/>
          </xdr:nvGraphicFramePr>
          <xdr:xfrm>
            <a:off x="0" y="0"/>
            <a:ext cx="0" cy="0"/>
          </xdr:xfrm>
          <a:graphic>
            <a:graphicData uri="http://schemas.microsoft.com/office/drawing/2012/timeslicer">
              <tsle:timeslicer name="Rpt_Month"/>
            </a:graphicData>
          </a:graphic>
        </xdr:graphicFrame>
      </mc:Choice>
      <mc:Fallback xmlns="">
        <xdr:sp macro="" textlink="">
          <xdr:nvSpPr>
            <xdr:cNvPr id="0" name=""/>
            <xdr:cNvSpPr>
              <a:spLocks noTextEdit="1"/>
            </xdr:cNvSpPr>
          </xdr:nvSpPr>
          <xdr:spPr>
            <a:xfrm>
              <a:off x="603250" y="76200"/>
              <a:ext cx="9398000" cy="13906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33</xdr:col>
      <xdr:colOff>25400</xdr:colOff>
      <xdr:row>8</xdr:row>
      <xdr:rowOff>38100</xdr:rowOff>
    </xdr:from>
    <xdr:to>
      <xdr:col>48</xdr:col>
      <xdr:colOff>241400</xdr:colOff>
      <xdr:row>27</xdr:row>
      <xdr:rowOff>139250</xdr:rowOff>
    </xdr:to>
    <xdr:graphicFrame macro="">
      <xdr:nvGraphicFramePr>
        <xdr:cNvPr id="4" name="Chart 3">
          <a:extLst>
            <a:ext uri="{FF2B5EF4-FFF2-40B4-BE49-F238E27FC236}">
              <a16:creationId xmlns:a16="http://schemas.microsoft.com/office/drawing/2014/main" id="{D0715753-3D80-6937-57DE-51389D1BE9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33</xdr:col>
      <xdr:colOff>25400</xdr:colOff>
      <xdr:row>0</xdr:row>
      <xdr:rowOff>57150</xdr:rowOff>
    </xdr:from>
    <xdr:to>
      <xdr:col>48</xdr:col>
      <xdr:colOff>241400</xdr:colOff>
      <xdr:row>7</xdr:row>
      <xdr:rowOff>139700</xdr:rowOff>
    </xdr:to>
    <mc:AlternateContent xmlns:mc="http://schemas.openxmlformats.org/markup-compatibility/2006" xmlns:tsle="http://schemas.microsoft.com/office/drawing/2012/timeslicer">
      <mc:Choice Requires="tsle">
        <xdr:graphicFrame macro="">
          <xdr:nvGraphicFramePr>
            <xdr:cNvPr id="5" name="Rpt_Month 1">
              <a:extLst>
                <a:ext uri="{FF2B5EF4-FFF2-40B4-BE49-F238E27FC236}">
                  <a16:creationId xmlns:a16="http://schemas.microsoft.com/office/drawing/2014/main" id="{B0D9A79B-12DF-2D7B-A3F6-7169FC1F869F}"/>
                </a:ext>
              </a:extLst>
            </xdr:cNvPr>
            <xdr:cNvGraphicFramePr/>
          </xdr:nvGraphicFramePr>
          <xdr:xfrm>
            <a:off x="0" y="0"/>
            <a:ext cx="0" cy="0"/>
          </xdr:xfrm>
          <a:graphic>
            <a:graphicData uri="http://schemas.microsoft.com/office/drawing/2012/timeslicer">
              <tsle:timeslicer name="Rpt_Month 1"/>
            </a:graphicData>
          </a:graphic>
        </xdr:graphicFrame>
      </mc:Choice>
      <mc:Fallback xmlns="">
        <xdr:sp macro="" textlink="">
          <xdr:nvSpPr>
            <xdr:cNvPr id="0" name=""/>
            <xdr:cNvSpPr>
              <a:spLocks noTextEdit="1"/>
            </xdr:cNvSpPr>
          </xdr:nvSpPr>
          <xdr:spPr>
            <a:xfrm>
              <a:off x="12217400" y="57150"/>
              <a:ext cx="93600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60</xdr:col>
      <xdr:colOff>9525</xdr:colOff>
      <xdr:row>8</xdr:row>
      <xdr:rowOff>19050</xdr:rowOff>
    </xdr:from>
    <xdr:to>
      <xdr:col>75</xdr:col>
      <xdr:colOff>225525</xdr:colOff>
      <xdr:row>27</xdr:row>
      <xdr:rowOff>120200</xdr:rowOff>
    </xdr:to>
    <xdr:graphicFrame macro="">
      <xdr:nvGraphicFramePr>
        <xdr:cNvPr id="6" name="Chart 5">
          <a:extLst>
            <a:ext uri="{FF2B5EF4-FFF2-40B4-BE49-F238E27FC236}">
              <a16:creationId xmlns:a16="http://schemas.microsoft.com/office/drawing/2014/main" id="{622DA1A6-8077-A808-87D8-0AB723BDE9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60</xdr:col>
      <xdr:colOff>19050</xdr:colOff>
      <xdr:row>0</xdr:row>
      <xdr:rowOff>50800</xdr:rowOff>
    </xdr:from>
    <xdr:to>
      <xdr:col>75</xdr:col>
      <xdr:colOff>235050</xdr:colOff>
      <xdr:row>7</xdr:row>
      <xdr:rowOff>133350</xdr:rowOff>
    </xdr:to>
    <mc:AlternateContent xmlns:mc="http://schemas.openxmlformats.org/markup-compatibility/2006" xmlns:tsle="http://schemas.microsoft.com/office/drawing/2012/timeslicer">
      <mc:Choice Requires="tsle">
        <xdr:graphicFrame macro="">
          <xdr:nvGraphicFramePr>
            <xdr:cNvPr id="7" name="Rpt_Month 2">
              <a:extLst>
                <a:ext uri="{FF2B5EF4-FFF2-40B4-BE49-F238E27FC236}">
                  <a16:creationId xmlns:a16="http://schemas.microsoft.com/office/drawing/2014/main" id="{8CA6BF61-82E6-79B7-01BD-E2226A4726CD}"/>
                </a:ext>
              </a:extLst>
            </xdr:cNvPr>
            <xdr:cNvGraphicFramePr/>
          </xdr:nvGraphicFramePr>
          <xdr:xfrm>
            <a:off x="0" y="0"/>
            <a:ext cx="0" cy="0"/>
          </xdr:xfrm>
          <a:graphic>
            <a:graphicData uri="http://schemas.microsoft.com/office/drawing/2012/timeslicer">
              <tsle:timeslicer name="Rpt_Month 2"/>
            </a:graphicData>
          </a:graphic>
        </xdr:graphicFrame>
      </mc:Choice>
      <mc:Fallback xmlns="">
        <xdr:sp macro="" textlink="">
          <xdr:nvSpPr>
            <xdr:cNvPr id="0" name=""/>
            <xdr:cNvSpPr>
              <a:spLocks noTextEdit="1"/>
            </xdr:cNvSpPr>
          </xdr:nvSpPr>
          <xdr:spPr>
            <a:xfrm>
              <a:off x="23183850" y="50800"/>
              <a:ext cx="936000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73025</xdr:colOff>
      <xdr:row>0</xdr:row>
      <xdr:rowOff>158750</xdr:rowOff>
    </xdr:from>
    <xdr:to>
      <xdr:col>4</xdr:col>
      <xdr:colOff>1866900</xdr:colOff>
      <xdr:row>15</xdr:row>
      <xdr:rowOff>139700</xdr:rowOff>
    </xdr:to>
    <xdr:graphicFrame macro="">
      <xdr:nvGraphicFramePr>
        <xdr:cNvPr id="4" name="Chart 3">
          <a:extLst>
            <a:ext uri="{FF2B5EF4-FFF2-40B4-BE49-F238E27FC236}">
              <a16:creationId xmlns:a16="http://schemas.microsoft.com/office/drawing/2014/main" id="{0C3AA101-C577-E596-CA1A-B0A6762FD3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358775</xdr:colOff>
      <xdr:row>17</xdr:row>
      <xdr:rowOff>127000</xdr:rowOff>
    </xdr:from>
    <xdr:to>
      <xdr:col>11</xdr:col>
      <xdr:colOff>1657350</xdr:colOff>
      <xdr:row>32</xdr:row>
      <xdr:rowOff>107950</xdr:rowOff>
    </xdr:to>
    <xdr:graphicFrame macro="">
      <xdr:nvGraphicFramePr>
        <xdr:cNvPr id="5" name="Chart 4">
          <a:extLst>
            <a:ext uri="{FF2B5EF4-FFF2-40B4-BE49-F238E27FC236}">
              <a16:creationId xmlns:a16="http://schemas.microsoft.com/office/drawing/2014/main" id="{8A20BB34-330D-8729-A72C-A4B80C5E08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1079501</xdr:colOff>
      <xdr:row>35</xdr:row>
      <xdr:rowOff>50800</xdr:rowOff>
    </xdr:from>
    <xdr:to>
      <xdr:col>5</xdr:col>
      <xdr:colOff>1962150</xdr:colOff>
      <xdr:row>51</xdr:row>
      <xdr:rowOff>165100</xdr:rowOff>
    </xdr:to>
    <xdr:graphicFrame macro="">
      <xdr:nvGraphicFramePr>
        <xdr:cNvPr id="10" name="Chart 9">
          <a:extLst>
            <a:ext uri="{FF2B5EF4-FFF2-40B4-BE49-F238E27FC236}">
              <a16:creationId xmlns:a16="http://schemas.microsoft.com/office/drawing/2014/main" id="{69411CD2-1433-BF41-983A-ECFA4B4A7D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254000</xdr:colOff>
      <xdr:row>68</xdr:row>
      <xdr:rowOff>88900</xdr:rowOff>
    </xdr:from>
    <xdr:to>
      <xdr:col>7</xdr:col>
      <xdr:colOff>1104900</xdr:colOff>
      <xdr:row>85</xdr:row>
      <xdr:rowOff>31750</xdr:rowOff>
    </xdr:to>
    <xdr:graphicFrame macro="">
      <xdr:nvGraphicFramePr>
        <xdr:cNvPr id="11" name="Chart 10">
          <a:extLst>
            <a:ext uri="{FF2B5EF4-FFF2-40B4-BE49-F238E27FC236}">
              <a16:creationId xmlns:a16="http://schemas.microsoft.com/office/drawing/2014/main" id="{D611843F-5258-2734-6A51-440BCE986F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266700</xdr:colOff>
      <xdr:row>61</xdr:row>
      <xdr:rowOff>76201</xdr:rowOff>
    </xdr:from>
    <xdr:to>
      <xdr:col>4</xdr:col>
      <xdr:colOff>2178050</xdr:colOff>
      <xdr:row>68</xdr:row>
      <xdr:rowOff>12701</xdr:rowOff>
    </xdr:to>
    <mc:AlternateContent xmlns:mc="http://schemas.openxmlformats.org/markup-compatibility/2006" xmlns:a14="http://schemas.microsoft.com/office/drawing/2010/main">
      <mc:Choice Requires="a14">
        <xdr:graphicFrame macro="">
          <xdr:nvGraphicFramePr>
            <xdr:cNvPr id="12" name="Discipline 1">
              <a:extLst>
                <a:ext uri="{FF2B5EF4-FFF2-40B4-BE49-F238E27FC236}">
                  <a16:creationId xmlns:a16="http://schemas.microsoft.com/office/drawing/2014/main" id="{F90F6FED-220E-30E4-7E84-9EDB32A4A593}"/>
                </a:ext>
              </a:extLst>
            </xdr:cNvPr>
            <xdr:cNvGraphicFramePr/>
          </xdr:nvGraphicFramePr>
          <xdr:xfrm>
            <a:off x="0" y="0"/>
            <a:ext cx="0" cy="0"/>
          </xdr:xfrm>
          <a:graphic>
            <a:graphicData uri="http://schemas.microsoft.com/office/drawing/2010/slicer">
              <sle:slicer xmlns:sle="http://schemas.microsoft.com/office/drawing/2010/slicer" name="Discipline 1"/>
            </a:graphicData>
          </a:graphic>
        </xdr:graphicFrame>
      </mc:Choice>
      <mc:Fallback xmlns="">
        <xdr:sp macro="" textlink="">
          <xdr:nvSpPr>
            <xdr:cNvPr id="0" name=""/>
            <xdr:cNvSpPr>
              <a:spLocks noTextEdit="1"/>
            </xdr:cNvSpPr>
          </xdr:nvSpPr>
          <xdr:spPr>
            <a:xfrm>
              <a:off x="3359150" y="11309351"/>
              <a:ext cx="1911350" cy="1225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osh" refreshedDate="46248.818733449072" createdVersion="8" refreshedVersion="8" minRefreshableVersion="3" recordCount="87" xr:uid="{2D3B3A98-1DEA-4FDC-9B31-4736E2971F7C}">
  <cacheSource type="worksheet">
    <worksheetSource ref="T2:X89" sheet="S_Curve_Data"/>
  </cacheSource>
  <cacheFields count="5">
    <cacheField name="Rpt_Week" numFmtId="15">
      <sharedItems containsSemiMixedTypes="0" containsNonDate="0" containsDate="1" containsString="0" minDate="2025-01-06T00:00:00" maxDate="2026-09-01T00:00:00" count="87">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d v="2025-05-19T00:00:00"/>
        <d v="2025-05-26T00:00:00"/>
        <d v="2025-06-02T00:00:00"/>
        <d v="2025-06-09T00:00:00"/>
        <d v="2025-06-16T00:00:00"/>
        <d v="2025-06-23T00:00:00"/>
        <d v="2025-06-30T00:00:00"/>
        <d v="2025-07-07T00:00:00"/>
        <d v="2025-07-14T00:00:00"/>
        <d v="2025-07-21T00:00:00"/>
        <d v="2025-07-28T00:00:00"/>
        <d v="2025-08-04T00:00:00"/>
        <d v="2025-08-11T00:00:00"/>
        <d v="2025-08-18T00:00:00"/>
        <d v="2025-08-25T00:00:00"/>
        <d v="2025-09-01T00:00:00"/>
        <d v="2025-09-08T00:00:00"/>
        <d v="2025-09-15T00:00:00"/>
        <d v="2025-09-22T00:00:00"/>
        <d v="2025-09-29T00:00:00"/>
        <d v="2025-10-06T00:00:00"/>
        <d v="2025-10-13T00:00:00"/>
        <d v="2025-10-20T00:00:00"/>
        <d v="2025-10-27T00:00:00"/>
        <d v="2025-11-03T00:00:00"/>
        <d v="2025-11-10T00:00:00"/>
        <d v="2025-11-17T00:00:00"/>
        <d v="2025-11-24T00:00:00"/>
        <d v="2025-12-01T00:00:00"/>
        <d v="2025-12-08T00:00:00"/>
        <d v="2025-12-15T00:00:00"/>
        <d v="2025-12-22T00:00:00"/>
        <d v="2025-12-29T00:00:00"/>
        <d v="2026-01-05T00:00:00"/>
        <d v="2026-01-12T00:00:00"/>
        <d v="2026-01-19T00:00:00"/>
        <d v="2026-01-26T00:00:00"/>
        <d v="2026-02-02T00:00:00"/>
        <d v="2026-02-09T00:00:00"/>
        <d v="2026-02-16T00:00:00"/>
        <d v="2026-02-23T00:00:00"/>
        <d v="2026-03-02T00:00:00"/>
        <d v="2026-03-09T00:00:00"/>
        <d v="2026-03-16T00:00:00"/>
        <d v="2026-03-23T00:00:00"/>
        <d v="2026-03-30T00:00:00"/>
        <d v="2026-04-06T00:00:00"/>
        <d v="2026-04-13T00:00:00"/>
        <d v="2026-04-20T00:00:00"/>
        <d v="2026-04-27T00:00:00"/>
        <d v="2026-05-04T00:00:00"/>
        <d v="2026-05-11T00:00:00"/>
        <d v="2026-05-18T00:00:00"/>
        <d v="2026-05-25T00:00:00"/>
        <d v="2026-06-01T00:00:00"/>
        <d v="2026-06-08T00:00:00"/>
        <d v="2026-06-15T00:00:00"/>
        <d v="2026-06-22T00:00:00"/>
        <d v="2026-06-29T00:00:00"/>
        <d v="2026-07-06T00:00:00"/>
        <d v="2026-07-13T00:00:00"/>
        <d v="2026-07-20T00:00:00"/>
        <d v="2026-07-27T00:00:00"/>
        <d v="2026-08-03T00:00:00"/>
        <d v="2026-08-10T00:00:00"/>
        <d v="2026-08-17T00:00:00"/>
        <d v="2026-08-24T00:00:00"/>
        <d v="2026-08-31T00:00:00"/>
      </sharedItems>
    </cacheField>
    <cacheField name="Submission_1 Plan" numFmtId="166">
      <sharedItems containsSemiMixedTypes="0" containsString="0" containsNumber="1" minValue="0" maxValue="0.17796610169491525"/>
    </cacheField>
    <cacheField name="Submission_1 Actuals" numFmtId="166">
      <sharedItems containsSemiMixedTypes="0" containsString="0" containsNumber="1" minValue="0" maxValue="0.13135593220338984"/>
    </cacheField>
    <cacheField name="Approval Plan" numFmtId="166">
      <sharedItems containsSemiMixedTypes="0" containsString="0" containsNumber="1" minValue="0" maxValue="0.11440677966101695"/>
    </cacheField>
    <cacheField name="Approval Actuals" numFmtId="166">
      <sharedItems containsSemiMixedTypes="0" containsString="0" containsNumber="1" minValue="0" maxValue="0.23728813559322035"/>
    </cacheField>
  </cacheFields>
  <extLst>
    <ext xmlns:x14="http://schemas.microsoft.com/office/spreadsheetml/2009/9/main" uri="{725AE2AE-9491-48be-B2B4-4EB974FC3084}">
      <x14:pivotCacheDefinition pivotCacheId="113339911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osh" refreshedDate="46248.818733449072" createdVersion="8" refreshedVersion="8" minRefreshableVersion="3" recordCount="87" xr:uid="{F0564C24-B454-4266-B7EC-11AA78FAB3DB}">
  <cacheSource type="worksheet">
    <worksheetSource ref="M2:Q89" sheet="S_Curve_Data"/>
  </cacheSource>
  <cacheFields count="5">
    <cacheField name="Rpt_Week" numFmtId="15">
      <sharedItems containsSemiMixedTypes="0" containsNonDate="0" containsDate="1" containsString="0" minDate="2025-01-06T00:00:00" maxDate="2026-09-01T00:00:00" count="87">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d v="2025-05-19T00:00:00"/>
        <d v="2025-05-26T00:00:00"/>
        <d v="2025-06-02T00:00:00"/>
        <d v="2025-06-09T00:00:00"/>
        <d v="2025-06-16T00:00:00"/>
        <d v="2025-06-23T00:00:00"/>
        <d v="2025-06-30T00:00:00"/>
        <d v="2025-07-07T00:00:00"/>
        <d v="2025-07-14T00:00:00"/>
        <d v="2025-07-21T00:00:00"/>
        <d v="2025-07-28T00:00:00"/>
        <d v="2025-08-04T00:00:00"/>
        <d v="2025-08-11T00:00:00"/>
        <d v="2025-08-18T00:00:00"/>
        <d v="2025-08-25T00:00:00"/>
        <d v="2025-09-01T00:00:00"/>
        <d v="2025-09-08T00:00:00"/>
        <d v="2025-09-15T00:00:00"/>
        <d v="2025-09-22T00:00:00"/>
        <d v="2025-09-29T00:00:00"/>
        <d v="2025-10-06T00:00:00"/>
        <d v="2025-10-13T00:00:00"/>
        <d v="2025-10-20T00:00:00"/>
        <d v="2025-10-27T00:00:00"/>
        <d v="2025-11-03T00:00:00"/>
        <d v="2025-11-10T00:00:00"/>
        <d v="2025-11-17T00:00:00"/>
        <d v="2025-11-24T00:00:00"/>
        <d v="2025-12-01T00:00:00"/>
        <d v="2025-12-08T00:00:00"/>
        <d v="2025-12-15T00:00:00"/>
        <d v="2025-12-22T00:00:00"/>
        <d v="2025-12-29T00:00:00"/>
        <d v="2026-01-05T00:00:00"/>
        <d v="2026-01-12T00:00:00"/>
        <d v="2026-01-19T00:00:00"/>
        <d v="2026-01-26T00:00:00"/>
        <d v="2026-02-02T00:00:00"/>
        <d v="2026-02-09T00:00:00"/>
        <d v="2026-02-16T00:00:00"/>
        <d v="2026-02-23T00:00:00"/>
        <d v="2026-03-02T00:00:00"/>
        <d v="2026-03-09T00:00:00"/>
        <d v="2026-03-16T00:00:00"/>
        <d v="2026-03-23T00:00:00"/>
        <d v="2026-03-30T00:00:00"/>
        <d v="2026-04-06T00:00:00"/>
        <d v="2026-04-13T00:00:00"/>
        <d v="2026-04-20T00:00:00"/>
        <d v="2026-04-27T00:00:00"/>
        <d v="2026-05-04T00:00:00"/>
        <d v="2026-05-11T00:00:00"/>
        <d v="2026-05-18T00:00:00"/>
        <d v="2026-05-25T00:00:00"/>
        <d v="2026-06-01T00:00:00"/>
        <d v="2026-06-08T00:00:00"/>
        <d v="2026-06-15T00:00:00"/>
        <d v="2026-06-22T00:00:00"/>
        <d v="2026-06-29T00:00:00"/>
        <d v="2026-07-06T00:00:00"/>
        <d v="2026-07-13T00:00:00"/>
        <d v="2026-07-20T00:00:00"/>
        <d v="2026-07-27T00:00:00"/>
        <d v="2026-08-03T00:00:00"/>
        <d v="2026-08-10T00:00:00"/>
        <d v="2026-08-17T00:00:00"/>
        <d v="2026-08-24T00:00:00"/>
        <d v="2026-08-31T00:00:00"/>
      </sharedItems>
    </cacheField>
    <cacheField name="Submission_1 Plan" numFmtId="166">
      <sharedItems containsSemiMixedTypes="0" containsString="0" containsNumber="1" minValue="0" maxValue="0.13821138211382114"/>
    </cacheField>
    <cacheField name="Submission_1 Actuals" numFmtId="166">
      <sharedItems containsSemiMixedTypes="0" containsString="0" containsNumber="1" minValue="0" maxValue="0.13821138211382114"/>
    </cacheField>
    <cacheField name="Approval Plan" numFmtId="166">
      <sharedItems containsSemiMixedTypes="0" containsString="0" containsNumber="1" minValue="0" maxValue="0.11382113821138211"/>
    </cacheField>
    <cacheField name="Approval Actuals" numFmtId="166">
      <sharedItems containsSemiMixedTypes="0" containsString="0" containsNumber="1" minValue="0" maxValue="0.1951219512195122"/>
    </cacheField>
  </cacheFields>
  <extLst>
    <ext xmlns:x14="http://schemas.microsoft.com/office/spreadsheetml/2009/9/main" uri="{725AE2AE-9491-48be-B2B4-4EB974FC3084}">
      <x14:pivotCacheDefinition pivotCacheId="186046571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osh" refreshedDate="46248.818733564818" createdVersion="8" refreshedVersion="8" minRefreshableVersion="3" recordCount="542" xr:uid="{22AC8883-69CE-4047-A950-7E02DD626781}">
  <cacheSource type="worksheet">
    <worksheetSource ref="A1:Q543" sheet="Master_Data"/>
  </cacheSource>
  <cacheFields count="17">
    <cacheField name="S.no" numFmtId="0">
      <sharedItems containsSemiMixedTypes="0" containsString="0" containsNumber="1" containsInteger="1" minValue="1" maxValue="542"/>
    </cacheField>
    <cacheField name="Discipline" numFmtId="0">
      <sharedItems count="3">
        <s v="MEP"/>
        <s v="Structural"/>
        <s v="Architecture"/>
      </sharedItems>
    </cacheField>
    <cacheField name="Category" numFmtId="0">
      <sharedItems count="8">
        <s v="PHE"/>
        <s v="Electrical"/>
        <s v="ELV"/>
        <s v="Fire"/>
        <s v="HVAC"/>
        <s v="MEP"/>
        <s v="New Building"/>
        <s v="Existing Building"/>
      </sharedItems>
    </cacheField>
    <cacheField name="DRG ID" numFmtId="0">
      <sharedItems count="542">
        <s v="WLH/KEC/SIEC/SEWAGE/BASEMENT/00"/>
        <s v="WLH/KEC/SIEC/DRAINAGE/BASEMENT/00"/>
        <s v="WLH/KEC/SIEC/WATER SUPPLY/GF FL/00"/>
        <s v="WLH/KEC/SIEC/DRAINAGE/GF FL/00"/>
        <s v="WLH/KEC/SIEC/WATER SUPPLY/1ST FL/00"/>
        <s v="WLH/KEC/SIEC/DRAINAGE/1ST FL/00"/>
        <s v="WLH/KEC/SIEC/WATER SUPPLY/2ND FL/00"/>
        <s v="WLH/KEC/SIEC/DRAINAGE/2ND FL/00"/>
        <s v="WLH/KEC/SIEC/WATER SUPPLY/3RD FL/00"/>
        <s v="WLH/KEC/SIEC/DRAINAGE/3RD FL/00"/>
        <s v="WLH/KEC/SIEC/WATER SUPPLY/4TH FL/00"/>
        <s v="WLH/KEC/SIEC/DRAINAGE/4TH FL/00"/>
        <s v="WLH/KEC/SIEC/WATER SUPPLY/5TH FL/00"/>
        <s v="WLH/KEC/SIEC/DRAINAGE/5TH FL/00"/>
        <s v="WLH/KEC/SIEC/WATER SUPPLY/6TH FL/00"/>
        <s v="WLH/KEC/SIEC/DRAINAGE/6TH FL/00"/>
        <s v="WLH/KEC/SIEC/WATER SUPPLY/7TH FL/00"/>
        <s v="WLH/KEC/SIEC/DRAINAGE/7TH FL/00"/>
        <s v="WLH/KEC/SIEC/WATER SUPPLY/8TH FL/00"/>
        <s v="WLH/KEC/SIEC/DRAINAGE/8TH FL/00"/>
        <s v="WLH/KEC/SIEC/WATER SUPPLY/9TH FL/00"/>
        <s v="WLH/KEC/SIEC/DRAINAGE/9TH FL/00"/>
        <s v="WLH/KEC/SIEC/WATER SUPPLY/10TH FL/00"/>
        <s v="WLH/KEC/SIEC/DRAINAGE/10TH FL/00"/>
        <s v="WLH/KEC/SIEC/WATER SUPPLY/TERRACE FL/00"/>
        <s v="WLH/KEC/SIEC/DRAINAGE/TRRRACE FL/00"/>
        <s v="WLH/KEC/SIEC/DRAINAGE/MUMTY TERRACE FL/00"/>
        <s v="WLH/KEC/SIEC/PHE/INFRA/EXTSEWERAGE/00"/>
        <s v="WLH/KEC/SIEC/PHE/INFRA/00"/>
        <s v="WLH/KEC/SIEC/PHE/INFRA WATER SUPPLY/00"/>
        <s v="WLH/KEC/SIEC/PHE/INFRA/EXTSTORMWATER/00"/>
        <s v="WLH/KEC/SIEC/PHE/INFRA/RECHARGE BOREWELL00"/>
        <s v="WLH/KEC/SIEC/WATER SUPPLY SLD/00"/>
        <s v="WLH/KEC/SIEC/SANITARY DRAINAGE/SLD/00"/>
        <s v="WLH/KEC/SIEC/RAIN WATER DRAINAGE/SLD/00"/>
        <s v="WLH/KEC/SIEC/OWT/PHE/00"/>
        <s v="WLH/KEC/SIEC/DRAINAGE/BASEMENT/DEWATERING/00"/>
        <s v="WLH/KEC/SIEC/PHE/CONST. DETAILS/00"/>
        <s v="WLH/KEC/SIEC/WATER SUPPLY/EXTERNAL/00"/>
        <s v="WLH/KEC/SIEC/PHE/BASEMENT TOILET/00"/>
        <s v="WLH/KEC/SIEC/DRAINAGE/SUMP DETAIL/00"/>
        <s v="WLH/KEC/STP/BASEMENT/00"/>
        <s v="WLH/KEC/STP/SCHEMATIC"/>
        <s v="WLH/KEC/ETP/SCHEMATIC"/>
        <s v="WLH/KEC/ETP/BASEMENT/00"/>
        <s v="WLH/KEC/SIEC/PHE/IRRIGATION/00"/>
        <s v="WLH/KEC/SIEC/ELEC/INFRA/00"/>
        <s v="WLH/KEC/SIEC/ELEC/DG/00"/>
        <s v="WLH/KEC/SIEC/ELEC/EXTERNAL LIGHTING/00"/>
        <s v="WLH/KEC/SIEC/ELEC/SUBSTATION/00"/>
        <s v="WLH/KEC/SIEC/ELEC/EARTHING GRID SCHEMATIC/00"/>
        <s v="WLH/KEC/SIEC/ELECTRICAL/DBR/00"/>
        <s v="WLH/KEC/SIEC/ELEC/MUMTY TERRACE SOLAR/00"/>
        <s v="WLH/KEC/SIEC/ELEC/EQUIPMENT &amp; EARTHING/00"/>
        <s v="WLH/KEC/SIEC/ELEC/HEIGHT SCHEDULE/00"/>
        <s v="WLH/KEC/SIEC/ELEC/EXTCT/00"/>
        <s v="WLH/KEC/SIEC/ELEC/MAIN ROOM DETAILED LAYOUT/00"/>
        <s v="WLH/KEC/SIEC/ELEC/UPS/00"/>
        <s v="WLH/KEC/SIEC/ELEC/POWER CONDUIT/BASEMENT/01"/>
        <s v="WLH/KEC/SIEC/ELEC/POWER CONDUIT/BASEMENT/02"/>
        <s v="WLH/KEC/SIEC/ELEC/POWER CONDUIT/BASEMENT/03"/>
        <s v="WLH/KEC/SIEC/ELEC/LIGHTING CONDUIT/BASEMENT/00"/>
        <s v="WLH/KEC/SIEC/ELEC/BASEMENT/00"/>
        <s v="WLH/KEC/SIEC/ELEC/POWER CONDUIT/GR FL/01"/>
        <s v="WLH/KEC/SIEC/ELEC/POWER CONDUIT/GR FL/02"/>
        <s v="WLH/KEC/SIEC/ELEC/POWER CONDUIT/GR FL/03"/>
        <s v="WLH/KEC/SIEC/ELEC/LIGHTING CONDUIT/GR FL/00"/>
        <s v="WLH/KEC/SIEC/ELEC/GFCT/00"/>
        <s v="WLH/KEC/SIEC/ELEC/POWER CONDUIT/1ST FL/01"/>
        <s v="WLH/KEC/SIEC/ELEC/POWER CONDUIT/1ST FL/02"/>
        <s v="WLH/KEC/SIEC/ELEC/POWER CONDUIT/1ST FL/03"/>
        <s v="WLH/KEC/SIEC/ELEC/LIGHTING CONDUIT/1ST FL/00"/>
        <s v="WLH/KEC/SIEC/ELEC/POWERCONDUIT/2ND FL/01"/>
        <s v="WLH/KEC/SIEC/ELEC/POWERCONDUIT/2ND FL/02"/>
        <s v="WLH/KEC/SIEC/ELEC/POWERCONDUIT/2ND FL/03"/>
        <s v="WLH/KEC/SIEC/ELEC/LIGHTING CONDUIT/2ND FL/00"/>
        <s v="WLH/KEC/SIEC/ELEC/2NDCT/00"/>
        <s v="WLH/KEC/SIEC/ELEC/POWER CONDUIT/3RD FL/01"/>
        <s v="WLH/KEC/SIEC/ELEC/POWER CONDUIT/3RD FL/02"/>
        <s v="WLH/KEC/SIEC/ELEC/POWER CONDUIT/3RD FL/03"/>
        <s v="WLH/KEC/SIEC/ELEC/LIGHTING CONDUIT/3RD FL/00"/>
        <s v="WLH/KEC/SIEC/ELEC/3RDCT/00"/>
        <s v="WLH/KEC/SIEC/ELEC/POWER CONDUIT/4TH FL/01"/>
        <s v="WLH/KEC/SIEC/ELEC/POWER CONDUIT/4TH FL/02"/>
        <s v="WLH/KEC/SIEC/ELEC/POWER CONDUIT/4TH FL/03"/>
        <s v="WLH/KEC/SIEC/ELEC/LIGHTING CONDUIT/4TH FL/00"/>
        <s v="WLH/KEC/SIEC/ELEC/4THCT/00"/>
        <s v="WLH/KEC/SIEC/ELEC/POWER CONDUIT/5TH FL/01"/>
        <s v="WLH/KEC/SIEC/ELEC/POWER CONDUIT/5TH FL/02"/>
        <s v="WLH/KEC/SIEC/ELEC/POWER CONDUIT/5TH FL/03"/>
        <s v="WLH/KEC/SIEC/ELEC/LIGHTING CONDUIT/5TH FL/00"/>
        <s v="WLH/KEC/SIEC/ELEC/5THCT/00"/>
        <s v="WLH/KEC/SIEC/ELEC/POWER CONDUIT/6TH FL/01"/>
        <s v="WLH/KEC/SIEC/ELEC/POWER CONDUIT/6TH FL/02"/>
        <s v="WLH/KEC/SIEC/ELEC/POWER CONDUIT/6TH FL/03"/>
        <s v="WLH/KEC/SIEC/ELEC/LIGHTING CONDUIT/6TH FL/00"/>
        <s v="WLH/KEC/SIEC/ELEC/6THCT/00"/>
        <s v="WLH/KEC/SIEC/ELEC/POWER CONDUIT/7TH FL/01"/>
        <s v="WLH/KEC/SIEC/ELEC/POWER CONDUIT/7TH FL/02"/>
        <s v="WLH/KEC/SIEC/ELEC/POWER CONDUIT/7TH FL/03"/>
        <s v="WLH/KEC/SIEC/ELEC/LIGHTING CONDUIT/7TH FL/00"/>
        <s v="WLH/KEC/SIEC/ELEC/7THCT/00"/>
        <s v="WLH/KEC/SIEC/ELEC/POWER CONDUIT/8TH FL/01"/>
        <s v="WLH/KEC/SIEC/ELEC/POWER CONDUIT/8TH FL/02"/>
        <s v="WLH/KEC/SIEC/ELEC/POWER CONDUIT/8TH FL/03"/>
        <s v="WLH/KEC/SIEC/ELEC/LIGHTING CONDUIT/8TH FL/00"/>
        <s v="WLH/KEC/SIEC/ELEC/8THCT/00"/>
        <s v="WLH/KEC/SIEC/ELEC/POWER CONDUIT/9TH FL/01"/>
        <s v="WLH/KEC/SIEC/ELEC/POWER CONDUIT/9TH FL/02"/>
        <s v="WLH/KEC/SIEC/ELEC/POWER CONDUIT/9TH FL/03"/>
        <s v="WLH/KEC/SIEC/ELEC/LIGHTING CONDUIT/9TH FL/00"/>
        <s v="WLH/KEC/SIEC/ELEC/9TH CT/00"/>
        <s v="WLH/KEC/SIEC/ELEC/POWER CONDUIT/10TH FL/01"/>
        <s v="WLH/KEC/SIEC/ELEC/POWER CONDUIT/10TH FL/02"/>
        <s v="WLH/KEC/SIEC/ELEC/POWER CONDUIT/10TH FL/03"/>
        <s v="WLH/KEC/SIEC/ELEC/LIGHTING CONDUIT/10TH FL/00"/>
        <s v="WLH/KEC/SIEC/ELEC/10THCT/00"/>
        <s v="WLH/KEC/SIEC/ELEC/POWER/TERRACE/00"/>
        <s v="WLH/KEC/SIEC/ELEC/POWER CONDUIT/TERRACE FL/00"/>
        <s v="WLH/KEC/SIEC/ELEC/LIGHTING CONDUIT/TERRACE FL/00"/>
        <s v="WLH/KEC/SIEC/ELEC/TERRACECT/00"/>
        <s v="WLH/KEC/SIEC/ELEC/SCHEMATIC DIAGRAM/00"/>
        <s v="WLH/KEC/SIEC/ELEC/LT ARRESTOR/00"/>
        <s v="WLH/KEC/SIEC/ELEC/AVIATION/00"/>
        <s v="WLH/KEC/SIEC/ELEC/EXTPOWER/00"/>
        <s v="WLH/KEC/SIEC/ELV/INFRA/00"/>
        <s v="WLH/KEC/SIEC/ELV/CCTV/00"/>
        <s v="WLH/KEC/SIEC/ELV/DBR/00"/>
        <s v="WLH/KEC/SIEC/RODENT REPELLENT SYSTEM/ELV/GR FL/00"/>
        <s v="WLH/KEC/SIEC/RODENT REPELLENT SYSTEM/ELV/1ST FL/00"/>
        <s v="WLH/KEC/SIEC/RODENT REPELLENT SYSTEM/ELV/2ND FL/00"/>
        <s v="WLH/KEC/SIEC/RODENT REPELLENT SYSTEM/ELV/3RD FL/00"/>
        <s v="WLH/KEC/SIEC/RODENT REPELLENT SYSTEM/ELV/4TH FL/00"/>
        <s v="WLH/KEC/SIEC/RODENT REPELLENT SYSTEM/ELV/5TH FL/00"/>
        <s v="WLH/KEC/SIEC/RODENT REPELLENT SYSTEM/ELV/6TH FL/00"/>
        <s v="WLH/KEC/SIEC/RODENT REPELLENT SYSTEM/ELV/7TH FL/00"/>
        <s v="WLH/KEC/SIEC/RODENT REPELLENT SYSTEM/ELV/8TH FL/00"/>
        <s v="WLH/KEC/SIEC/RODENT REPELLENT SYSTEM/ELV/9TH FL/00"/>
        <s v="WLH/KEC/SIEC/RODENT REPELLENT SYSTEM/ELV/10TH FL/00"/>
        <s v="WLH/KEC/SIEC/RODENT REPELLENT SYSTEM/ELV/TERRACE FL/00"/>
        <s v="WLH/KEC/SIEC/RODENT REPELLENT SYSTEM SLD/ELV/00"/>
        <s v="WLH/KEC/SIEC/ELV SLD/00"/>
        <s v="WLH/KEC/SIEC/ELV/NURSE CALLING SLD/00"/>
        <s v="WLH/KEC/SIEC/ELV/OPD CALLING SLD/00"/>
        <s v="WLH/KEC/SIEC/ELV/BMS IO SUMMARY &amp; SLD/00"/>
        <s v="WLH/KEC/SIEC/ELV/CCTV SLD/00"/>
        <s v="WLH/KEC/SIEC/ACCESS CONTROL SCHEMATIC/ELV/BASEMENT/00"/>
        <s v="WLH/KEC/SIEC/ELV/BASEMENT/00"/>
        <s v="WLH/KEC/SIEC/BMS SYSTEM/ELV/BASEMENT/00"/>
        <s v="WLH/KEC/SIEC/Heat map/ELV/BASEMENT/00"/>
        <s v="WLH/KEC/SIEC/ELV/GF FL/00"/>
        <s v="WLH/KEC/SIEC/Heat map/ELV/GF FL/00"/>
        <s v="WLH/KEC/SIEC/BMS SYSTEM/ELV/GF FL/00"/>
        <s v="WLH/KEC/SIEC/ELV/1ST FL/00"/>
        <s v="WLH/KEC/SIEC/Heat map/ELV/1ST FL/00"/>
        <s v="WLH/KEC/SIEC/BMS SYSTEM/ELV/1ST FL/00"/>
        <s v="WLH/KEC/SIEC/ELV/2ND FL/00"/>
        <s v="WLH/KEC/SIEC/Heat map/ELV/2ND FL/00"/>
        <s v="WLH/KEC/SIEC/BMS SYSTEM/ELV/2ND FL/00"/>
        <s v="WLH/KEC/SIEC/ELV/3RD FL/00"/>
        <s v="WLH/KEC/SIEC/Heat map/ELV/3RD FL/00"/>
        <s v="WLH/KEC/SIEC/BMS SYSTEM/ELV/3RD FL/00"/>
        <s v="WLH/KEC/SIEC/ELV/4TH FL/00"/>
        <s v="WLH/KEC/SIEC/Heat map/ELV/4TH FL/00"/>
        <s v="WLH/KEC/SIEC/BMS SYSTEM/ELV/4TH FL/00"/>
        <s v="WLH/KEC/SIEC/ELV/5TH FL/00"/>
        <s v="WLH/KEC/SIEC/Heat map/ELV/5TH FL/00"/>
        <s v="WLH/KEC/SIEC/BMS SYSTEM/ELV/5TH FL/00"/>
        <s v="WLH/KEC/SIEC/ELV/6TH FL/00"/>
        <s v="WLH/KEC/SIEC/Heat map/ELV/6TH FL/00"/>
        <s v="WLH/KEC/SIEC/BMS SYSTEM/ELV/6TH FL/00"/>
        <s v="WLH/KEC/SIEC/ELV/7TH FL/00"/>
        <s v="WLH/KEC/SIEC/Heat map/ELV/7TH FL/00"/>
        <s v="WLH/KEC/SIEC/BMS SYSTEM/ELV/7TH FL/00"/>
        <s v="WLH/KEC/SIEC/AV SYSTEM/ELV/7TH FL/00"/>
        <s v="WLH/KEC/SIEC/ELV/8TH FL/00"/>
        <s v="WLH/KEC/SIEC/Heat map/ELV/8TH FL/00"/>
        <s v="WLH/KEC/SIEC/BMS SYSTEM/ELV/8TH FL/00"/>
        <s v="WLH/KEC/SIEC/ELV/9TH FL/00"/>
        <s v="WLH/KEC/SIEC/Heat map/ELV/9TH FL/00"/>
        <s v="WLH/KEC/SIEC/BMS SYSTEM/ELV/9TH FL/00"/>
        <s v="WLH/KEC/SIEC/ELV/10TH FL/00"/>
        <s v="WLH/KEC/SIEC/Heat map/ELV/10TH FL/00"/>
        <s v="WLH/KEC/SIEC/BMS SYSTEM/ELV/10TH FL/00"/>
        <s v="WLH/KEC/SIEC/AV SYSTEM/ELV/10TH FL/00"/>
        <s v="WLH/KEC/SIEC/Heat map/ELV/TERRACE/00"/>
        <s v="WLH/KEC/SIEC/ELV/TERRACE/00"/>
        <s v="WLH/KEC/SIEC/BMS SYSTEM/ELV/ABOVE TERRACE/00"/>
        <s v="WLH/KEC/SIEC/WATER LEAK DETECTION/ELV/00"/>
        <s v="WLH/KEC/SIEC/ELV/BMS ROOM/MISC/00"/>
        <s v="WLH/KEC/SIEC/FDA/BASEMENT/00"/>
        <s v="WLH/KEC/SIEC/FPS/BASEMENT/00"/>
        <s v="WLH/KEC/SIEC/SIGNAGE &amp; EXTINGUISHER /BASEMENT/00"/>
        <s v="WLH/KEC/SIEC/FDA &amp; PA/GR FL/00"/>
        <s v="WLH/KEC/SIEC/FPS/GR FL/00"/>
        <s v="WLH/KEC/SIEC/SIGNAGE &amp; EXTINGUISHER /GR FL/01"/>
        <s v="WLH/KEC/SIEC/SIGNAGE &amp; EXTINGUISHER /1ST FL/00"/>
        <s v="WLH/KEC/SIEC/FDA&amp; PA/1ST FL/00"/>
        <s v="WLH/KEC/SIEC/FPS/1ST FL/00"/>
        <s v="WLH/KEC/SIEC/SIGNAGE &amp; EXTINGUISHER /2ND FL/00"/>
        <s v="WLH/KEC/SIEC/FDA &amp; PA/2ND FL/00"/>
        <s v="WLH/KEC/SIEC/FPS/2ND FL/00"/>
        <s v="WLH/KEC/SIEC/SIGNAGE &amp; EXTINGUISHER /3RD FL/00"/>
        <s v="WLH/KEC/SIEC/FDA &amp; PA/3RD FL/00"/>
        <s v="WLH/KEC/SIEC/FPS/3RD FL/00"/>
        <s v="WLH/KEC/SIEC/SIGNAGE &amp; EXTINGUISHER /4TH FL/00"/>
        <s v="WLH/KEC/SIEC/FDA &amp; PA/4TH FL/00"/>
        <s v="WLH/KEC/SIEC/FPS/4TH FL/00"/>
        <s v="WLH/KEC/SIEC/SIGNAGE &amp; EXTINGUISHER /5TH FL/00"/>
        <s v="WLH/KEC/SIEC/FDA &amp; PA/5TH FL/00"/>
        <s v="WLH/KEC/SIEC/FPS/5TH FL/00"/>
        <s v="WLH/KEC/SIEC/SIGNAGE &amp; EXTINGUISHER /6TH FL/00"/>
        <s v="WLH/KEC/SIEC/FDA &amp; PA/6TH FL/00"/>
        <s v="WLH/KEC/SIEC/FPS/6TH FL/00"/>
        <s v="WLH/KEC/SIEC/SIGNAGE &amp; EXTINGUISHER /7TH FL/00"/>
        <s v="WLH/KEC/SIEC/FDA &amp; PA/7TH FL/00"/>
        <s v="WLH/KEC/SIEC/FPS/7TH FL/00"/>
        <s v="WLH/KEC/SIEC/SIGNAGE &amp; EXTINGUISHER /8TH FL/00"/>
        <s v="WLH/KEC/SIEC/FDA &amp; PA/8TH FL/00"/>
        <s v="WLH/KEC/SIEC/FPS/8TH FL/00"/>
        <s v="WLH/KEC/SIEC/SIGNAGE &amp; EXTINGUISHER /9TH FL/00"/>
        <s v="WLH/KEC/SIEC/FDA &amp; PA/9TH FL/00"/>
        <s v="WLH/KEC/SIEC/FPS/9TH FL/00"/>
        <s v="WLH/KEC/SIEC/FDA &amp; PA/10TH FL/00"/>
        <s v="WLH/KEC/SIEC/FPS/10TH FL/00"/>
        <s v="WLH/KEC/SIEC/SIGNAGE &amp; EXTINGUISHER /10TH FL/00"/>
        <s v="WLH/KEC/SIEC/FDA &amp; PA/TERRACE/00"/>
        <s v="WLH/KEC/SIEC/FPS/TERRACE/00"/>
        <s v="WLH/KEC/SIEC/FIRE/INFRA/PUMP ROOM/00"/>
        <s v="WLH/KEC/SIEC/FIRE/EXTHYDRANT/00"/>
        <s v="WLH/KEC/SIEC/FIRE/PUMP HEAD CALCULATION/00"/>
        <s v="WLH/KEC/SIEC/FPS SLD/00"/>
        <s v="WLH/KEC/SIEC/FDA &amp; PA SLD/00"/>
        <s v="WLH/KEC/SIEC/PASCHEMATIC/00"/>
        <s v="WLH/KEC/SIEC/FIRE &amp; BMS ROOM/00"/>
        <s v="WLH/KEC/SIEC/FIRE/WET RISER/00"/>
        <s v="WLH/KEC/SIEC/HVAC/BASEMENT/DUCTING/00"/>
        <s v="WLH/KEC/SIEC/HVAC/BASEMENT/CHW PIPING/00"/>
        <s v="WLH/KEC/SIEC/HVAC/BASEMENT/VENTILATION LAYOUT/00"/>
        <s v="WLH/KEC/SIEC/HVAC/BASEMENT/SMOKE EXTRACTION/00"/>
        <s v="WLH/KEC/SIEC/HVAC/BASEMENT/FRESH AIR/00"/>
        <s v="WLH/KEC/SIEC/HVAC/GF FL/CHW PIPING/00"/>
        <s v="WLH/KEC/SIEC/HVAC/BASEMENT/ZONING/00"/>
        <s v="WLH/KEC/SIEC/HVAC/GR FL/SMOKE EXTRACTION/00"/>
        <s v="WLH/KEC/SIEC/HVAC/GR FL/SMOKE EXTRACTION/00-00"/>
        <s v="WLH/KEC/SIEC/HVAC/PRESSURIZATION/GR FL/00"/>
        <s v="WLH/KEC/SIEC/HVAC/1ST FL/DUCTING/00"/>
        <s v="WLH/KEC/SIEC/HVAC/1ST FL/CHW PIPING/00"/>
        <s v="WLH/KEC/SIEC/HVAC/1ST FL/SMOKE EXTRACTION/00"/>
        <s v="WLH/KEC/SIEC/HVAC/1ST FL/FRESH AIR/00"/>
        <s v="WLH/KEC/SIEC/HVAC/PRESSURIZATION/1STFL/00"/>
        <s v="WLH/KEC/SIEC/HVAC/2ND FL/DUCTING/00"/>
        <s v="WLH/KEC/SIEC/HVAC/2ND FL/CHW PIPING/00"/>
        <s v="WLH/KEC/SIEC/HVAC/2ND FL/SMOKE EXTRACTION/00"/>
        <s v="WLH/KEC/SIEC/HVAC/2ND FL/FRESH AIR/00"/>
        <s v="WLH/KEC/SIEC/HVAC/PRESSURIZATION/2ND FL/00"/>
        <s v="WLH/KEC/SIEC/HVAC/3RD FL/DUCTING/00"/>
        <s v="WLH/KEC/SIEC/HVAC/3RD FL/00"/>
        <s v="WLH/KEC/SIEC/HVAC/3RD FL/SMOKE EXTRACTION/00"/>
        <s v="WLH/KEC/SIEC/HVAC/3RD FL/FRESH AIR/00"/>
        <s v="WLH/KEC/SIEC/HVAC/PRESSURIZATION/3RD FL/00"/>
        <s v="WLH/KEC/SIEC/HVAC/4TH F/DUCTINGL/00"/>
        <s v="WLH/KEC/SIEC/HVAC/4TH FL/CHW PIPING/00"/>
        <s v="WLH/KEC/SIEC/HVAC/4TH FL/SMOKE EXTRACTION/00"/>
        <s v="WLH/KEC/SIEC/HVAC/4TH FL/FRESH AIR/00"/>
        <s v="WLH/KEC/SIEC/HVAC/PRESSURIZATION/4TH FL/00"/>
        <s v="WLH/KEC/SIEC/HVAC/5TH FL/00"/>
        <s v="WLH/KEC/SIEC/HVAC/5TH FL/CHW PIPING/00"/>
        <s v="WLH/KEC/SIEC/HVAC/5TH FL/SMOKE EXTRACTION/00"/>
        <s v="WLH/KEC/SIEC/HVAC/5TH FL/FRESH AIR/00"/>
        <s v="WLH/KEC/SIEC/HVAC/PRESSURIZATION/5TH FL/00"/>
        <s v="WLH/KEC/SIEC/HVAC/6TH FL/00"/>
        <s v="WLH/KEC/SIEC/HVAC/6TH FL/CHW PIPING/00"/>
        <s v="WLH/KEC/SIEC/HVAC/6TH FL/SMOKE EXTRACTION/00"/>
        <s v="WLH/KEC/SIEC/HVAC/6TH FL/FRESH AIR/00"/>
        <s v="WLH/KEC/SIEC/HVAC/PRESSURIZATION/6TH FL/00"/>
        <s v="WLH/KEC/SIEC/HVAC/7TH FL/DUCTING/00"/>
        <s v="WLH/KEC/SIEC/HVAC/7TH FL/CHW PIPING/00"/>
        <s v="WLH/KEC/SIEC/HVAC/7TH FL/SMOKE EXTRACTION/00"/>
        <s v="WLH/KEC/SIEC/HVAC/7TH FL/FRESH AIR/00"/>
        <s v="WLH/KEC/SIEC/HVAC/PRESSURIZATION/7TH FL/00"/>
        <s v="WLH/KEC/SIEC/HVAC/8TH FL/DUCTING/00"/>
        <s v="WLH/KEC/SIEC/HVAC/8TH FL/CHW PIPING/00"/>
        <s v="WLH/KEC/SIEC/HVAC/8TH FL/SMOKE EXTRACTION/00"/>
        <s v="WLH/KEC/SIEC/HVAC/8TH FL/FRESH AIR/00"/>
        <s v="WLH/KEC/SIEC/HVAC/PRESSURIZATION/8TH FL/00"/>
        <s v="WLH/KEC/SIEC/HVAC/9TH FL/DUCTING/00"/>
        <s v="WLH/KEC/SIEC/HVAC/9TH FL/CHW PIPING/00"/>
        <s v="WLH/KEC/SIEC/HVAC/9TH FL/SMOKE EXTRACTION/00"/>
        <s v="WLH/KEC/SIEC/HVAC/9TH FL/FRESH AIR/00"/>
        <s v="WLH/KEC/SIEC/HVAC/PRESSURIZATION/9TH FL/00"/>
        <s v="WLH/KEC/SIEC/HVAC/10TH FL/DUCTING/00"/>
        <s v="WLH/KEC/SIEC/HVAC/10TH FL/CHW PIPING/00"/>
        <s v="WLH/KEC/SIEC/HVAC/10 FL/SMOKE EXTRACTION/00"/>
        <s v="WLH/KEC/SIEC/HVAC/10TH FL/FRESH AIR/00"/>
        <s v="WLH/KEC/SIEC/HVAC/PRESSURIZATION/10TH FL/00"/>
        <s v="WLH/KEC/SIEC/HVAC/TERRACE FL/DUCTING/00"/>
        <s v="WLH/KEC/SIEC/HVAC/TERRACE FL/CHW PIPING/00"/>
        <s v="WLH/KEC/SIEC/HVAC/MUMTY TERRACE FL/DUCTING/00"/>
        <s v="WLH/KEC/SIEC/HVAC/STP VENTILATION/00"/>
        <s v="WLH/KEC/SIEC/HVAC/PRESSURIZATION BASEMENT/00"/>
        <s v="WLH/KEC/SIEC/HVAC/CHILLER PLANT FL/00"/>
        <s v="WLH/KEC/SIEC/HVAC/DBR/00"/>
        <s v="ESP CALCULATION FOR ALL FIRE MODE EQUIOMENTS"/>
        <s v="ESP CALCULATION FOR ALL EQUIPMENTS"/>
        <s v="PUMP HEAD CALCULATION"/>
        <s v="WLH/KEC/SIEC/HVAC/HEAT-LOAD/00"/>
        <s v="WLH/KEC/SIEC/HVAC/VENTILATION CALCULATION/00"/>
        <s v="WLH/KEC/SIEC/HVAC/AIR FLOW-DIAGRAM/00"/>
        <s v="WLH/KEC/SIEC/HVAC/HVAC-SHAFT/00"/>
        <s v="WLH/KEC/SIEC/HVAC/CHILLED WATER SCHEMATIC/00"/>
        <s v="WLH/KEC/SIEC/HVAC/SCHEMATIC/00"/>
        <s v="WLH/KEC/SIEC/MEP/BASEMENT/00"/>
        <s v="WLH/KEC/SIEC/MEP SECTION/BASEMENT/00"/>
        <s v="WLH/KEC/SIEC/MEP/GR FL/00"/>
        <s v="WLH/KEC/SIEC/MEP SECTION/GR FL/00"/>
        <s v="WLH/KEC/SIEC/MEP/1ST FL/00"/>
        <s v="WLH/KEC/SIEC/MEP SECTION/1ST FL/00"/>
        <s v="WLH/KEC/SIEC/MEP/2ND FL/00"/>
        <s v="WLH/KEC/SIEC/MEP SECTION/2ND FL/00"/>
        <s v="WLH/KEC/SIEC/MEP/3RD FL/00"/>
        <s v="WLH/KEC/SIEC/MEP SECTION/3RD FL/00"/>
        <s v="WLH/KEC/SIEC/MEP/4TH FL/00"/>
        <s v="WLH/KEC/SIEC/MEP SECTION/4TH FL/00"/>
        <s v="WLH/KEC/SIEC/MEP/5TH FL/00"/>
        <s v="WLH/KEC/SIEC/MEP SECTION/5TH FL/00"/>
        <s v="WLH/KEC/SIEC/MEP/6TH FL/00"/>
        <s v="WLH/KEC/SIEC/MEP SECTION/6TH FL/00"/>
        <s v="WLH/KEC/SIEC/MEP/7TH FL/00"/>
        <s v="WLH/KEC/SIEC/MEP SECTION/7TH FL/00"/>
        <s v="WLH/KEC/SIEC/MEP/8TH FL/00"/>
        <s v="WLH/KEC/SIEC/MEP SECTION/8TH FL/00"/>
        <s v="WLH/KEC/SIEC/MEP/9TH FL/00"/>
        <s v="WLH/KEC/SIEC/MEP SECTION/9TH FL/00"/>
        <s v="WLH/KEC/SIEC/MEP/10TH FL/00"/>
        <s v="WLH/KEC/SIEC/MEP SECTION/10TH FL/01"/>
        <s v="WLH/KEC/SIEC/MEP/TERRACE FL/01"/>
        <s v="WLH/KEC/SIEC/MEP SECTION/TERRACE FL/02"/>
        <s v="WMHL-A20-B1-01"/>
        <s v="WMHL-A20-B.LOFT-01"/>
        <s v="WMHL-A44-01"/>
        <s v="WMHL-A36-01"/>
        <s v="WMHL-A36-02"/>
        <s v="WMHL-A47-B1-01.1"/>
        <s v="WMHL-A47-B1-01.2"/>
        <s v="WMHL-A47-B1-01.3"/>
        <s v="WMHL-A25-01"/>
        <s v="WMHL-A25-02"/>
        <s v="WMHL-A54-02.2"/>
        <s v="WMLH-A41-02.1"/>
        <s v="WMLH-A41-02.2"/>
        <s v="WMLH-A41-03"/>
        <s v="WMHL-A60-01"/>
        <s v="WMHL-A20-00-01"/>
        <s v="WMHL-A44-02"/>
        <s v="WMHL-A54-02"/>
        <s v="WMHL-A47-00-01.1"/>
        <s v="WMHL-A47-00-01.2"/>
        <s v="WMHL-A47-00-01.3"/>
        <s v="WMHL-A54-01.4"/>
        <s v="WMHL-A54-01.5"/>
        <s v="WMHL-A25-03"/>
        <s v="WMHL-A41-02"/>
        <s v="WMHL-A60-02"/>
        <s v="WMHL-A41-03"/>
        <s v="WMHL-A41-04"/>
        <s v="WMHL-A41-07"/>
        <s v="WMHL-A20-01-01"/>
        <s v="WMHL-A44-03"/>
        <s v="WMHL-A47-01-01.1"/>
        <s v="WMHL-A47-01-01.2"/>
        <s v="WMHL-A47-01-01.3"/>
        <s v="WMHL-A25-04"/>
        <s v="WMHL-A60-03"/>
        <s v="WMHL-A20-02-01"/>
        <s v="WMHL-A44-04"/>
        <s v="WMHL-A46-02"/>
        <s v="WMHL-A47-02-01.1"/>
        <s v="WMHL-A47-02-01.2"/>
        <s v="WMHL-A47-02-01.3"/>
        <s v="WMHL-A54-01.7"/>
        <s v="WMHL-A54-01.8"/>
        <s v="WMHL-A60-04"/>
        <s v="WMHL-A27-01"/>
        <s v="WMHL-A27-02"/>
        <s v="WMHL-A20-03-01"/>
        <s v="WMHL-A44-05"/>
        <s v="WMHL-A47-03-01.1"/>
        <s v="WMHL-A47-03-01.2"/>
        <s v="WMHL-A54-01.9"/>
        <s v="WMHL-A54-01.10"/>
        <s v="WMHL-A25-06"/>
        <s v="WMHL-A41-05"/>
        <s v="WMHL-A60-05"/>
        <s v="WMHL-A10-11"/>
        <s v="WMHL-A20-04-01"/>
        <s v="WMHL-A44-06"/>
        <s v="WMHL-A47-04-01.1"/>
        <s v="WMHL-A47-04-01.2"/>
        <s v="WMHL-A54-01.11"/>
        <s v="WMHL-A54-01.12"/>
        <s v="WMHL-A25-07"/>
        <s v="WMHL-A60-06"/>
        <s v="WMHL-A41-22"/>
        <s v="WMHL-A20-05-01"/>
        <s v="WMHL-A44-07"/>
        <s v="WMHL-A47-05-01.1"/>
        <s v="WMHL-A47-05-01.2"/>
        <s v="WMHL-A47-05-01.3"/>
        <s v="WMHL-A54-01.13"/>
        <s v="WMHL-A54-01.14"/>
        <s v="WMHL-A46-03"/>
        <s v="WMHL-A47-08-01.1"/>
        <s v="WMHL-A47-08-01.2"/>
        <s v="WMHL-A25-08.2"/>
        <s v="WMHL-A41-01"/>
        <s v="WMHL-A25-08.1"/>
        <s v="WMHL-A60-07"/>
        <s v="WMHL-A41-10.1"/>
        <s v="WMHL-A41-10.2"/>
        <s v="WMHL-A20-06-01"/>
        <s v="WMHL-A44-08"/>
        <s v="WMHL-A47-06-01.1"/>
        <s v="WMHL-A47-06-01.2"/>
        <s v="WMHL-A47-06-01.3"/>
        <s v="WMHL-A54-01.15"/>
        <s v="WMHL-A54-01.16"/>
        <s v="WMHL-A25-09.1"/>
        <s v="WMHL-A60-08"/>
        <s v="WMHL-A26-18"/>
        <s v="WMHL-A25-09.2"/>
        <s v="WMHL-A41-14"/>
        <s v="WMHL-A41-13"/>
        <s v="WMHL-A20-07-01"/>
        <s v="WMHL-A44-09"/>
        <s v="WMHL-A47-07-01.1"/>
        <s v="WMHL-A54-01.17"/>
        <s v="WMHL-A54-01.18"/>
        <s v="WMHL-A46-04"/>
        <s v="WMHL-A41-06"/>
        <s v="WMHL-A25-10"/>
        <s v="WMHL-A60-09"/>
        <s v="WMHL-A41-08"/>
        <s v="WMHL-A26-17"/>
        <s v="WMHL-A41-17"/>
        <s v="WMHL-A20-08-01"/>
        <s v="WMHL-A44-10"/>
        <s v="WMHL-A54-01.19"/>
        <s v="WMHL-A54-01.20"/>
        <s v="WMHL-A54-03"/>
        <s v="WMHL-A25-11"/>
        <s v="WMHL-A60-10"/>
        <s v="WMHL-A41-19"/>
        <s v="WMHL-A41-20"/>
        <s v="WMHL-A41-21"/>
        <s v="WMHL-A41-23"/>
        <s v="WMHL-A47-10.1"/>
        <s v="WMHL-A20-RF-02"/>
        <s v="WMHL-A20-09-01"/>
        <s v="WMHL-A44-11"/>
        <s v="WMHL-A47-09-01.1"/>
        <s v="WMHL-A47-09-01.2"/>
        <s v="WMHL-A54-01.21"/>
        <s v="WMHL-A54-01.22"/>
        <s v="WMHL-A60-11"/>
        <s v="WMHL-A25-12"/>
        <s v="WMHL-A20-10-01"/>
        <s v="WMHL-A44-12"/>
        <s v="WMHL-A46-05"/>
        <s v="WMHL-A47-12.1"/>
        <s v="WMHL-A47-12.2"/>
        <s v="WMHL-A54-01.23"/>
        <s v="WMHL-A54-01.24"/>
        <s v="WMHL-A60-12"/>
        <s v="WMHL-A25-13"/>
        <s v="WMHL-A47-12.3"/>
        <s v="WMHL-A47-12.4"/>
        <s v="WMHL-A10-07"/>
        <s v="WMHL-A42-01.1"/>
        <s v="WMHL-A42-01.2"/>
        <s v="WMHL-A42-02.1"/>
        <s v="WMHL-A42-02.2"/>
        <s v="WMHL-A42-03"/>
        <s v="WMHL-A43-01"/>
        <s v="WMHL-A43-03"/>
        <s v="WMHL-A54-04"/>
        <s v="WMHL-A43-02"/>
        <s v="WMHL-A54-01.1"/>
        <s v="WMHL-A54-01.2"/>
        <s v="WMHL-A54-01.3"/>
        <s v="WMHL-A47-11-01.1"/>
        <s v="WMHL-A54-02.1"/>
        <s v="WMHL-A10-06"/>
        <s v="WMHL-A10-08"/>
        <s v="WMHL-A10-09"/>
        <s v="WMHL-A10-10"/>
        <s v="WMHL-A10-04"/>
        <s v="WMHL-A10-05"/>
        <s v="WMHL-A10-12"/>
        <s v="WMHL-A10-13"/>
        <s v="WMHL-A10-14"/>
        <s v="WMHL-A20-RF-01"/>
        <s v="WMHL-A44-13"/>
        <s v="WMHL-A60-13"/>
        <s v="WMHL-A25-14"/>
        <s v="WMHL-A47-11-01.2"/>
        <s v="WMHL-A54-01.25"/>
        <s v="WMHL-A54-01.26"/>
        <s v="WMHL-A10-02"/>
        <s v="WMHL-A10-03"/>
        <s v="WMLH-A30-00-01"/>
        <s v="WMLH-A30-00-02"/>
        <s v="WMLH-A30-00-03"/>
        <s v="WMHL-A35-01"/>
        <s v="WMLH-A35-02"/>
        <s v="WMLH-A35-03"/>
        <s v="WMLH-A35-04"/>
        <s v="WMHL-A10-01"/>
        <s v="WMHL-EX-A25-01"/>
        <s v="WMHL-EX-A60-01"/>
        <s v="WMHL-EX-A20-00-01"/>
        <s v="WMHL-EX-A44-01"/>
        <s v="WMHL-EX-A25-02"/>
        <s v="WMHL-EX-A60-02"/>
        <s v="WMHL-EX-A20-01-01"/>
        <s v="WMHL-EX-A44-02"/>
        <s v="WMHL-EX-A25-03"/>
        <s v="WMHL-EX-A60-03"/>
        <s v="WMHL-EX-A20-02-01"/>
        <s v="WMHL-EX-A44-03"/>
        <s v="WMHL-EX-A25-04"/>
        <s v="WMHL-EX-A60-04"/>
        <s v="WMHL-EX-A20-03-01"/>
        <s v="WMHL-EX-A44-04"/>
        <s v="WMHL-EX-A25-05"/>
        <s v="WMHL-EX-A60-05"/>
        <s v="WMHL-EX-A20-04-01"/>
        <s v="WMHL-EX-A44-05"/>
        <s v="WMHL-EX-A25-06"/>
        <s v="WMHL-EX-A60-06"/>
        <s v="WMHL-EX-A20-05-01"/>
        <s v="WMHL-EX-A44-06"/>
      </sharedItems>
    </cacheField>
    <cacheField name="Description" numFmtId="0">
      <sharedItems count="20">
        <s v="Basement"/>
        <s v="Ground Floor"/>
        <s v="First Floor"/>
        <s v="Second Floor"/>
        <s v="Third Floor"/>
        <s v="Fourth Floor"/>
        <s v="Fifth Floor"/>
        <s v="Sixth Floor"/>
        <s v="Seventh Floor"/>
        <s v="Eighth Floor"/>
        <s v="Ninth floor"/>
        <s v="Tenth Floor"/>
        <s v="Terrace floor"/>
        <s v="External"/>
        <s v="Common"/>
        <s v="Above Roof"/>
        <s v="Detail Drawings"/>
        <s v="Roof Floor"/>
        <s v="Overall Plan, Elevations &amp; Sections"/>
        <s v="Existing Building"/>
      </sharedItems>
    </cacheField>
    <cacheField name=" MDL Title" numFmtId="0">
      <sharedItems/>
    </cacheField>
    <cacheField name="Responsible Person" numFmtId="0">
      <sharedItems containsBlank="1"/>
    </cacheField>
    <cacheField name="1st Submission Plan" numFmtId="164">
      <sharedItems containsSemiMixedTypes="0" containsNonDate="0" containsDate="1" containsString="0" minDate="2025-03-03T00:00:00" maxDate="2026-03-01T00:00:00"/>
    </cacheField>
    <cacheField name="1st Submission_x000a_Plan (Before changes in scope)" numFmtId="164">
      <sharedItems containsDate="1" containsBlank="1" containsMixedTypes="1" minDate="2025-03-03T00:00:00" maxDate="2025-12-20T00:00:00"/>
    </cacheField>
    <cacheField name="Actual Submission to Client" numFmtId="164">
      <sharedItems containsNonDate="0" containsDate="1" containsString="0" containsBlank="1" minDate="2025-03-03T00:00:00" maxDate="2026-04-21T00:00:00" count="84">
        <d v="2025-04-04T00:00:00"/>
        <d v="2025-04-07T00:00:00"/>
        <d v="2025-11-13T00:00:00"/>
        <d v="2025-11-05T00:00:00"/>
        <d v="2025-10-28T00:00:00"/>
        <d v="2025-05-19T00:00:00"/>
        <d v="2025-07-02T00:00:00"/>
        <d v="2025-07-09T00:00:00"/>
        <d v="2025-08-27T00:00:00"/>
        <d v="2025-08-30T00:00:00"/>
        <d v="2025-06-18T00:00:00"/>
        <d v="2025-09-10T00:00:00"/>
        <d v="2025-11-25T00:00:00"/>
        <d v="2025-03-15T00:00:00"/>
        <d v="2025-08-29T00:00:00"/>
        <d v="2026-02-02T00:00:00"/>
        <d v="2025-11-10T00:00:00"/>
        <d v="2025-04-16T00:00:00"/>
        <d v="2025-10-10T00:00:00"/>
        <d v="2025-07-23T00:00:00"/>
        <d v="2025-03-31T00:00:00"/>
        <d v="2026-03-23T00:00:00"/>
        <d v="2026-03-05T00:00:00"/>
        <d v="2026-04-17T00:00:00"/>
        <d v="2025-11-17T00:00:00"/>
        <d v="2025-04-15T00:00:00"/>
        <d v="2025-06-09T00:00:00"/>
        <d v="2025-03-14T00:00:00"/>
        <d v="2026-01-12T00:00:00"/>
        <d v="2025-03-03T00:00:00"/>
        <d v="2025-04-03T00:00:00"/>
        <d v="2025-04-10T00:00:00"/>
        <d v="2025-04-09T00:00:00"/>
        <d v="2025-04-17T00:00:00"/>
        <d v="2025-07-10T00:00:00"/>
        <d v="2025-11-20T00:00:00"/>
        <d v="2025-12-15T00:00:00"/>
        <d v="2025-12-18T00:00:00"/>
        <d v="2026-04-08T00:00:00"/>
        <d v="2025-12-08T00:00:00"/>
        <d v="2025-12-05T00:00:00"/>
        <d v="2025-10-24T00:00:00"/>
        <d v="2025-11-14T00:00:00"/>
        <d v="2025-11-06T00:00:00"/>
        <d v="2025-03-16T00:00:00"/>
        <d v="2025-11-28T00:00:00"/>
        <d v="2025-05-16T00:00:00"/>
        <d v="2026-03-12T00:00:00"/>
        <d v="2025-11-03T00:00:00"/>
        <d v="2025-10-16T00:00:00"/>
        <d v="2025-11-26T00:00:00"/>
        <d v="2026-03-06T00:00:00"/>
        <d v="2026-01-21T00:00:00"/>
        <d v="2025-05-21T00:00:00"/>
        <d v="2025-05-22T00:00:00"/>
        <d v="2025-06-23T00:00:00"/>
        <d v="2025-06-27T00:00:00"/>
        <d v="2025-12-03T00:00:00"/>
        <d v="2025-06-05T00:00:00"/>
        <d v="2025-10-23T00:00:00"/>
        <d v="2025-06-04T00:00:00"/>
        <d v="2025-08-02T00:00:00"/>
        <d v="2025-12-09T00:00:00"/>
        <d v="2025-08-28T00:00:00"/>
        <d v="2025-07-22T00:00:00"/>
        <d v="2025-12-12T00:00:00"/>
        <d v="2026-01-08T00:00:00"/>
        <d v="2025-12-16T00:00:00"/>
        <d v="2025-12-17T00:00:00"/>
        <d v="2026-04-02T00:00:00"/>
        <d v="2025-07-04T00:00:00"/>
        <d v="2025-12-04T00:00:00"/>
        <d v="2025-03-26T00:00:00"/>
        <d v="2025-04-05T00:00:00"/>
        <d v="2025-05-02T00:00:00"/>
        <m/>
        <d v="2026-01-15T00:00:00"/>
        <d v="2026-02-13T00:00:00"/>
        <d v="2026-01-22T00:00:00"/>
        <d v="2025-12-29T00:00:00"/>
        <d v="2025-03-25T00:00:00"/>
        <d v="2026-02-03T00:00:00"/>
        <d v="2026-03-25T00:00:00"/>
        <d v="2026-04-20T00:00:00"/>
      </sharedItems>
    </cacheField>
    <cacheField name="Revised  Submission date (Plan)" numFmtId="164">
      <sharedItems containsDate="1" containsMixedTypes="1" minDate="2025-03-13T00:00:00" maxDate="2026-03-18T00:00:00"/>
    </cacheField>
    <cacheField name="Actual Revised submission" numFmtId="164">
      <sharedItems containsDate="1" containsBlank="1" containsMixedTypes="1" minDate="2025-03-13T00:00:00" maxDate="2025-09-03T00:00:00"/>
    </cacheField>
    <cacheField name="Planned Approval Date" numFmtId="164">
      <sharedItems containsSemiMixedTypes="0" containsNonDate="0" containsDate="1" containsString="0" minDate="2025-03-24T00:00:00" maxDate="2026-03-28T00:00:00"/>
    </cacheField>
    <cacheField name="Actual  Approval Date" numFmtId="164">
      <sharedItems containsNonDate="0" containsDate="1" containsString="0" containsBlank="1" minDate="2025-03-14T00:00:00" maxDate="2026-05-16T00:00:00"/>
    </cacheField>
    <cacheField name="Planned Hard copy Sub.dates" numFmtId="164">
      <sharedItems containsSemiMixedTypes="0" containsNonDate="0" containsDate="1" containsString="0" minDate="2025-03-31T00:00:00" maxDate="2026-04-04T00:00:00"/>
    </cacheField>
    <cacheField name="Actual Hard copy sub.dates" numFmtId="164">
      <sharedItems containsNonDate="0" containsDate="1" containsString="0" containsBlank="1" minDate="2025-04-03T00:00:00" maxDate="2026-12-28T00:00:00"/>
    </cacheField>
    <cacheField name="Dependency" numFmtId="0">
      <sharedItems containsBlank="1"/>
    </cacheField>
  </cacheFields>
  <extLst>
    <ext xmlns:x14="http://schemas.microsoft.com/office/spreadsheetml/2009/9/main" uri="{725AE2AE-9491-48be-B2B4-4EB974FC3084}">
      <x14:pivotCacheDefinition pivotCacheId="2053257070"/>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osh" refreshedDate="46248.818733796295" createdVersion="8" refreshedVersion="8" minRefreshableVersion="3" recordCount="87" xr:uid="{D8F19D0D-63C6-4124-A75B-4131B4409C87}">
  <cacheSource type="worksheet">
    <worksheetSource ref="F2:J89" sheet="S_Curve_Data"/>
  </cacheSource>
  <cacheFields count="5">
    <cacheField name="Rpt_Week" numFmtId="15">
      <sharedItems containsSemiMixedTypes="0" containsNonDate="0" containsDate="1" containsString="0" minDate="2025-01-06T00:00:00" maxDate="2026-09-01T00:00:00" count="87">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d v="2025-05-19T00:00:00"/>
        <d v="2025-05-26T00:00:00"/>
        <d v="2025-06-02T00:00:00"/>
        <d v="2025-06-09T00:00:00"/>
        <d v="2025-06-16T00:00:00"/>
        <d v="2025-06-23T00:00:00"/>
        <d v="2025-06-30T00:00:00"/>
        <d v="2025-07-07T00:00:00"/>
        <d v="2025-07-14T00:00:00"/>
        <d v="2025-07-21T00:00:00"/>
        <d v="2025-07-28T00:00:00"/>
        <d v="2025-08-04T00:00:00"/>
        <d v="2025-08-11T00:00:00"/>
        <d v="2025-08-18T00:00:00"/>
        <d v="2025-08-25T00:00:00"/>
        <d v="2025-09-01T00:00:00"/>
        <d v="2025-09-08T00:00:00"/>
        <d v="2025-09-15T00:00:00"/>
        <d v="2025-09-22T00:00:00"/>
        <d v="2025-09-29T00:00:00"/>
        <d v="2025-10-06T00:00:00"/>
        <d v="2025-10-13T00:00:00"/>
        <d v="2025-10-20T00:00:00"/>
        <d v="2025-10-27T00:00:00"/>
        <d v="2025-11-03T00:00:00"/>
        <d v="2025-11-10T00:00:00"/>
        <d v="2025-11-17T00:00:00"/>
        <d v="2025-11-24T00:00:00"/>
        <d v="2025-12-01T00:00:00"/>
        <d v="2025-12-08T00:00:00"/>
        <d v="2025-12-15T00:00:00"/>
        <d v="2025-12-22T00:00:00"/>
        <d v="2025-12-29T00:00:00"/>
        <d v="2026-01-05T00:00:00"/>
        <d v="2026-01-12T00:00:00"/>
        <d v="2026-01-19T00:00:00"/>
        <d v="2026-01-26T00:00:00"/>
        <d v="2026-02-02T00:00:00"/>
        <d v="2026-02-09T00:00:00"/>
        <d v="2026-02-16T00:00:00"/>
        <d v="2026-02-23T00:00:00"/>
        <d v="2026-03-02T00:00:00"/>
        <d v="2026-03-09T00:00:00"/>
        <d v="2026-03-16T00:00:00"/>
        <d v="2026-03-23T00:00:00"/>
        <d v="2026-03-30T00:00:00"/>
        <d v="2026-04-06T00:00:00"/>
        <d v="2026-04-13T00:00:00"/>
        <d v="2026-04-20T00:00:00"/>
        <d v="2026-04-27T00:00:00"/>
        <d v="2026-05-04T00:00:00"/>
        <d v="2026-05-11T00:00:00"/>
        <d v="2026-05-18T00:00:00"/>
        <d v="2026-05-25T00:00:00"/>
        <d v="2026-06-01T00:00:00"/>
        <d v="2026-06-08T00:00:00"/>
        <d v="2026-06-15T00:00:00"/>
        <d v="2026-06-22T00:00:00"/>
        <d v="2026-06-29T00:00:00"/>
        <d v="2026-07-06T00:00:00"/>
        <d v="2026-07-13T00:00:00"/>
        <d v="2026-07-20T00:00:00"/>
        <d v="2026-07-27T00:00:00"/>
        <d v="2026-08-03T00:00:00"/>
        <d v="2026-08-10T00:00:00"/>
        <d v="2026-08-17T00:00:00"/>
        <d v="2026-08-24T00:00:00"/>
        <d v="2026-08-31T00:00:00"/>
      </sharedItems>
    </cacheField>
    <cacheField name="Submission_1 Plan" numFmtId="166">
      <sharedItems containsSemiMixedTypes="0" containsString="0" containsNumber="1" minValue="0" maxValue="0.10928961748633879"/>
    </cacheField>
    <cacheField name="Submission_1 Actuals" numFmtId="166">
      <sharedItems containsSemiMixedTypes="0" containsString="0" containsNumber="1" minValue="0" maxValue="0.10928961748633879"/>
    </cacheField>
    <cacheField name="Approval Plan" numFmtId="166">
      <sharedItems containsSemiMixedTypes="0" containsString="0" containsNumber="1" minValue="0" maxValue="8.7431693989071038E-2"/>
    </cacheField>
    <cacheField name="Approval Actuals" numFmtId="166">
      <sharedItems containsSemiMixedTypes="0" containsString="0" containsNumber="1" minValue="0" maxValue="0.12021857923497267"/>
    </cacheField>
  </cacheFields>
  <extLst>
    <ext xmlns:x14="http://schemas.microsoft.com/office/spreadsheetml/2009/9/main" uri="{725AE2AE-9491-48be-B2B4-4EB974FC3084}">
      <x14:pivotCacheDefinition pivotCacheId="2107340054"/>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osh" refreshedDate="46248.818733796295" createdVersion="8" refreshedVersion="8" minRefreshableVersion="3" recordCount="543" xr:uid="{2B550729-E7C8-467A-AAF4-CF5FBB360F7E}">
  <cacheSource type="worksheet">
    <worksheetSource ref="A1:J1048576" sheet="DRG_Status"/>
  </cacheSource>
  <cacheFields count="10">
    <cacheField name="DRG ID" numFmtId="0">
      <sharedItems containsBlank="1"/>
    </cacheField>
    <cacheField name="Discipline" numFmtId="0">
      <sharedItems containsBlank="1" count="4">
        <s v="MEP"/>
        <s v="Structural"/>
        <s v="Architecture"/>
        <m/>
      </sharedItems>
    </cacheField>
    <cacheField name="1st Submission Plan_wk" numFmtId="0">
      <sharedItems containsNonDate="0" containsDate="1" containsString="0" containsBlank="1" minDate="2025-03-03T00:00:00" maxDate="2026-02-24T00:00:00"/>
    </cacheField>
    <cacheField name="Actual Submission to Client_wk" numFmtId="0">
      <sharedItems containsDate="1" containsBlank="1" containsMixedTypes="1" minDate="2025-03-03T00:00:00" maxDate="2026-04-21T00:00:00"/>
    </cacheField>
    <cacheField name="Planned Approval_wk" numFmtId="0">
      <sharedItems containsNonDate="0" containsDate="1" containsString="0" containsBlank="1" minDate="2025-03-24T00:00:00" maxDate="2026-03-24T00:00:00"/>
    </cacheField>
    <cacheField name="Actual  Approval_wk" numFmtId="0">
      <sharedItems containsDate="1" containsBlank="1" containsMixedTypes="1" minDate="2025-03-10T00:00:00" maxDate="2026-05-12T00:00:00"/>
    </cacheField>
    <cacheField name="1st Submission Plan_mth" numFmtId="0">
      <sharedItems containsNonDate="0" containsDate="1" containsString="0" containsBlank="1" minDate="2025-03-01T00:00:00" maxDate="2026-02-02T00:00:00"/>
    </cacheField>
    <cacheField name="Actual Submission to Client_mth" numFmtId="0">
      <sharedItems containsDate="1" containsBlank="1" containsMixedTypes="1" minDate="2025-03-01T00:00:00" maxDate="2026-04-02T00:00:00"/>
    </cacheField>
    <cacheField name="Planned Approval_mth" numFmtId="0">
      <sharedItems containsNonDate="0" containsDate="1" containsString="0" containsBlank="1" minDate="2025-03-01T00:00:00" maxDate="2026-03-02T00:00:00"/>
    </cacheField>
    <cacheField name="Actual  Approval_mth" numFmtId="0">
      <sharedItems containsDate="1" containsBlank="1" containsMixedTypes="1" minDate="2025-03-01T00:00:00" maxDate="2026-05-02T00:00:00"/>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osh" refreshedDate="46248.87190648148" createdVersion="8" refreshedVersion="8" minRefreshableVersion="3" recordCount="20" xr:uid="{C6974F31-7911-46B0-8DD9-D832EEE25DCD}">
  <cacheSource type="worksheet">
    <worksheetSource ref="AA2:AE22" sheet="S_Curve_Data"/>
  </cacheSource>
  <cacheFields count="5">
    <cacheField name="Rpt_Month" numFmtId="165">
      <sharedItems containsSemiMixedTypes="0" containsNonDate="0" containsDate="1" containsString="0" minDate="2025-01-01T00:00:00" maxDate="2026-08-02T00:00:00" count="2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sharedItems>
    </cacheField>
    <cacheField name="Submission_1 Plan" numFmtId="166">
      <sharedItems containsSemiMixedTypes="0" containsString="0" containsNumber="1" minValue="0" maxValue="0.20218579234972678"/>
    </cacheField>
    <cacheField name="Submission_1 Actuals" numFmtId="166">
      <sharedItems containsSemiMixedTypes="0" containsString="0" containsNumber="1" minValue="0" maxValue="0.14754098360655737"/>
    </cacheField>
    <cacheField name="Approval Plan" numFmtId="166">
      <sharedItems containsSemiMixedTypes="0" containsString="0" containsNumber="1" minValue="0" maxValue="0.14754098360655737"/>
    </cacheField>
    <cacheField name="Approval Actuals" numFmtId="166">
      <sharedItems containsSemiMixedTypes="0" containsString="0" containsNumber="1" minValue="0" maxValue="0.22950819672131148"/>
    </cacheField>
  </cacheFields>
  <extLst>
    <ext xmlns:x14="http://schemas.microsoft.com/office/spreadsheetml/2009/9/main" uri="{725AE2AE-9491-48be-B2B4-4EB974FC3084}">
      <x14:pivotCacheDefinition pivotCacheId="2099493827"/>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osh" refreshedDate="46248.878145949071" createdVersion="8" refreshedVersion="8" minRefreshableVersion="3" recordCount="20" xr:uid="{06B7E17D-6DEE-4449-9C34-532ED3983FD8}">
  <cacheSource type="worksheet">
    <worksheetSource ref="AH2:AL22" sheet="S_Curve_Data"/>
  </cacheSource>
  <cacheFields count="5">
    <cacheField name="Rpt_Month" numFmtId="165">
      <sharedItems containsSemiMixedTypes="0" containsNonDate="0" containsDate="1" containsString="0" minDate="2025-01-01T00:00:00" maxDate="2026-08-02T00:00:00" count="2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sharedItems>
    </cacheField>
    <cacheField name="Submission_1 Plan" numFmtId="166">
      <sharedItems containsSemiMixedTypes="0" containsString="0" containsNumber="1" minValue="0" maxValue="0.34959349593495936"/>
    </cacheField>
    <cacheField name="Submission_1 Actuals" numFmtId="166">
      <sharedItems containsSemiMixedTypes="0" containsString="0" containsNumber="1" minValue="0" maxValue="0.2032520325203252"/>
    </cacheField>
    <cacheField name="Approval Plan" numFmtId="166">
      <sharedItems containsSemiMixedTypes="0" containsString="0" containsNumber="1" minValue="0" maxValue="0.24390243902439024"/>
    </cacheField>
    <cacheField name="Approval Actuals" numFmtId="166">
      <sharedItems containsSemiMixedTypes="0" containsString="0" containsNumber="1" minValue="0" maxValue="0.36585365853658536"/>
    </cacheField>
  </cacheFields>
  <extLst>
    <ext xmlns:x14="http://schemas.microsoft.com/office/spreadsheetml/2009/9/main" uri="{725AE2AE-9491-48be-B2B4-4EB974FC3084}">
      <x14:pivotCacheDefinition pivotCacheId="735949004"/>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osh" refreshedDate="46248.884105439814" createdVersion="8" refreshedVersion="8" minRefreshableVersion="3" recordCount="20" xr:uid="{12D5BC29-BED5-41CE-8A1E-A98B4549BA6E}">
  <cacheSource type="worksheet">
    <worksheetSource ref="AO2:AS22" sheet="S_Curve_Data"/>
  </cacheSource>
  <cacheFields count="5">
    <cacheField name="Rpt_Month" numFmtId="165">
      <sharedItems containsSemiMixedTypes="0" containsNonDate="0" containsDate="1" containsString="0" minDate="2025-01-01T00:00:00" maxDate="2026-08-02T00:00:00" count="2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sharedItems>
    </cacheField>
    <cacheField name="Submission_1 Plan" numFmtId="166">
      <sharedItems containsSemiMixedTypes="0" containsString="0" containsNumber="1" minValue="0" maxValue="0.30084745762711862"/>
    </cacheField>
    <cacheField name="Submission_1 Actuals" numFmtId="166">
      <sharedItems containsSemiMixedTypes="0" containsString="0" containsNumber="1" minValue="0" maxValue="0.23305084745762711"/>
    </cacheField>
    <cacheField name="Approval Plan" numFmtId="166">
      <sharedItems containsSemiMixedTypes="0" containsString="0" containsNumber="1" minValue="0" maxValue="0.21610169491525424"/>
    </cacheField>
    <cacheField name="Approval Actuals" numFmtId="166">
      <sharedItems containsSemiMixedTypes="0" containsString="0" containsNumber="1" minValue="0" maxValue="0.29661016949152541"/>
    </cacheField>
  </cacheFields>
  <extLst>
    <ext xmlns:x14="http://schemas.microsoft.com/office/spreadsheetml/2009/9/main" uri="{725AE2AE-9491-48be-B2B4-4EB974FC3084}">
      <x14:pivotCacheDefinition pivotCacheId="4707916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
  <r>
    <x v="0"/>
    <n v="0"/>
    <n v="0"/>
    <n v="0"/>
    <n v="0"/>
  </r>
  <r>
    <x v="1"/>
    <n v="0"/>
    <n v="0"/>
    <n v="0"/>
    <n v="0"/>
  </r>
  <r>
    <x v="2"/>
    <n v="0"/>
    <n v="0"/>
    <n v="0"/>
    <n v="0"/>
  </r>
  <r>
    <x v="3"/>
    <n v="0"/>
    <n v="0"/>
    <n v="0"/>
    <n v="0"/>
  </r>
  <r>
    <x v="4"/>
    <n v="0"/>
    <n v="0"/>
    <n v="0"/>
    <n v="0"/>
  </r>
  <r>
    <x v="5"/>
    <n v="0"/>
    <n v="0"/>
    <n v="0"/>
    <n v="0"/>
  </r>
  <r>
    <x v="6"/>
    <n v="0"/>
    <n v="0"/>
    <n v="0"/>
    <n v="0"/>
  </r>
  <r>
    <x v="7"/>
    <n v="0"/>
    <n v="0"/>
    <n v="0"/>
    <n v="0"/>
  </r>
  <r>
    <x v="8"/>
    <n v="0"/>
    <n v="0"/>
    <n v="0"/>
    <n v="0"/>
  </r>
  <r>
    <x v="9"/>
    <n v="0.1228813559322034"/>
    <n v="6.3559322033898302E-2"/>
    <n v="0"/>
    <n v="0"/>
  </r>
  <r>
    <x v="10"/>
    <n v="0"/>
    <n v="0"/>
    <n v="0"/>
    <n v="0"/>
  </r>
  <r>
    <x v="11"/>
    <n v="0"/>
    <n v="0"/>
    <n v="0"/>
    <n v="0"/>
  </r>
  <r>
    <x v="12"/>
    <n v="0.17796610169491525"/>
    <n v="8.4745762711864403E-2"/>
    <n v="4.2372881355932203E-3"/>
    <n v="4.2372881355932203E-3"/>
  </r>
  <r>
    <x v="13"/>
    <n v="0"/>
    <n v="6.3559322033898302E-2"/>
    <n v="3.8135593220338986E-2"/>
    <n v="3.3898305084745763E-2"/>
  </r>
  <r>
    <x v="14"/>
    <n v="8.4745762711864406E-3"/>
    <n v="2.9661016949152543E-2"/>
    <n v="0.11440677966101695"/>
    <n v="8.4745762711864406E-3"/>
  </r>
  <r>
    <x v="15"/>
    <n v="0"/>
    <n v="0"/>
    <n v="4.2372881355932202E-2"/>
    <n v="0"/>
  </r>
  <r>
    <x v="16"/>
    <n v="4.2372881355932203E-3"/>
    <n v="0"/>
    <n v="0"/>
    <n v="0"/>
  </r>
  <r>
    <x v="17"/>
    <n v="0"/>
    <n v="0"/>
    <n v="4.2372881355932203E-3"/>
    <n v="0"/>
  </r>
  <r>
    <x v="18"/>
    <n v="6.3559322033898302E-2"/>
    <n v="0"/>
    <n v="4.2372881355932203E-3"/>
    <n v="0"/>
  </r>
  <r>
    <x v="19"/>
    <n v="0"/>
    <n v="5.9322033898305086E-2"/>
    <n v="0"/>
    <n v="0"/>
  </r>
  <r>
    <x v="20"/>
    <n v="5.5084745762711863E-2"/>
    <n v="0"/>
    <n v="0.11016949152542373"/>
    <n v="8.050847457627118E-2"/>
  </r>
  <r>
    <x v="21"/>
    <n v="0"/>
    <n v="0"/>
    <n v="3.3898305084745763E-2"/>
    <n v="0.11864406779661017"/>
  </r>
  <r>
    <x v="22"/>
    <n v="6.7796610169491525E-2"/>
    <n v="0"/>
    <n v="4.6610169491525424E-2"/>
    <n v="0"/>
  </r>
  <r>
    <x v="23"/>
    <n v="1.2711864406779662E-2"/>
    <n v="5.5084745762711863E-2"/>
    <n v="8.4745762711864406E-3"/>
    <n v="0"/>
  </r>
  <r>
    <x v="24"/>
    <n v="0.11864406779661017"/>
    <n v="0"/>
    <n v="1.2711864406779662E-2"/>
    <n v="0"/>
  </r>
  <r>
    <x v="25"/>
    <n v="0"/>
    <n v="5.9322033898305086E-2"/>
    <n v="5.5084745762711863E-2"/>
    <n v="0"/>
  </r>
  <r>
    <x v="26"/>
    <n v="8.4745762711864403E-2"/>
    <n v="5.9322033898305086E-2"/>
    <n v="4.2372881355932203E-3"/>
    <n v="5.9322033898305086E-2"/>
  </r>
  <r>
    <x v="27"/>
    <n v="1.2711864406779662E-2"/>
    <n v="0"/>
    <n v="0.11440677966101695"/>
    <n v="0"/>
  </r>
  <r>
    <x v="28"/>
    <n v="1.2711864406779662E-2"/>
    <n v="8.4745762711864406E-3"/>
    <n v="0"/>
    <n v="0"/>
  </r>
  <r>
    <x v="29"/>
    <n v="0"/>
    <n v="0"/>
    <n v="0.11016949152542373"/>
    <n v="0"/>
  </r>
  <r>
    <x v="30"/>
    <n v="0"/>
    <n v="0"/>
    <n v="0"/>
    <n v="0"/>
  </r>
  <r>
    <x v="31"/>
    <n v="0"/>
    <n v="0"/>
    <n v="0.1059322033898305"/>
    <n v="0"/>
  </r>
  <r>
    <x v="32"/>
    <n v="0"/>
    <n v="0"/>
    <n v="0"/>
    <n v="0"/>
  </r>
  <r>
    <x v="33"/>
    <n v="0"/>
    <n v="0.13135593220338984"/>
    <n v="0"/>
    <n v="1.2711864406779662E-2"/>
  </r>
  <r>
    <x v="34"/>
    <n v="0"/>
    <n v="0"/>
    <n v="0"/>
    <n v="0"/>
  </r>
  <r>
    <x v="35"/>
    <n v="0"/>
    <n v="5.5084745762711863E-2"/>
    <n v="0"/>
    <n v="0"/>
  </r>
  <r>
    <x v="36"/>
    <n v="0"/>
    <n v="0"/>
    <n v="0"/>
    <n v="0"/>
  </r>
  <r>
    <x v="37"/>
    <n v="0"/>
    <n v="0"/>
    <n v="0"/>
    <n v="0"/>
  </r>
  <r>
    <x v="38"/>
    <n v="0"/>
    <n v="0"/>
    <n v="0"/>
    <n v="0"/>
  </r>
  <r>
    <x v="39"/>
    <n v="0"/>
    <n v="8.4745762711864406E-3"/>
    <n v="0"/>
    <n v="0"/>
  </r>
  <r>
    <x v="40"/>
    <n v="0"/>
    <n v="0"/>
    <n v="0"/>
    <n v="0.23728813559322035"/>
  </r>
  <r>
    <x v="41"/>
    <n v="5.9322033898305086E-2"/>
    <n v="0"/>
    <n v="0"/>
    <n v="0"/>
  </r>
  <r>
    <x v="42"/>
    <n v="5.9322033898305086E-2"/>
    <n v="5.9322033898305086E-2"/>
    <n v="0"/>
    <n v="5.9322033898305086E-2"/>
  </r>
  <r>
    <x v="43"/>
    <n v="0"/>
    <n v="9.7457627118644072E-2"/>
    <n v="5.9322033898305086E-2"/>
    <n v="0"/>
  </r>
  <r>
    <x v="44"/>
    <n v="0.11440677966101695"/>
    <n v="0.1228813559322034"/>
    <n v="5.9322033898305086E-2"/>
    <n v="0"/>
  </r>
  <r>
    <x v="45"/>
    <n v="0"/>
    <n v="4.2372881355932203E-3"/>
    <n v="0"/>
    <n v="0"/>
  </r>
  <r>
    <x v="46"/>
    <n v="4.2372881355932203E-3"/>
    <n v="8.4745762711864406E-3"/>
    <n v="5.5084745762711863E-2"/>
    <n v="0"/>
  </r>
  <r>
    <x v="47"/>
    <n v="0"/>
    <n v="0"/>
    <n v="0"/>
    <n v="0.17372881355932204"/>
  </r>
  <r>
    <x v="48"/>
    <n v="0"/>
    <n v="0"/>
    <n v="4.2372881355932203E-3"/>
    <n v="0"/>
  </r>
  <r>
    <x v="49"/>
    <n v="8.4745762711864406E-3"/>
    <n v="0"/>
    <n v="0"/>
    <n v="0"/>
  </r>
  <r>
    <x v="50"/>
    <n v="0"/>
    <n v="0"/>
    <n v="4.2372881355932203E-3"/>
    <n v="0"/>
  </r>
  <r>
    <x v="51"/>
    <n v="1.2711864406779662E-2"/>
    <n v="0"/>
    <n v="0"/>
    <n v="0"/>
  </r>
  <r>
    <x v="52"/>
    <n v="0"/>
    <n v="0"/>
    <n v="4.2372881355932203E-3"/>
    <n v="0"/>
  </r>
  <r>
    <x v="53"/>
    <n v="0"/>
    <n v="0"/>
    <n v="0"/>
    <n v="0"/>
  </r>
  <r>
    <x v="54"/>
    <n v="0"/>
    <n v="0"/>
    <n v="0"/>
    <n v="0"/>
  </r>
  <r>
    <x v="55"/>
    <n v="0"/>
    <n v="0"/>
    <n v="4.2372881355932203E-3"/>
    <n v="0"/>
  </r>
  <r>
    <x v="56"/>
    <n v="0"/>
    <n v="8.4745762711864406E-3"/>
    <n v="0"/>
    <n v="4.2372881355932203E-3"/>
  </r>
  <r>
    <x v="57"/>
    <n v="0"/>
    <n v="0"/>
    <n v="0"/>
    <n v="0"/>
  </r>
  <r>
    <x v="58"/>
    <n v="0"/>
    <n v="0"/>
    <n v="0"/>
    <n v="0.10169491525423729"/>
  </r>
  <r>
    <x v="59"/>
    <n v="0"/>
    <n v="0"/>
    <n v="0"/>
    <n v="2.1186440677966101E-2"/>
  </r>
  <r>
    <x v="60"/>
    <n v="0"/>
    <n v="8.4745762711864406E-3"/>
    <n v="0"/>
    <n v="1.2711864406779662E-2"/>
  </r>
  <r>
    <x v="61"/>
    <n v="0"/>
    <n v="0"/>
    <n v="0"/>
    <n v="0"/>
  </r>
  <r>
    <x v="62"/>
    <n v="0"/>
    <n v="0"/>
    <n v="0"/>
    <n v="0"/>
  </r>
  <r>
    <x v="63"/>
    <n v="0"/>
    <n v="8.4745762711864406E-3"/>
    <n v="0"/>
    <n v="0"/>
  </r>
  <r>
    <x v="64"/>
    <n v="0"/>
    <n v="0"/>
    <n v="0"/>
    <n v="0"/>
  </r>
  <r>
    <x v="65"/>
    <n v="0"/>
    <n v="0"/>
    <n v="0"/>
    <n v="0"/>
  </r>
  <r>
    <x v="66"/>
    <n v="0"/>
    <n v="4.2372881355932203E-3"/>
    <n v="0"/>
    <n v="0"/>
  </r>
  <r>
    <x v="67"/>
    <n v="0"/>
    <n v="0"/>
    <n v="0"/>
    <n v="1.6949152542372881E-2"/>
  </r>
  <r>
    <x v="68"/>
    <n v="0"/>
    <n v="0"/>
    <n v="0"/>
    <n v="0"/>
  </r>
  <r>
    <x v="69"/>
    <n v="0"/>
    <n v="0"/>
    <n v="0"/>
    <n v="0"/>
  </r>
  <r>
    <x v="70"/>
    <n v="0"/>
    <n v="0"/>
    <n v="0"/>
    <n v="0"/>
  </r>
  <r>
    <x v="71"/>
    <n v="0"/>
    <n v="0"/>
    <n v="0"/>
    <n v="0"/>
  </r>
  <r>
    <x v="72"/>
    <n v="0"/>
    <n v="0"/>
    <n v="0"/>
    <n v="0"/>
  </r>
  <r>
    <x v="73"/>
    <n v="0"/>
    <n v="0"/>
    <n v="0"/>
    <n v="0"/>
  </r>
  <r>
    <x v="74"/>
    <n v="0"/>
    <n v="0"/>
    <n v="0"/>
    <n v="0"/>
  </r>
  <r>
    <x v="75"/>
    <n v="0"/>
    <n v="0"/>
    <n v="0"/>
    <n v="0"/>
  </r>
  <r>
    <x v="76"/>
    <n v="0"/>
    <n v="0"/>
    <n v="0"/>
    <n v="0"/>
  </r>
  <r>
    <x v="77"/>
    <n v="0"/>
    <n v="0"/>
    <n v="0"/>
    <n v="0"/>
  </r>
  <r>
    <x v="78"/>
    <n v="0"/>
    <n v="0"/>
    <n v="0"/>
    <n v="0"/>
  </r>
  <r>
    <x v="79"/>
    <n v="0"/>
    <n v="0"/>
    <n v="0"/>
    <n v="0"/>
  </r>
  <r>
    <x v="80"/>
    <n v="0"/>
    <n v="0"/>
    <n v="0"/>
    <n v="0"/>
  </r>
  <r>
    <x v="81"/>
    <n v="0"/>
    <n v="0"/>
    <n v="0"/>
    <n v="0"/>
  </r>
  <r>
    <x v="82"/>
    <n v="0"/>
    <n v="0"/>
    <n v="0"/>
    <n v="0"/>
  </r>
  <r>
    <x v="83"/>
    <n v="0"/>
    <n v="0"/>
    <n v="0"/>
    <n v="0"/>
  </r>
  <r>
    <x v="84"/>
    <n v="0"/>
    <n v="0"/>
    <n v="0"/>
    <n v="0"/>
  </r>
  <r>
    <x v="85"/>
    <n v="0"/>
    <n v="0"/>
    <n v="0"/>
    <n v="0"/>
  </r>
  <r>
    <x v="86"/>
    <n v="0"/>
    <n v="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
  <r>
    <x v="0"/>
    <n v="0"/>
    <n v="0"/>
    <n v="0"/>
    <n v="0"/>
  </r>
  <r>
    <x v="1"/>
    <n v="0"/>
    <n v="0"/>
    <n v="0"/>
    <n v="0"/>
  </r>
  <r>
    <x v="2"/>
    <n v="0"/>
    <n v="0"/>
    <n v="0"/>
    <n v="0"/>
  </r>
  <r>
    <x v="3"/>
    <n v="0"/>
    <n v="0"/>
    <n v="0"/>
    <n v="0"/>
  </r>
  <r>
    <x v="4"/>
    <n v="0"/>
    <n v="0"/>
    <n v="0"/>
    <n v="0"/>
  </r>
  <r>
    <x v="5"/>
    <n v="0"/>
    <n v="0"/>
    <n v="0"/>
    <n v="0"/>
  </r>
  <r>
    <x v="6"/>
    <n v="0"/>
    <n v="0"/>
    <n v="0"/>
    <n v="0"/>
  </r>
  <r>
    <x v="7"/>
    <n v="0"/>
    <n v="0"/>
    <n v="0"/>
    <n v="0"/>
  </r>
  <r>
    <x v="8"/>
    <n v="0.13821138211382114"/>
    <n v="0.13821138211382114"/>
    <n v="0"/>
    <n v="0"/>
  </r>
  <r>
    <x v="9"/>
    <n v="0"/>
    <n v="8.130081300813009E-3"/>
    <n v="0"/>
    <n v="0"/>
  </r>
  <r>
    <x v="10"/>
    <n v="0"/>
    <n v="0"/>
    <n v="0"/>
    <n v="0"/>
  </r>
  <r>
    <x v="11"/>
    <n v="0"/>
    <n v="0"/>
    <n v="2.4390243902439025E-2"/>
    <n v="0.13821138211382114"/>
  </r>
  <r>
    <x v="12"/>
    <n v="4.065040650406504E-2"/>
    <n v="3.2520325203252036E-2"/>
    <n v="0.11382113821138211"/>
    <n v="0"/>
  </r>
  <r>
    <x v="13"/>
    <n v="5.6910569105691054E-2"/>
    <n v="4.878048780487805E-2"/>
    <n v="0"/>
    <n v="0"/>
  </r>
  <r>
    <x v="14"/>
    <n v="1.6260162601626018E-2"/>
    <n v="3.2520325203252036E-2"/>
    <n v="0"/>
    <n v="0"/>
  </r>
  <r>
    <x v="15"/>
    <n v="0"/>
    <n v="0"/>
    <n v="0"/>
    <n v="0"/>
  </r>
  <r>
    <x v="16"/>
    <n v="0"/>
    <n v="0"/>
    <n v="4.065040650406504E-2"/>
    <n v="1.6260162601626018E-2"/>
  </r>
  <r>
    <x v="17"/>
    <n v="4.878048780487805E-2"/>
    <n v="0"/>
    <n v="5.6910569105691054E-2"/>
    <n v="0"/>
  </r>
  <r>
    <x v="18"/>
    <n v="3.2520325203252036E-2"/>
    <n v="3.2520325203252036E-2"/>
    <n v="1.6260162601626018E-2"/>
    <n v="0"/>
  </r>
  <r>
    <x v="19"/>
    <n v="4.878048780487805E-2"/>
    <n v="3.2520325203252036E-2"/>
    <n v="0"/>
    <n v="0"/>
  </r>
  <r>
    <x v="20"/>
    <n v="3.2520325203252036E-2"/>
    <n v="0"/>
    <n v="0"/>
    <n v="0"/>
  </r>
  <r>
    <x v="21"/>
    <n v="8.130081300813009E-3"/>
    <n v="3.2520325203252036E-2"/>
    <n v="4.878048780487805E-2"/>
    <n v="0"/>
  </r>
  <r>
    <x v="22"/>
    <n v="8.130081300813009E-3"/>
    <n v="1.6260162601626018E-2"/>
    <n v="3.2520325203252036E-2"/>
    <n v="0"/>
  </r>
  <r>
    <x v="23"/>
    <n v="0"/>
    <n v="8.130081300813009E-3"/>
    <n v="4.878048780487805E-2"/>
    <n v="0"/>
  </r>
  <r>
    <x v="24"/>
    <n v="8.130081300813009E-3"/>
    <n v="4.065040650406504E-2"/>
    <n v="3.2520325203252036E-2"/>
    <n v="0"/>
  </r>
  <r>
    <x v="25"/>
    <n v="0"/>
    <n v="0"/>
    <n v="8.130081300813009E-3"/>
    <n v="2.4390243902439025E-2"/>
  </r>
  <r>
    <x v="26"/>
    <n v="0"/>
    <n v="2.4390243902439025E-2"/>
    <n v="8.130081300813009E-3"/>
    <n v="1.6260162601626018E-2"/>
  </r>
  <r>
    <x v="27"/>
    <n v="0"/>
    <n v="0"/>
    <n v="0"/>
    <n v="2.4390243902439025E-2"/>
  </r>
  <r>
    <x v="28"/>
    <n v="0"/>
    <n v="8.130081300813009E-3"/>
    <n v="8.130081300813009E-3"/>
    <n v="0"/>
  </r>
  <r>
    <x v="29"/>
    <n v="8.130081300813009E-3"/>
    <n v="8.130081300813009E-3"/>
    <n v="0"/>
    <n v="0"/>
  </r>
  <r>
    <x v="30"/>
    <n v="0"/>
    <n v="0"/>
    <n v="0"/>
    <n v="0"/>
  </r>
  <r>
    <x v="31"/>
    <n v="0"/>
    <n v="0"/>
    <n v="0"/>
    <n v="1.6260162601626018E-2"/>
  </r>
  <r>
    <x v="32"/>
    <n v="0"/>
    <n v="0"/>
    <n v="0"/>
    <n v="0"/>
  </r>
  <r>
    <x v="33"/>
    <n v="0"/>
    <n v="8.130081300813009E-3"/>
    <n v="8.130081300813009E-3"/>
    <n v="0"/>
  </r>
  <r>
    <x v="34"/>
    <n v="0"/>
    <n v="0"/>
    <n v="0"/>
    <n v="0"/>
  </r>
  <r>
    <x v="35"/>
    <n v="0"/>
    <n v="0"/>
    <n v="0"/>
    <n v="0.17886178861788618"/>
  </r>
  <r>
    <x v="36"/>
    <n v="0"/>
    <n v="0"/>
    <n v="0"/>
    <n v="0"/>
  </r>
  <r>
    <x v="37"/>
    <n v="0"/>
    <n v="0"/>
    <n v="0"/>
    <n v="0"/>
  </r>
  <r>
    <x v="38"/>
    <n v="0"/>
    <n v="0"/>
    <n v="0"/>
    <n v="8.130081300813009E-3"/>
  </r>
  <r>
    <x v="39"/>
    <n v="0"/>
    <n v="0"/>
    <n v="0"/>
    <n v="0"/>
  </r>
  <r>
    <x v="40"/>
    <n v="1.6260162601626018E-2"/>
    <n v="1.6260162601626018E-2"/>
    <n v="0"/>
    <n v="0"/>
  </r>
  <r>
    <x v="41"/>
    <n v="1.6260162601626018E-2"/>
    <n v="4.878048780487805E-2"/>
    <n v="0"/>
    <n v="1.6260162601626018E-2"/>
  </r>
  <r>
    <x v="42"/>
    <n v="1.6260162601626018E-2"/>
    <n v="0"/>
    <n v="0"/>
    <n v="1.6260162601626018E-2"/>
  </r>
  <r>
    <x v="43"/>
    <n v="8.130081300813009E-3"/>
    <n v="2.4390243902439025E-2"/>
    <n v="0"/>
    <n v="0"/>
  </r>
  <r>
    <x v="44"/>
    <n v="6.5040650406504072E-2"/>
    <n v="4.878048780487805E-2"/>
    <n v="0.10569105691056911"/>
    <n v="4.065040650406504E-2"/>
  </r>
  <r>
    <x v="45"/>
    <n v="0"/>
    <n v="3.2520325203252036E-2"/>
    <n v="0"/>
    <n v="0"/>
  </r>
  <r>
    <x v="46"/>
    <n v="8.1300813008130079E-2"/>
    <n v="8.1300813008130079E-2"/>
    <n v="0"/>
    <n v="0"/>
  </r>
  <r>
    <x v="47"/>
    <n v="9.7560975609756101E-2"/>
    <n v="8.1300813008130079E-2"/>
    <n v="0"/>
    <n v="8.943089430894309E-2"/>
  </r>
  <r>
    <x v="48"/>
    <n v="9.7560975609756101E-2"/>
    <n v="8.1300813008130079E-2"/>
    <n v="6.5040650406504072E-2"/>
    <n v="0.1951219512195122"/>
  </r>
  <r>
    <x v="49"/>
    <n v="8.943089430894309E-2"/>
    <n v="4.065040650406504E-2"/>
    <n v="0"/>
    <n v="8.1300813008130079E-2"/>
  </r>
  <r>
    <x v="50"/>
    <n v="4.878048780487805E-2"/>
    <n v="0"/>
    <n v="9.7560975609756101E-2"/>
    <n v="0"/>
  </r>
  <r>
    <x v="51"/>
    <n v="1.6260162601626018E-2"/>
    <n v="0"/>
    <n v="8.943089430894309E-2"/>
    <n v="0"/>
  </r>
  <r>
    <x v="52"/>
    <n v="0"/>
    <n v="8.130081300813009E-3"/>
    <n v="8.943089430894309E-2"/>
    <n v="3.2520325203252036E-2"/>
  </r>
  <r>
    <x v="53"/>
    <n v="0"/>
    <n v="0"/>
    <n v="4.065040650406504E-2"/>
    <n v="0"/>
  </r>
  <r>
    <x v="54"/>
    <n v="0"/>
    <n v="8.130081300813009E-3"/>
    <n v="4.878048780487805E-2"/>
    <n v="0"/>
  </r>
  <r>
    <x v="55"/>
    <n v="0"/>
    <n v="0"/>
    <n v="1.6260162601626018E-2"/>
    <n v="0"/>
  </r>
  <r>
    <x v="56"/>
    <n v="0"/>
    <n v="0"/>
    <n v="0"/>
    <n v="0"/>
  </r>
  <r>
    <x v="57"/>
    <n v="0"/>
    <n v="0"/>
    <n v="0"/>
    <n v="0"/>
  </r>
  <r>
    <x v="58"/>
    <n v="0"/>
    <n v="0"/>
    <n v="0"/>
    <n v="0"/>
  </r>
  <r>
    <x v="59"/>
    <n v="0"/>
    <n v="0"/>
    <n v="0"/>
    <n v="0"/>
  </r>
  <r>
    <x v="60"/>
    <n v="0"/>
    <n v="2.4390243902439025E-2"/>
    <n v="0"/>
    <n v="0"/>
  </r>
  <r>
    <x v="61"/>
    <n v="0"/>
    <n v="2.4390243902439025E-2"/>
    <n v="0"/>
    <n v="0"/>
  </r>
  <r>
    <x v="62"/>
    <n v="0"/>
    <n v="0"/>
    <n v="0"/>
    <n v="0"/>
  </r>
  <r>
    <x v="63"/>
    <n v="0"/>
    <n v="0"/>
    <n v="0"/>
    <n v="0"/>
  </r>
  <r>
    <x v="64"/>
    <n v="0"/>
    <n v="0"/>
    <n v="0"/>
    <n v="0"/>
  </r>
  <r>
    <x v="65"/>
    <n v="0"/>
    <n v="8.130081300813009E-3"/>
    <n v="0"/>
    <n v="0"/>
  </r>
  <r>
    <x v="66"/>
    <n v="0"/>
    <n v="0"/>
    <n v="0"/>
    <n v="0"/>
  </r>
  <r>
    <x v="67"/>
    <n v="0"/>
    <n v="0"/>
    <n v="0"/>
    <n v="8.943089430894309E-2"/>
  </r>
  <r>
    <x v="68"/>
    <n v="0"/>
    <n v="0"/>
    <n v="0"/>
    <n v="0"/>
  </r>
  <r>
    <x v="69"/>
    <n v="0"/>
    <n v="0"/>
    <n v="0"/>
    <n v="0"/>
  </r>
  <r>
    <x v="70"/>
    <n v="0"/>
    <n v="0"/>
    <n v="0"/>
    <n v="1.6260162601626018E-2"/>
  </r>
  <r>
    <x v="71"/>
    <n v="0"/>
    <n v="0"/>
    <n v="0"/>
    <n v="0"/>
  </r>
  <r>
    <x v="72"/>
    <n v="0"/>
    <n v="0"/>
    <n v="0"/>
    <n v="0"/>
  </r>
  <r>
    <x v="73"/>
    <n v="0"/>
    <n v="0"/>
    <n v="0"/>
    <n v="0"/>
  </r>
  <r>
    <x v="74"/>
    <n v="0"/>
    <n v="0"/>
    <n v="0"/>
    <n v="0"/>
  </r>
  <r>
    <x v="75"/>
    <n v="0"/>
    <n v="0"/>
    <n v="0"/>
    <n v="0"/>
  </r>
  <r>
    <x v="76"/>
    <n v="0"/>
    <n v="0"/>
    <n v="0"/>
    <n v="0"/>
  </r>
  <r>
    <x v="77"/>
    <n v="0"/>
    <n v="0"/>
    <n v="0"/>
    <n v="0"/>
  </r>
  <r>
    <x v="78"/>
    <n v="0"/>
    <n v="0"/>
    <n v="0"/>
    <n v="0"/>
  </r>
  <r>
    <x v="79"/>
    <n v="0"/>
    <n v="0"/>
    <n v="0"/>
    <n v="0"/>
  </r>
  <r>
    <x v="80"/>
    <n v="0"/>
    <n v="0"/>
    <n v="0"/>
    <n v="0"/>
  </r>
  <r>
    <x v="81"/>
    <n v="0"/>
    <n v="0"/>
    <n v="0"/>
    <n v="0"/>
  </r>
  <r>
    <x v="82"/>
    <n v="0"/>
    <n v="0"/>
    <n v="0"/>
    <n v="0"/>
  </r>
  <r>
    <x v="83"/>
    <n v="0"/>
    <n v="0"/>
    <n v="0"/>
    <n v="0"/>
  </r>
  <r>
    <x v="84"/>
    <n v="0"/>
    <n v="0"/>
    <n v="0"/>
    <n v="0"/>
  </r>
  <r>
    <x v="85"/>
    <n v="0"/>
    <n v="0"/>
    <n v="0"/>
    <n v="0"/>
  </r>
  <r>
    <x v="86"/>
    <n v="0"/>
    <n v="0"/>
    <n v="0"/>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2">
  <r>
    <n v="1"/>
    <x v="0"/>
    <x v="0"/>
    <x v="0"/>
    <x v="0"/>
    <s v=" PHE BASEMENT SEWARAGE FLOOR PLAN"/>
    <s v="Aashish"/>
    <d v="2025-03-31T00:00:00"/>
    <d v="2025-03-31T00:00:00"/>
    <x v="0"/>
    <d v="2025-04-12T00:00:00"/>
    <d v="2025-04-04T00:00:00"/>
    <d v="2025-04-19T00:00:00"/>
    <d v="2025-05-31T00:00:00"/>
    <d v="2025-04-26T00:00:00"/>
    <m/>
    <m/>
  </r>
  <r>
    <n v="2"/>
    <x v="0"/>
    <x v="0"/>
    <x v="1"/>
    <x v="0"/>
    <s v=" SANITARY &amp; DRAINAGE BASEMENT CIELING PLAN"/>
    <s v="Aashish"/>
    <d v="2025-03-31T00:00:00"/>
    <d v="2025-03-31T00:00:00"/>
    <x v="0"/>
    <d v="2025-04-12T00:00:00"/>
    <d v="2025-04-04T00:00:00"/>
    <d v="2025-04-19T00:00:00"/>
    <d v="2025-05-31T00:00:00"/>
    <d v="2025-04-26T00:00:00"/>
    <m/>
    <m/>
  </r>
  <r>
    <n v="3"/>
    <x v="0"/>
    <x v="0"/>
    <x v="2"/>
    <x v="1"/>
    <s v=" PHE WATER SUPPLY GROUND FLOOR PLAN"/>
    <s v="Aashish"/>
    <d v="2025-03-31T00:00:00"/>
    <d v="2025-03-31T00:00:00"/>
    <x v="1"/>
    <d v="2025-04-12T00:00:00"/>
    <d v="2025-05-28T00:00:00"/>
    <d v="2025-04-19T00:00:00"/>
    <d v="2025-06-04T00:00:00"/>
    <d v="2025-04-26T00:00:00"/>
    <m/>
    <m/>
  </r>
  <r>
    <n v="4"/>
    <x v="0"/>
    <x v="0"/>
    <x v="3"/>
    <x v="1"/>
    <s v="SANITARY &amp; DRAINAGE GROUND CIELING PLAN"/>
    <s v="Aashish"/>
    <d v="2025-03-31T00:00:00"/>
    <d v="2025-03-31T00:00:00"/>
    <x v="1"/>
    <d v="2025-04-12T00:00:00"/>
    <d v="2025-05-28T00:00:00"/>
    <d v="2025-04-19T00:00:00"/>
    <d v="2025-06-04T00:00:00"/>
    <d v="2025-04-26T00:00:00"/>
    <m/>
    <m/>
  </r>
  <r>
    <n v="5"/>
    <x v="0"/>
    <x v="0"/>
    <x v="4"/>
    <x v="2"/>
    <s v=" PHE WATER SUPPLY 1ST FLOOR PLAN"/>
    <s v="Aashish"/>
    <d v="2025-11-15T00:00:00"/>
    <d v="2025-03-31T00:00:00"/>
    <x v="2"/>
    <d v="2025-04-12T00:00:00"/>
    <d v="2025-05-19T00:00:00"/>
    <d v="2025-11-29T00:00:00"/>
    <d v="2025-12-04T00:00:00"/>
    <d v="2025-12-06T00:00:00"/>
    <m/>
    <m/>
  </r>
  <r>
    <n v="6"/>
    <x v="0"/>
    <x v="0"/>
    <x v="5"/>
    <x v="2"/>
    <s v=" SANITARY &amp; DRAINAGE 1ST CIELING PLAN"/>
    <s v="Aashish"/>
    <d v="2025-11-15T00:00:00"/>
    <d v="2025-03-31T00:00:00"/>
    <x v="2"/>
    <d v="2025-04-12T00:00:00"/>
    <d v="2025-05-19T00:00:00"/>
    <d v="2025-11-29T00:00:00"/>
    <d v="2025-12-04T00:00:00"/>
    <d v="2025-12-06T00:00:00"/>
    <m/>
    <m/>
  </r>
  <r>
    <n v="7"/>
    <x v="0"/>
    <x v="0"/>
    <x v="6"/>
    <x v="3"/>
    <s v=" PHE WATER SUPPLY 2ND FLOOR PLAN"/>
    <s v="Aashish"/>
    <d v="2025-10-30T00:00:00"/>
    <d v="2025-04-13T00:00:00"/>
    <x v="3"/>
    <d v="2025-04-25T00:00:00"/>
    <d v="2025-04-04T00:00:00"/>
    <d v="2025-11-13T00:00:00"/>
    <d v="2025-12-04T00:00:00"/>
    <d v="2025-11-20T00:00:00"/>
    <m/>
    <m/>
  </r>
  <r>
    <n v="8"/>
    <x v="0"/>
    <x v="0"/>
    <x v="7"/>
    <x v="3"/>
    <s v=" SANITARY &amp; DRAINAGE 2ND CIELING PLAN"/>
    <s v="Aashish"/>
    <d v="2025-10-30T00:00:00"/>
    <d v="2025-04-13T00:00:00"/>
    <x v="3"/>
    <d v="2025-04-25T00:00:00"/>
    <d v="2025-04-04T00:00:00"/>
    <d v="2025-11-13T00:00:00"/>
    <d v="2025-12-04T00:00:00"/>
    <d v="2025-11-20T00:00:00"/>
    <m/>
    <m/>
  </r>
  <r>
    <n v="9"/>
    <x v="0"/>
    <x v="0"/>
    <x v="8"/>
    <x v="4"/>
    <s v=" PHE WATER SUPPLY 3RD FLOOR PLAN"/>
    <s v="Aashish"/>
    <d v="2025-10-25T00:00:00"/>
    <d v="2025-04-29T00:00:00"/>
    <x v="4"/>
    <d v="2025-05-11T00:00:00"/>
    <d v="2025-08-20T00:00:00"/>
    <d v="2025-11-08T00:00:00"/>
    <d v="2025-12-04T00:00:00"/>
    <d v="2025-11-15T00:00:00"/>
    <m/>
    <m/>
  </r>
  <r>
    <n v="10"/>
    <x v="0"/>
    <x v="0"/>
    <x v="9"/>
    <x v="4"/>
    <s v=" SANITARY &amp; DRAINAGE 3RD CIELING PLAN"/>
    <s v="Aashish"/>
    <d v="2025-10-25T00:00:00"/>
    <d v="2025-04-29T00:00:00"/>
    <x v="4"/>
    <d v="2025-05-11T00:00:00"/>
    <d v="2025-08-20T00:00:00"/>
    <d v="2025-11-08T00:00:00"/>
    <d v="2025-12-04T00:00:00"/>
    <d v="2025-11-15T00:00:00"/>
    <m/>
    <m/>
  </r>
  <r>
    <n v="11"/>
    <x v="0"/>
    <x v="0"/>
    <x v="10"/>
    <x v="5"/>
    <s v=" PHE WATER SUPPLY 4TH FLOOR PLAN"/>
    <s v="Aashish"/>
    <d v="2025-05-13T00:00:00"/>
    <d v="2025-05-13T00:00:00"/>
    <x v="5"/>
    <d v="2025-05-25T00:00:00"/>
    <d v="2025-04-04T00:00:00"/>
    <d v="2025-05-27T00:00:00"/>
    <d v="2025-06-04T00:00:00"/>
    <d v="2025-06-03T00:00:00"/>
    <m/>
    <m/>
  </r>
  <r>
    <n v="12"/>
    <x v="0"/>
    <x v="0"/>
    <x v="11"/>
    <x v="5"/>
    <s v="SANITARY &amp; DRAINAGE 4TH CIELING PLAN"/>
    <s v="Aashish"/>
    <d v="2025-05-13T00:00:00"/>
    <d v="2025-05-13T00:00:00"/>
    <x v="5"/>
    <d v="2025-05-25T00:00:00"/>
    <d v="2025-04-04T00:00:00"/>
    <d v="2025-06-01T00:00:00"/>
    <d v="2025-06-04T00:00:00"/>
    <d v="2025-06-08T00:00:00"/>
    <m/>
    <m/>
  </r>
  <r>
    <n v="13"/>
    <x v="0"/>
    <x v="0"/>
    <x v="12"/>
    <x v="6"/>
    <s v=" PHE WATER SUPPLY 5TH FLOOR PLAN"/>
    <s v="Aashish"/>
    <d v="2025-05-29T00:00:00"/>
    <d v="2025-05-29T00:00:00"/>
    <x v="6"/>
    <d v="2025-06-10T00:00:00"/>
    <d v="2025-08-08T00:00:00"/>
    <d v="2025-06-17T00:00:00"/>
    <d v="2025-10-16T00:00:00"/>
    <d v="2025-06-24T00:00:00"/>
    <m/>
    <m/>
  </r>
  <r>
    <n v="14"/>
    <x v="0"/>
    <x v="0"/>
    <x v="13"/>
    <x v="6"/>
    <s v=" SANITARY &amp; DRAINAGE 5TH CIELING PLAN"/>
    <s v="Aashish"/>
    <d v="2025-05-29T00:00:00"/>
    <d v="2025-05-29T00:00:00"/>
    <x v="6"/>
    <d v="2025-06-10T00:00:00"/>
    <d v="2025-08-08T00:00:00"/>
    <d v="2025-06-17T00:00:00"/>
    <d v="2025-10-16T00:00:00"/>
    <d v="2025-06-24T00:00:00"/>
    <m/>
    <m/>
  </r>
  <r>
    <n v="15"/>
    <x v="0"/>
    <x v="0"/>
    <x v="14"/>
    <x v="7"/>
    <s v=" PHE WATER SUPPLY 6TH  FLOOR PLAN"/>
    <s v="Aashish"/>
    <d v="2025-06-13T00:00:00"/>
    <d v="2025-06-13T00:00:00"/>
    <x v="7"/>
    <d v="2025-06-25T00:00:00"/>
    <d v="2025-08-14T00:00:00"/>
    <d v="2025-07-02T00:00:00"/>
    <d v="2025-10-16T00:00:00"/>
    <d v="2025-07-09T00:00:00"/>
    <m/>
    <m/>
  </r>
  <r>
    <n v="16"/>
    <x v="0"/>
    <x v="0"/>
    <x v="15"/>
    <x v="7"/>
    <s v=" SANITARY &amp; DRAINAGE 6TH  CIELING PLAN"/>
    <s v="Aashish"/>
    <d v="2025-06-13T00:00:00"/>
    <d v="2025-06-13T00:00:00"/>
    <x v="7"/>
    <d v="2025-06-25T00:00:00"/>
    <d v="2025-08-14T00:00:00"/>
    <d v="2025-07-02T00:00:00"/>
    <d v="2025-10-16T00:00:00"/>
    <d v="2025-07-09T00:00:00"/>
    <m/>
    <m/>
  </r>
  <r>
    <n v="17"/>
    <x v="0"/>
    <x v="0"/>
    <x v="16"/>
    <x v="8"/>
    <s v=" PHE WATER SUPPLY 7TH FLOOR PLAN "/>
    <s v="Aashish"/>
    <d v="2025-06-29T00:00:00"/>
    <d v="2025-06-29T00:00:00"/>
    <x v="8"/>
    <d v="2025-07-11T00:00:00"/>
    <m/>
    <d v="2025-07-18T00:00:00"/>
    <d v="2025-10-16T00:00:00"/>
    <d v="2025-07-25T00:00:00"/>
    <m/>
    <m/>
  </r>
  <r>
    <n v="18"/>
    <x v="0"/>
    <x v="0"/>
    <x v="17"/>
    <x v="8"/>
    <s v=" SANITARY &amp; DRAINAGE 7TH CIELING PLAN "/>
    <s v="Aashish"/>
    <d v="2025-06-29T00:00:00"/>
    <d v="2025-06-29T00:00:00"/>
    <x v="8"/>
    <d v="2025-07-11T00:00:00"/>
    <m/>
    <d v="2025-07-18T00:00:00"/>
    <d v="2025-10-16T00:00:00"/>
    <d v="2025-07-25T00:00:00"/>
    <m/>
    <m/>
  </r>
  <r>
    <n v="19"/>
    <x v="0"/>
    <x v="0"/>
    <x v="18"/>
    <x v="9"/>
    <s v="GFC PHE WATER SUPPLY 8TH FLOOR PLAN"/>
    <s v="Aashish"/>
    <d v="2025-06-29T00:00:00"/>
    <d v="2025-06-29T00:00:00"/>
    <x v="9"/>
    <d v="2025-07-11T00:00:00"/>
    <m/>
    <d v="2025-07-18T00:00:00"/>
    <d v="2025-10-29T00:00:00"/>
    <d v="2025-07-25T00:00:00"/>
    <m/>
    <m/>
  </r>
  <r>
    <n v="20"/>
    <x v="0"/>
    <x v="0"/>
    <x v="19"/>
    <x v="9"/>
    <s v=" SANITARY &amp; DRAINAGE 8TH CIELING PLAN"/>
    <s v="Aashish"/>
    <d v="2025-06-29T00:00:00"/>
    <d v="2025-06-29T00:00:00"/>
    <x v="9"/>
    <d v="2025-07-11T00:00:00"/>
    <m/>
    <d v="2025-07-18T00:00:00"/>
    <d v="2025-10-29T00:00:00"/>
    <d v="2025-07-25T00:00:00"/>
    <m/>
    <m/>
  </r>
  <r>
    <n v="21"/>
    <x v="0"/>
    <x v="0"/>
    <x v="20"/>
    <x v="10"/>
    <s v=" PHE WATER SUPPLY 9th FLOOR PLAN"/>
    <s v="Aashish"/>
    <d v="2025-07-13T00:00:00"/>
    <d v="2025-07-13T00:00:00"/>
    <x v="10"/>
    <d v="2025-07-25T00:00:00"/>
    <m/>
    <d v="2025-08-01T00:00:00"/>
    <d v="2025-07-12T00:00:00"/>
    <d v="2025-08-08T00:00:00"/>
    <m/>
    <m/>
  </r>
  <r>
    <n v="22"/>
    <x v="0"/>
    <x v="0"/>
    <x v="21"/>
    <x v="10"/>
    <s v=" SANITARY &amp; DRAINAGE 9th CIELING PLAN"/>
    <s v="Aashish"/>
    <d v="2025-07-13T00:00:00"/>
    <d v="2025-07-13T00:00:00"/>
    <x v="10"/>
    <d v="2025-07-25T00:00:00"/>
    <m/>
    <d v="2025-08-01T00:00:00"/>
    <d v="2025-07-12T00:00:00"/>
    <d v="2025-08-08T00:00:00"/>
    <m/>
    <m/>
  </r>
  <r>
    <n v="23"/>
    <x v="0"/>
    <x v="0"/>
    <x v="22"/>
    <x v="11"/>
    <s v="PHE WATER SUPPLY 10th FLOOR PLAN"/>
    <s v="Aashish"/>
    <d v="2025-07-13T00:00:00"/>
    <d v="2025-07-13T00:00:00"/>
    <x v="11"/>
    <d v="2025-07-25T00:00:00"/>
    <m/>
    <d v="2025-08-01T00:00:00"/>
    <d v="2025-10-16T00:00:00"/>
    <d v="2025-08-08T00:00:00"/>
    <m/>
    <m/>
  </r>
  <r>
    <n v="24"/>
    <x v="0"/>
    <x v="0"/>
    <x v="23"/>
    <x v="11"/>
    <s v=" SANITARY &amp; DRAINAGE 10th CIELING PLAN"/>
    <s v="Aashish"/>
    <d v="2025-07-13T00:00:00"/>
    <d v="2025-07-13T00:00:00"/>
    <x v="11"/>
    <d v="2025-07-25T00:00:00"/>
    <m/>
    <d v="2025-08-01T00:00:00"/>
    <d v="2025-10-16T00:00:00"/>
    <d v="2025-08-08T00:00:00"/>
    <m/>
    <m/>
  </r>
  <r>
    <n v="25"/>
    <x v="0"/>
    <x v="0"/>
    <x v="24"/>
    <x v="12"/>
    <s v=" PHE WATER SUPPLY TERRACE PLAN"/>
    <s v="Aashish"/>
    <d v="2025-11-15T00:00:00"/>
    <d v="2025-07-28T00:00:00"/>
    <x v="2"/>
    <d v="2025-08-09T00:00:00"/>
    <m/>
    <d v="2025-08-16T00:00:00"/>
    <d v="2026-02-18T00:00:00"/>
    <d v="2025-08-23T00:00:00"/>
    <m/>
    <m/>
  </r>
  <r>
    <n v="26"/>
    <x v="0"/>
    <x v="0"/>
    <x v="25"/>
    <x v="12"/>
    <s v="SANITARY &amp; DRAINAGE  TERRACE PLAN"/>
    <s v="Aashish"/>
    <d v="2025-11-15T00:00:00"/>
    <d v="2025-07-28T00:00:00"/>
    <x v="2"/>
    <d v="2025-08-09T00:00:00"/>
    <m/>
    <d v="2025-08-16T00:00:00"/>
    <d v="2026-02-18T00:00:00"/>
    <d v="2025-08-23T00:00:00"/>
    <m/>
    <m/>
  </r>
  <r>
    <n v="27"/>
    <x v="0"/>
    <x v="0"/>
    <x v="26"/>
    <x v="12"/>
    <s v=" SANITARY &amp; DRAINAGE MUMTY TERRACE PLAN"/>
    <s v="Aashish"/>
    <d v="2025-11-15T00:00:00"/>
    <d v="2025-07-28T00:00:00"/>
    <x v="12"/>
    <d v="2025-08-09T00:00:00"/>
    <m/>
    <d v="2025-08-16T00:00:00"/>
    <d v="2026-02-18T00:00:00"/>
    <d v="2025-08-23T00:00:00"/>
    <m/>
    <m/>
  </r>
  <r>
    <n v="28"/>
    <x v="0"/>
    <x v="0"/>
    <x v="27"/>
    <x v="13"/>
    <s v="PHE EXTERNAL SEWERAGE LAYOUT"/>
    <s v="Aashish"/>
    <d v="2025-03-15T00:00:00"/>
    <d v="2025-03-15T00:00:00"/>
    <x v="3"/>
    <d v="2025-05-22T00:00:00"/>
    <d v="2025-09-02T00:00:00"/>
    <d v="2025-05-29T00:00:00"/>
    <d v="2026-02-18T00:00:00"/>
    <d v="2025-06-05T00:00:00"/>
    <m/>
    <m/>
  </r>
  <r>
    <n v="29"/>
    <x v="0"/>
    <x v="0"/>
    <x v="28"/>
    <x v="13"/>
    <s v="PHE EXTERNAL CO-ORDINATED LAYOUT"/>
    <s v="Aashish"/>
    <d v="2025-03-15T00:00:00"/>
    <d v="2025-03-15T00:00:00"/>
    <x v="3"/>
    <d v="2025-05-22T00:00:00"/>
    <d v="2025-09-02T00:00:00"/>
    <d v="2025-05-29T00:00:00"/>
    <d v="2026-02-18T00:00:00"/>
    <d v="2025-06-05T00:00:00"/>
    <m/>
    <m/>
  </r>
  <r>
    <n v="30"/>
    <x v="0"/>
    <x v="0"/>
    <x v="29"/>
    <x v="13"/>
    <s v="PHE INFRASTRUCTURE WATER SUPPLY LAYOUT"/>
    <s v="Aashish"/>
    <d v="2025-03-15T00:00:00"/>
    <d v="2025-03-15T00:00:00"/>
    <x v="3"/>
    <d v="2025-05-22T00:00:00"/>
    <d v="2025-09-02T00:00:00"/>
    <d v="2025-05-29T00:00:00"/>
    <d v="2026-02-18T00:00:00"/>
    <d v="2025-06-05T00:00:00"/>
    <m/>
    <m/>
  </r>
  <r>
    <n v="31"/>
    <x v="0"/>
    <x v="0"/>
    <x v="30"/>
    <x v="13"/>
    <s v="PHE EXTERNAL STORM WATER LAYOUT"/>
    <s v="Aashish"/>
    <d v="2025-03-15T00:00:00"/>
    <d v="2025-03-15T00:00:00"/>
    <x v="3"/>
    <d v="2025-05-22T00:00:00"/>
    <d v="2025-09-02T00:00:00"/>
    <d v="2025-05-29T00:00:00"/>
    <d v="2026-02-18T00:00:00"/>
    <d v="2025-06-05T00:00:00"/>
    <m/>
    <m/>
  </r>
  <r>
    <n v="32"/>
    <x v="0"/>
    <x v="0"/>
    <x v="31"/>
    <x v="13"/>
    <s v="PHE EXTERNAL RECHARGE BOREWELL DRAWING"/>
    <s v="Aashish"/>
    <d v="2025-03-15T00:00:00"/>
    <d v="2025-03-15T00:00:00"/>
    <x v="3"/>
    <d v="2025-05-22T00:00:00"/>
    <d v="2025-09-02T00:00:00"/>
    <d v="2025-05-29T00:00:00"/>
    <d v="2026-02-18T00:00:00"/>
    <d v="2025-06-05T00:00:00"/>
    <m/>
    <m/>
  </r>
  <r>
    <n v="33"/>
    <x v="0"/>
    <x v="0"/>
    <x v="32"/>
    <x v="14"/>
    <s v="WATER SUPPLY SINGLE LINE DIAGRAM"/>
    <s v="Aashish"/>
    <d v="2025-03-15T00:00:00"/>
    <d v="2025-03-15T00:00:00"/>
    <x v="13"/>
    <d v="2025-05-22T00:00:00"/>
    <d v="2025-09-02T00:00:00"/>
    <d v="2025-05-29T00:00:00"/>
    <d v="2026-02-27T00:00:00"/>
    <d v="2025-06-05T00:00:00"/>
    <m/>
    <m/>
  </r>
  <r>
    <n v="34"/>
    <x v="0"/>
    <x v="0"/>
    <x v="33"/>
    <x v="14"/>
    <s v="SANITARY DRAINAGE SINGLE LINE DIAGRAM"/>
    <s v="Aashish"/>
    <d v="2025-06-18T00:00:00"/>
    <d v="2025-06-18T00:00:00"/>
    <x v="14"/>
    <d v="2025-05-22T00:00:00"/>
    <m/>
    <d v="2025-06-25T00:00:00"/>
    <d v="2025-08-29T00:00:00"/>
    <d v="2025-07-02T00:00:00"/>
    <m/>
    <m/>
  </r>
  <r>
    <n v="35"/>
    <x v="0"/>
    <x v="0"/>
    <x v="34"/>
    <x v="14"/>
    <s v="RAINWATER DRAINAGE SINGLE LINE DIAGRAM"/>
    <s v="Aashish"/>
    <d v="2025-06-18T00:00:00"/>
    <d v="2025-06-18T00:00:00"/>
    <x v="14"/>
    <d v="2025-05-22T00:00:00"/>
    <m/>
    <d v="2025-06-25T00:00:00"/>
    <d v="2025-08-29T00:00:00"/>
    <d v="2025-07-02T00:00:00"/>
    <m/>
    <m/>
  </r>
  <r>
    <n v="36"/>
    <x v="0"/>
    <x v="0"/>
    <x v="35"/>
    <x v="14"/>
    <s v="OVERHEAD WATER TANK &amp; EQUIPMENT ROOM DETAILS"/>
    <s v="Aashish"/>
    <d v="2025-06-18T00:00:00"/>
    <e v="#REF!"/>
    <x v="12"/>
    <e v="#REF!"/>
    <m/>
    <d v="2025-06-25T00:00:00"/>
    <m/>
    <d v="2025-07-02T00:00:00"/>
    <m/>
    <m/>
  </r>
  <r>
    <n v="37"/>
    <x v="0"/>
    <x v="0"/>
    <x v="36"/>
    <x v="0"/>
    <s v=" BASEMENT DEWATERING LAYOUT"/>
    <s v="Aashish"/>
    <d v="2025-03-15T00:00:00"/>
    <d v="2025-03-15T00:00:00"/>
    <x v="13"/>
    <d v="2025-05-22T00:00:00"/>
    <m/>
    <d v="2025-05-29T00:00:00"/>
    <d v="2025-05-31T00:00:00"/>
    <d v="2025-06-05T00:00:00"/>
    <m/>
    <m/>
  </r>
  <r>
    <n v="38"/>
    <x v="0"/>
    <x v="0"/>
    <x v="37"/>
    <x v="14"/>
    <s v="PHE TYPICAL STANDARD CONSTRUCTION DETAILS"/>
    <s v="Aashish"/>
    <d v="2025-03-15T00:00:00"/>
    <d v="2025-03-15T00:00:00"/>
    <x v="14"/>
    <d v="2025-05-22T00:00:00"/>
    <m/>
    <d v="2025-05-29T00:00:00"/>
    <d v="2025-08-29T00:00:00"/>
    <d v="2025-06-05T00:00:00"/>
    <m/>
    <m/>
  </r>
  <r>
    <n v="39"/>
    <x v="0"/>
    <x v="0"/>
    <x v="38"/>
    <x v="14"/>
    <s v=" PHE WATER SUPPLY  EXTERNAL LAYOUT"/>
    <s v="Aashish"/>
    <d v="2025-03-15T00:00:00"/>
    <d v="2025-03-15T00:00:00"/>
    <x v="13"/>
    <d v="2025-05-22T00:00:00"/>
    <d v="2025-09-02T00:00:00"/>
    <d v="2025-05-29T00:00:00"/>
    <d v="2026-02-18T00:00:00"/>
    <d v="2025-06-05T00:00:00"/>
    <m/>
    <m/>
  </r>
  <r>
    <n v="40"/>
    <x v="0"/>
    <x v="0"/>
    <x v="39"/>
    <x v="0"/>
    <s v=" PHE BASEMENT TOILET SEWAGE LAYOUT"/>
    <s v="Aashish"/>
    <d v="2025-03-15T00:00:00"/>
    <d v="2025-03-15T00:00:00"/>
    <x v="13"/>
    <d v="2025-05-22T00:00:00"/>
    <m/>
    <d v="2025-05-29T00:00:00"/>
    <d v="2025-05-31T00:00:00"/>
    <d v="2025-06-05T00:00:00"/>
    <m/>
    <m/>
  </r>
  <r>
    <n v="41"/>
    <x v="0"/>
    <x v="0"/>
    <x v="40"/>
    <x v="14"/>
    <s v="PHE SUMP DETAILS LAYOUT"/>
    <s v="Aashish"/>
    <d v="2025-03-15T00:00:00"/>
    <d v="2025-03-15T00:00:00"/>
    <x v="13"/>
    <d v="2025-05-22T00:00:00"/>
    <m/>
    <d v="2025-05-29T00:00:00"/>
    <d v="2025-05-31T00:00:00"/>
    <d v="2025-06-05T00:00:00"/>
    <m/>
    <m/>
  </r>
  <r>
    <n v="42"/>
    <x v="0"/>
    <x v="0"/>
    <x v="41"/>
    <x v="14"/>
    <s v="STP DESIGN DRAWINGS"/>
    <s v="Aashish"/>
    <d v="2025-03-15T00:00:00"/>
    <d v="2025-03-15T00:00:00"/>
    <x v="13"/>
    <d v="2025-04-01T00:00:00"/>
    <d v="2025-03-15T00:00:00"/>
    <d v="2025-04-14T00:00:00"/>
    <d v="2025-04-14T00:00:00"/>
    <d v="2025-04-21T00:00:00"/>
    <m/>
    <m/>
  </r>
  <r>
    <n v="43"/>
    <x v="0"/>
    <x v="0"/>
    <x v="42"/>
    <x v="14"/>
    <s v="STP DESIGN SCHEMATIC"/>
    <s v="Aashish"/>
    <d v="2025-03-15T00:00:00"/>
    <d v="2025-03-15T00:00:00"/>
    <x v="13"/>
    <d v="2025-04-01T00:00:00"/>
    <d v="2025-03-15T00:00:00"/>
    <d v="2025-04-10T00:00:00"/>
    <d v="2025-04-10T00:00:00"/>
    <d v="2025-04-17T00:00:00"/>
    <m/>
    <m/>
  </r>
  <r>
    <n v="44"/>
    <x v="0"/>
    <x v="0"/>
    <x v="43"/>
    <x v="14"/>
    <s v="ETP DESIGN SCHEMATIC"/>
    <s v="Aashish"/>
    <d v="2025-03-15T00:00:00"/>
    <d v="2025-03-15T00:00:00"/>
    <x v="13"/>
    <d v="2025-04-01T00:00:00"/>
    <d v="2025-03-15T00:00:00"/>
    <d v="2025-04-10T00:00:00"/>
    <d v="2025-04-10T00:00:00"/>
    <d v="2025-04-17T00:00:00"/>
    <m/>
    <m/>
  </r>
  <r>
    <n v="45"/>
    <x v="0"/>
    <x v="0"/>
    <x v="44"/>
    <x v="14"/>
    <s v=" ETP DESIGN DRAWINGS"/>
    <s v="Aashish"/>
    <d v="2025-03-15T00:00:00"/>
    <d v="2025-03-15T00:00:00"/>
    <x v="13"/>
    <d v="2025-04-01T00:00:00"/>
    <d v="2025-03-15T00:00:00"/>
    <d v="2025-04-10T00:00:00"/>
    <d v="2025-04-10T00:00:00"/>
    <d v="2025-04-17T00:00:00"/>
    <m/>
    <m/>
  </r>
  <r>
    <n v="46"/>
    <x v="0"/>
    <x v="0"/>
    <x v="45"/>
    <x v="13"/>
    <s v="IRRIGATION LAYOUT"/>
    <s v="Aashish"/>
    <d v="2025-03-15T00:00:00"/>
    <d v="2025-03-15T00:00:00"/>
    <x v="3"/>
    <d v="2025-05-22T00:00:00"/>
    <d v="2025-09-02T00:00:00"/>
    <d v="2025-05-29T00:00:00"/>
    <d v="2026-02-18T00:00:00"/>
    <d v="2025-06-05T00:00:00"/>
    <m/>
    <m/>
  </r>
  <r>
    <n v="47"/>
    <x v="0"/>
    <x v="1"/>
    <x v="46"/>
    <x v="13"/>
    <s v="ELECTRICAL INFRASTRUCTURE LAYOUT"/>
    <s v="T Surya"/>
    <d v="2025-03-15T00:00:00"/>
    <d v="2025-03-15T00:00:00"/>
    <x v="3"/>
    <d v="2025-05-22T00:00:00"/>
    <d v="2025-08-29T00:00:00"/>
    <d v="2025-06-02T00:00:00"/>
    <d v="2026-03-06T00:00:00"/>
    <d v="2025-06-09T00:00:00"/>
    <m/>
    <m/>
  </r>
  <r>
    <n v="48"/>
    <x v="0"/>
    <x v="1"/>
    <x v="47"/>
    <x v="13"/>
    <s v="ELECTRICAL DG SET DRAWING WITH DG STACK"/>
    <s v="T Surya"/>
    <d v="2025-12-31T00:00:00"/>
    <d v="2025-03-15T00:00:00"/>
    <x v="15"/>
    <d v="2025-05-22T00:00:00"/>
    <d v="2025-04-07T00:00:00"/>
    <d v="2025-06-02T00:00:00"/>
    <d v="2026-03-06T00:00:00"/>
    <d v="2025-06-09T00:00:00"/>
    <m/>
    <s v="Dependent on DG Vendor"/>
  </r>
  <r>
    <n v="49"/>
    <x v="0"/>
    <x v="1"/>
    <x v="48"/>
    <x v="13"/>
    <s v="ELECTRICAL EXTERNAL LIGHTING LAYOUT"/>
    <s v="T Surya"/>
    <d v="2025-07-15T00:00:00"/>
    <d v="2025-07-15T00:00:00"/>
    <x v="16"/>
    <d v="2025-07-31T00:00:00"/>
    <m/>
    <d v="2025-08-11T00:00:00"/>
    <m/>
    <d v="2025-08-18T00:00:00"/>
    <m/>
    <m/>
  </r>
  <r>
    <n v="50"/>
    <x v="0"/>
    <x v="1"/>
    <x v="49"/>
    <x v="13"/>
    <s v="ELECTRICAL SUBSTATION LAYOUT"/>
    <s v="T Surya"/>
    <d v="2025-06-15T00:00:00"/>
    <d v="2025-06-15T00:00:00"/>
    <x v="3"/>
    <d v="2025-07-01T00:00:00"/>
    <d v="2025-08-29T00:00:00"/>
    <d v="2025-07-10T00:00:00"/>
    <d v="2026-03-06T00:00:00"/>
    <d v="2025-07-17T00:00:00"/>
    <m/>
    <m/>
  </r>
  <r>
    <n v="51"/>
    <x v="0"/>
    <x v="1"/>
    <x v="50"/>
    <x v="14"/>
    <s v="EARTHING GRID SCHEMATIC LAYOUT"/>
    <s v="T Surya"/>
    <d v="2025-03-15T00:00:00"/>
    <d v="2025-03-15T00:00:00"/>
    <x v="13"/>
    <d v="2025-05-22T00:00:00"/>
    <d v="2025-08-29T00:00:00"/>
    <d v="2025-06-02T00:00:00"/>
    <m/>
    <d v="2025-06-09T00:00:00"/>
    <m/>
    <m/>
  </r>
  <r>
    <n v="52"/>
    <x v="0"/>
    <x v="1"/>
    <x v="51"/>
    <x v="14"/>
    <s v="ELECTRICAL DBR COMMENTARY"/>
    <s v="T Surya"/>
    <d v="2025-03-15T00:00:00"/>
    <d v="2025-03-15T00:00:00"/>
    <x v="13"/>
    <d v="2025-05-22T00:00:00"/>
    <d v="2025-04-04T00:00:00"/>
    <d v="2025-06-02T00:00:00"/>
    <d v="2025-05-31T00:00:00"/>
    <d v="2025-06-09T00:00:00"/>
    <m/>
    <m/>
  </r>
  <r>
    <n v="53"/>
    <x v="0"/>
    <x v="1"/>
    <x v="52"/>
    <x v="15"/>
    <s v="ELECTRICAL SOLAR SYSTEM F PLAN"/>
    <s v="T Surya"/>
    <d v="2025-07-15T00:00:00"/>
    <d v="2025-07-15T00:00:00"/>
    <x v="16"/>
    <d v="2025-07-31T00:00:00"/>
    <d v="2025-04-04T00:00:00"/>
    <d v="2025-08-11T00:00:00"/>
    <d v="2026-02-06T00:00:00"/>
    <d v="2025-08-18T00:00:00"/>
    <m/>
    <m/>
  </r>
  <r>
    <n v="54"/>
    <x v="0"/>
    <x v="1"/>
    <x v="53"/>
    <x v="14"/>
    <s v="ELECTRICAL EQUIPMENT LAYOUT WITH EARTHING LAYOUT"/>
    <s v="T Surya"/>
    <d v="2025-03-15T00:00:00"/>
    <d v="2025-03-15T00:00:00"/>
    <x v="13"/>
    <d v="2025-05-22T00:00:00"/>
    <d v="2025-04-04T00:00:00"/>
    <d v="2025-06-02T00:00:00"/>
    <d v="2026-02-27T00:00:00"/>
    <d v="2025-06-09T00:00:00"/>
    <m/>
    <m/>
  </r>
  <r>
    <n v="55"/>
    <x v="0"/>
    <x v="1"/>
    <x v="54"/>
    <x v="14"/>
    <s v="TYPICAL ELECTRICAL INSTALLATION DETAILS WITH HEIGHT SCHEDULE"/>
    <s v="T Surya"/>
    <d v="2025-07-15T00:00:00"/>
    <d v="2025-07-15T00:00:00"/>
    <x v="13"/>
    <d v="2025-07-31T00:00:00"/>
    <d v="2025-04-04T00:00:00"/>
    <d v="2025-08-11T00:00:00"/>
    <d v="2025-05-31T00:00:00"/>
    <d v="2025-08-18T00:00:00"/>
    <m/>
    <m/>
  </r>
  <r>
    <n v="56"/>
    <x v="0"/>
    <x v="1"/>
    <x v="55"/>
    <x v="14"/>
    <s v="ELECTRICAL EXTERNAL CABLE TRAY LAYOUT"/>
    <s v="T Surya"/>
    <d v="2025-03-15T00:00:00"/>
    <d v="2025-03-15T00:00:00"/>
    <x v="13"/>
    <d v="2025-05-22T00:00:00"/>
    <d v="2025-08-29T00:00:00"/>
    <d v="2025-06-02T00:00:00"/>
    <d v="2026-02-27T00:00:00"/>
    <d v="2025-06-09T00:00:00"/>
    <m/>
    <m/>
  </r>
  <r>
    <n v="57"/>
    <x v="0"/>
    <x v="1"/>
    <x v="56"/>
    <x v="14"/>
    <s v="MAIN ELECTRICAL ROOM DETAILED LAYOUT"/>
    <s v="T Surya"/>
    <d v="2025-03-15T00:00:00"/>
    <d v="2025-03-15T00:00:00"/>
    <x v="13"/>
    <d v="2025-05-22T00:00:00"/>
    <d v="2025-08-29T00:00:00"/>
    <d v="2025-06-02T00:00:00"/>
    <d v="2026-02-27T00:00:00"/>
    <d v="2025-06-09T00:00:00"/>
    <m/>
    <m/>
  </r>
  <r>
    <n v="58"/>
    <x v="0"/>
    <x v="1"/>
    <x v="57"/>
    <x v="14"/>
    <s v="ELECTRICAL UPS DRAWING"/>
    <s v="T Surya"/>
    <d v="2025-12-31T00:00:00"/>
    <d v="2025-05-15T00:00:00"/>
    <x v="15"/>
    <d v="2026-01-16T00:00:00"/>
    <m/>
    <d v="2026-01-27T00:00:00"/>
    <d v="2026-02-27T00:00:00"/>
    <d v="2026-02-03T00:00:00"/>
    <m/>
    <s v="Vendor shortlisted, PO to be release"/>
  </r>
  <r>
    <n v="59"/>
    <x v="0"/>
    <x v="1"/>
    <x v="58"/>
    <x v="0"/>
    <s v="POWER LAYOUT WITH SLD BASEMNET PLAN"/>
    <s v="T Surya"/>
    <d v="2025-03-31T00:00:00"/>
    <d v="2025-03-31T00:00:00"/>
    <x v="0"/>
    <d v="2025-04-12T00:00:00"/>
    <d v="2025-04-04T00:00:00"/>
    <d v="2025-04-19T00:00:00"/>
    <d v="2025-05-31T00:00:00"/>
    <d v="2025-04-26T00:00:00"/>
    <m/>
    <m/>
  </r>
  <r>
    <n v="60"/>
    <x v="0"/>
    <x v="1"/>
    <x v="59"/>
    <x v="0"/>
    <s v="POWER LAYOUT WITH SLD BASEMNET PLAN"/>
    <s v="T Surya"/>
    <d v="2025-03-31T00:00:00"/>
    <d v="2025-03-31T00:00:00"/>
    <x v="0"/>
    <d v="2025-04-12T00:00:00"/>
    <d v="2025-04-04T00:00:00"/>
    <d v="2025-04-19T00:00:00"/>
    <d v="2025-05-31T00:00:00"/>
    <d v="2025-04-26T00:00:00"/>
    <m/>
    <m/>
  </r>
  <r>
    <n v="61"/>
    <x v="0"/>
    <x v="1"/>
    <x v="60"/>
    <x v="0"/>
    <s v="POWER LAYOUT WITH SLD BASEMNET PLAN"/>
    <s v="T Surya"/>
    <d v="2025-03-31T00:00:00"/>
    <d v="2025-03-31T00:00:00"/>
    <x v="0"/>
    <d v="2025-04-12T00:00:00"/>
    <d v="2025-04-04T00:00:00"/>
    <d v="2025-04-19T00:00:00"/>
    <d v="2025-05-31T00:00:00"/>
    <d v="2025-04-26T00:00:00"/>
    <m/>
    <m/>
  </r>
  <r>
    <n v="62"/>
    <x v="0"/>
    <x v="1"/>
    <x v="61"/>
    <x v="0"/>
    <s v="LIGHTING LAYOUT WITH SLD BASEMENT PLAN"/>
    <s v="T Surya"/>
    <d v="2025-03-31T00:00:00"/>
    <d v="2025-03-31T00:00:00"/>
    <x v="0"/>
    <d v="2025-04-12T00:00:00"/>
    <d v="2025-04-07T00:00:00"/>
    <d v="2025-04-19T00:00:00"/>
    <d v="2025-05-31T00:00:00"/>
    <d v="2025-04-26T00:00:00"/>
    <m/>
    <m/>
  </r>
  <r>
    <n v="63"/>
    <x v="0"/>
    <x v="1"/>
    <x v="62"/>
    <x v="0"/>
    <s v="ELECTRICAL BASEMENT CABLE TRAY LAYOUT"/>
    <s v="T Surya"/>
    <d v="2025-03-31T00:00:00"/>
    <d v="2025-03-31T00:00:00"/>
    <x v="1"/>
    <d v="2025-04-12T00:00:00"/>
    <d v="2025-04-07T00:00:00"/>
    <d v="2025-04-19T00:00:00"/>
    <d v="2025-05-31T00:00:00"/>
    <d v="2025-04-26T00:00:00"/>
    <m/>
    <m/>
  </r>
  <r>
    <n v="64"/>
    <x v="0"/>
    <x v="1"/>
    <x v="63"/>
    <x v="1"/>
    <s v="POWER LAYOUT WITH SLD GROUND FLOOR PLAN"/>
    <s v="T Surya"/>
    <d v="2025-03-31T00:00:00"/>
    <d v="2025-03-31T00:00:00"/>
    <x v="1"/>
    <d v="2025-04-12T00:00:00"/>
    <d v="2025-05-28T00:00:00"/>
    <d v="2025-04-19T00:00:00"/>
    <d v="2025-06-04T00:00:00"/>
    <d v="2025-04-26T00:00:00"/>
    <m/>
    <m/>
  </r>
  <r>
    <n v="65"/>
    <x v="0"/>
    <x v="1"/>
    <x v="64"/>
    <x v="1"/>
    <s v="POWER LAYOUT WITH SLD GROUND FLOOR PLAN"/>
    <s v="T Surya"/>
    <d v="2025-03-31T00:00:00"/>
    <d v="2025-03-31T00:00:00"/>
    <x v="1"/>
    <d v="2025-04-12T00:00:00"/>
    <d v="2025-05-28T00:00:00"/>
    <d v="2025-04-19T00:00:00"/>
    <d v="2025-06-04T00:00:00"/>
    <d v="2025-04-26T00:00:00"/>
    <m/>
    <m/>
  </r>
  <r>
    <n v="66"/>
    <x v="0"/>
    <x v="1"/>
    <x v="65"/>
    <x v="1"/>
    <s v="POWER LAYOUT WITH SLD GROUND FLOOR PLAN"/>
    <s v="T Surya"/>
    <d v="2025-03-31T00:00:00"/>
    <d v="2025-03-31T00:00:00"/>
    <x v="1"/>
    <d v="2025-04-12T00:00:00"/>
    <d v="2025-05-28T00:00:00"/>
    <d v="2025-04-19T00:00:00"/>
    <d v="2025-06-04T00:00:00"/>
    <d v="2025-04-26T00:00:00"/>
    <m/>
    <m/>
  </r>
  <r>
    <n v="67"/>
    <x v="0"/>
    <x v="1"/>
    <x v="66"/>
    <x v="1"/>
    <s v="LIGHTING LAYOUT WITH SLD GROUND FLOOR PLAN"/>
    <s v="T Surya"/>
    <d v="2025-03-31T00:00:00"/>
    <d v="2025-03-31T00:00:00"/>
    <x v="1"/>
    <d v="2025-04-12T00:00:00"/>
    <d v="2025-05-28T00:00:00"/>
    <d v="2025-04-19T00:00:00"/>
    <d v="2025-06-04T00:00:00"/>
    <d v="2025-04-26T00:00:00"/>
    <m/>
    <m/>
  </r>
  <r>
    <n v="68"/>
    <x v="0"/>
    <x v="1"/>
    <x v="67"/>
    <x v="1"/>
    <s v="ELECTRICAL GROUND  FLOOR CABLE TRAY LAYOUT"/>
    <s v="T Surya"/>
    <d v="2025-03-31T00:00:00"/>
    <d v="2025-03-31T00:00:00"/>
    <x v="1"/>
    <d v="2025-04-12T00:00:00"/>
    <d v="2025-05-28T00:00:00"/>
    <d v="2025-04-19T00:00:00"/>
    <d v="2025-06-04T00:00:00"/>
    <d v="2025-04-26T00:00:00"/>
    <m/>
    <m/>
  </r>
  <r>
    <n v="69"/>
    <x v="0"/>
    <x v="1"/>
    <x v="68"/>
    <x v="2"/>
    <s v="POWER LAYOUT WITH SLD 1ST FLOOR PLAN"/>
    <s v="T Surya"/>
    <d v="2025-11-15T00:00:00"/>
    <d v="2025-03-31T00:00:00"/>
    <x v="2"/>
    <d v="2025-04-12T00:00:00"/>
    <d v="2025-05-19T00:00:00"/>
    <d v="2025-11-29T00:00:00"/>
    <d v="2025-12-04T00:00:00"/>
    <d v="2025-12-06T00:00:00"/>
    <m/>
    <m/>
  </r>
  <r>
    <n v="70"/>
    <x v="0"/>
    <x v="1"/>
    <x v="69"/>
    <x v="2"/>
    <s v="POWER LAYOUT WITH SLD 1ST FLOOR PLAN"/>
    <s v="T Surya"/>
    <d v="2025-11-15T00:00:00"/>
    <d v="2025-03-31T00:00:00"/>
    <x v="2"/>
    <d v="2025-04-12T00:00:00"/>
    <d v="2025-05-19T00:00:00"/>
    <d v="2025-11-29T00:00:00"/>
    <d v="2025-12-04T00:00:00"/>
    <d v="2025-12-06T00:00:00"/>
    <m/>
    <m/>
  </r>
  <r>
    <n v="71"/>
    <x v="0"/>
    <x v="1"/>
    <x v="70"/>
    <x v="2"/>
    <s v="POWER LAYOUT WITH SLD 1ST FLOOR PLAN"/>
    <s v="T Surya"/>
    <d v="2025-11-15T00:00:00"/>
    <d v="2025-03-31T00:00:00"/>
    <x v="2"/>
    <d v="2025-04-12T00:00:00"/>
    <d v="2025-05-19T00:00:00"/>
    <d v="2025-11-29T00:00:00"/>
    <d v="2025-12-04T00:00:00"/>
    <d v="2025-12-06T00:00:00"/>
    <m/>
    <m/>
  </r>
  <r>
    <n v="72"/>
    <x v="0"/>
    <x v="1"/>
    <x v="71"/>
    <x v="2"/>
    <s v="LIGHTING LAYOUT WITH SLD 1ST FLOOR PLAN"/>
    <s v="T Surya"/>
    <d v="2025-11-15T00:00:00"/>
    <d v="2025-03-31T00:00:00"/>
    <x v="2"/>
    <d v="2025-04-12T00:00:00"/>
    <d v="2025-05-19T00:00:00"/>
    <d v="2025-11-29T00:00:00"/>
    <d v="2025-12-04T00:00:00"/>
    <d v="2025-12-06T00:00:00"/>
    <m/>
    <m/>
  </r>
  <r>
    <n v="73"/>
    <x v="0"/>
    <x v="1"/>
    <x v="72"/>
    <x v="3"/>
    <s v="POWER LAYOUT WITH SLD 2ND FLOOR PLAN"/>
    <s v="T Surya"/>
    <d v="2025-10-30T00:00:00"/>
    <d v="2025-04-13T00:00:00"/>
    <x v="3"/>
    <d v="2025-04-25T00:00:00"/>
    <m/>
    <d v="2025-11-13T00:00:00"/>
    <d v="2025-12-04T00:00:00"/>
    <d v="2025-11-20T00:00:00"/>
    <m/>
    <m/>
  </r>
  <r>
    <n v="74"/>
    <x v="0"/>
    <x v="1"/>
    <x v="73"/>
    <x v="3"/>
    <s v="POWER LAYOUT WITH SLD 2ND FLOOR PLAN"/>
    <s v="T Surya"/>
    <d v="2025-10-30T00:00:00"/>
    <d v="2025-04-13T00:00:00"/>
    <x v="3"/>
    <d v="2025-04-25T00:00:00"/>
    <m/>
    <d v="2025-11-13T00:00:00"/>
    <d v="2025-12-04T00:00:00"/>
    <d v="2025-11-20T00:00:00"/>
    <m/>
    <m/>
  </r>
  <r>
    <n v="75"/>
    <x v="0"/>
    <x v="1"/>
    <x v="74"/>
    <x v="3"/>
    <s v="POWER LAYOUT WITH SLD 2ND FLOOR PLAN"/>
    <s v="T Surya"/>
    <d v="2025-10-30T00:00:00"/>
    <d v="2025-04-13T00:00:00"/>
    <x v="3"/>
    <d v="2025-04-25T00:00:00"/>
    <m/>
    <d v="2025-11-13T00:00:00"/>
    <d v="2025-12-04T00:00:00"/>
    <d v="2025-11-20T00:00:00"/>
    <m/>
    <m/>
  </r>
  <r>
    <n v="76"/>
    <x v="0"/>
    <x v="1"/>
    <x v="75"/>
    <x v="3"/>
    <s v="LIGHTING LAYOUT WITH SLD 2ND FLOOR PLAN"/>
    <s v="T Surya"/>
    <d v="2025-10-30T00:00:00"/>
    <d v="2025-04-13T00:00:00"/>
    <x v="3"/>
    <d v="2025-04-25T00:00:00"/>
    <m/>
    <d v="2025-11-13T00:00:00"/>
    <d v="2025-12-04T00:00:00"/>
    <d v="2025-11-20T00:00:00"/>
    <m/>
    <m/>
  </r>
  <r>
    <n v="77"/>
    <x v="0"/>
    <x v="1"/>
    <x v="76"/>
    <x v="3"/>
    <s v="ELECTRICAL 2ND FLOOR CABLE TRAY LAYOUT"/>
    <s v="T Surya"/>
    <d v="2025-10-30T00:00:00"/>
    <d v="2025-04-13T00:00:00"/>
    <x v="3"/>
    <d v="2025-04-25T00:00:00"/>
    <m/>
    <d v="2025-11-13T00:00:00"/>
    <d v="2025-12-04T00:00:00"/>
    <d v="2025-11-20T00:00:00"/>
    <m/>
    <m/>
  </r>
  <r>
    <n v="78"/>
    <x v="0"/>
    <x v="1"/>
    <x v="77"/>
    <x v="4"/>
    <s v="POWER LAYOUT WITH SLD 3RD FLOOR PLAN"/>
    <s v="T Surya"/>
    <d v="2025-10-25T00:00:00"/>
    <d v="2025-04-29T00:00:00"/>
    <x v="4"/>
    <d v="2025-05-11T00:00:00"/>
    <d v="2025-08-20T00:00:00"/>
    <d v="2025-11-08T00:00:00"/>
    <d v="2025-12-04T00:00:00"/>
    <d v="2025-11-15T00:00:00"/>
    <m/>
    <m/>
  </r>
  <r>
    <n v="79"/>
    <x v="0"/>
    <x v="1"/>
    <x v="78"/>
    <x v="4"/>
    <s v="POWER LAYOUT WITH SLD 3RD FLOOR PLAN"/>
    <s v="T Surya"/>
    <d v="2025-10-25T00:00:00"/>
    <d v="2025-04-29T00:00:00"/>
    <x v="4"/>
    <d v="2025-05-11T00:00:00"/>
    <d v="2025-08-20T00:00:00"/>
    <d v="2025-11-08T00:00:00"/>
    <d v="2025-12-04T00:00:00"/>
    <d v="2025-11-15T00:00:00"/>
    <m/>
    <m/>
  </r>
  <r>
    <n v="80"/>
    <x v="0"/>
    <x v="1"/>
    <x v="79"/>
    <x v="4"/>
    <s v="POWER LAYOUT WITH SLD 3RD FLOOR PLAN"/>
    <s v="T Surya"/>
    <d v="2025-10-25T00:00:00"/>
    <d v="2025-04-29T00:00:00"/>
    <x v="4"/>
    <d v="2025-05-11T00:00:00"/>
    <d v="2025-08-20T00:00:00"/>
    <d v="2025-11-08T00:00:00"/>
    <d v="2025-12-04T00:00:00"/>
    <d v="2025-11-15T00:00:00"/>
    <m/>
    <m/>
  </r>
  <r>
    <n v="81"/>
    <x v="0"/>
    <x v="1"/>
    <x v="80"/>
    <x v="4"/>
    <s v="LIGHTING LAYOUT WITH SLD 3RD FLOOR PLAN"/>
    <s v="T Surya"/>
    <d v="2025-10-25T00:00:00"/>
    <d v="2025-04-29T00:00:00"/>
    <x v="4"/>
    <d v="2025-05-11T00:00:00"/>
    <d v="2025-08-20T00:00:00"/>
    <d v="2025-11-08T00:00:00"/>
    <d v="2025-12-04T00:00:00"/>
    <d v="2025-11-15T00:00:00"/>
    <m/>
    <m/>
  </r>
  <r>
    <n v="82"/>
    <x v="0"/>
    <x v="1"/>
    <x v="81"/>
    <x v="4"/>
    <s v="ELECTRICAL 3RD FLOOR CABLE TRAY LAYOUT"/>
    <s v="T Surya"/>
    <d v="2025-10-25T00:00:00"/>
    <d v="2025-04-29T00:00:00"/>
    <x v="4"/>
    <d v="2025-05-11T00:00:00"/>
    <d v="2025-08-20T00:00:00"/>
    <d v="2025-11-08T00:00:00"/>
    <d v="2025-12-04T00:00:00"/>
    <d v="2025-11-15T00:00:00"/>
    <m/>
    <m/>
  </r>
  <r>
    <n v="83"/>
    <x v="0"/>
    <x v="1"/>
    <x v="82"/>
    <x v="5"/>
    <s v="POWER LAYOUT WITH SLD 4TH FLOOR PLAN"/>
    <s v="T Surya"/>
    <d v="2025-05-13T00:00:00"/>
    <d v="2025-05-13T00:00:00"/>
    <x v="5"/>
    <d v="2025-05-25T00:00:00"/>
    <m/>
    <d v="2025-06-01T00:00:00"/>
    <d v="2025-06-04T00:00:00"/>
    <d v="2025-06-08T00:00:00"/>
    <m/>
    <m/>
  </r>
  <r>
    <n v="84"/>
    <x v="0"/>
    <x v="1"/>
    <x v="83"/>
    <x v="5"/>
    <s v="POWER LAYOUT WITH SLD 4TH FLOOR PLAN"/>
    <s v="T Surya"/>
    <d v="2025-05-13T00:00:00"/>
    <d v="2025-05-13T00:00:00"/>
    <x v="5"/>
    <d v="2025-05-25T00:00:00"/>
    <m/>
    <d v="2025-06-01T00:00:00"/>
    <d v="2025-06-04T00:00:00"/>
    <d v="2025-06-08T00:00:00"/>
    <m/>
    <m/>
  </r>
  <r>
    <n v="85"/>
    <x v="0"/>
    <x v="1"/>
    <x v="84"/>
    <x v="5"/>
    <s v="POWER LAYOUT WITH SLD 4TH FLOOR PLAN"/>
    <s v="T Surya"/>
    <d v="2025-05-13T00:00:00"/>
    <d v="2025-05-13T00:00:00"/>
    <x v="5"/>
    <d v="2025-05-25T00:00:00"/>
    <m/>
    <d v="2025-06-01T00:00:00"/>
    <d v="2025-06-04T00:00:00"/>
    <d v="2025-06-08T00:00:00"/>
    <m/>
    <m/>
  </r>
  <r>
    <n v="86"/>
    <x v="0"/>
    <x v="1"/>
    <x v="85"/>
    <x v="5"/>
    <s v="LIGHTING LAYOUT WITH SLD 4TH FLOOR PLAN"/>
    <s v="T Surya"/>
    <d v="2025-05-13T00:00:00"/>
    <d v="2025-05-13T00:00:00"/>
    <x v="5"/>
    <d v="2025-05-25T00:00:00"/>
    <m/>
    <d v="2025-06-01T00:00:00"/>
    <d v="2025-06-04T00:00:00"/>
    <d v="2025-06-08T00:00:00"/>
    <m/>
    <m/>
  </r>
  <r>
    <n v="87"/>
    <x v="0"/>
    <x v="1"/>
    <x v="86"/>
    <x v="5"/>
    <s v="ELECTRICAL 4TH FLOOR CABLE TRAY LAYOUT"/>
    <s v="T Surya"/>
    <d v="2025-05-13T00:00:00"/>
    <d v="2025-05-13T00:00:00"/>
    <x v="5"/>
    <d v="2025-05-25T00:00:00"/>
    <m/>
    <d v="2025-06-01T00:00:00"/>
    <d v="2025-06-04T00:00:00"/>
    <d v="2025-06-08T00:00:00"/>
    <m/>
    <m/>
  </r>
  <r>
    <n v="88"/>
    <x v="0"/>
    <x v="1"/>
    <x v="87"/>
    <x v="6"/>
    <s v="POWER LAYOUT WITH SLD 5TH FLOOR PLAN"/>
    <s v="T Surya"/>
    <d v="2025-05-27T00:00:00"/>
    <d v="2025-05-27T00:00:00"/>
    <x v="6"/>
    <d v="2025-06-08T00:00:00"/>
    <d v="2025-08-08T00:00:00"/>
    <d v="2025-06-15T00:00:00"/>
    <d v="2025-10-16T00:00:00"/>
    <d v="2025-06-22T00:00:00"/>
    <m/>
    <m/>
  </r>
  <r>
    <n v="89"/>
    <x v="0"/>
    <x v="1"/>
    <x v="88"/>
    <x v="6"/>
    <s v="POWER LAYOUT WITH SLD 5TH FLOOR PLAN"/>
    <s v="T Surya"/>
    <d v="2025-05-27T00:00:00"/>
    <d v="2025-05-27T00:00:00"/>
    <x v="6"/>
    <d v="2025-06-08T00:00:00"/>
    <d v="2025-08-08T00:00:00"/>
    <d v="2025-06-15T00:00:00"/>
    <d v="2025-10-16T00:00:00"/>
    <d v="2025-06-22T00:00:00"/>
    <m/>
    <m/>
  </r>
  <r>
    <n v="90"/>
    <x v="0"/>
    <x v="1"/>
    <x v="89"/>
    <x v="6"/>
    <s v="POWER LAYOUT WITH SLD 5TH FLOOR PLAN"/>
    <s v="T Surya"/>
    <d v="2025-05-27T00:00:00"/>
    <d v="2025-05-27T00:00:00"/>
    <x v="6"/>
    <d v="2025-06-08T00:00:00"/>
    <d v="2025-08-08T00:00:00"/>
    <d v="2025-06-15T00:00:00"/>
    <d v="2025-10-16T00:00:00"/>
    <d v="2025-06-22T00:00:00"/>
    <m/>
    <m/>
  </r>
  <r>
    <n v="91"/>
    <x v="0"/>
    <x v="1"/>
    <x v="90"/>
    <x v="6"/>
    <s v="LIGHTING LAYOUT WITH SLD 5TH FLOOR PLAN"/>
    <s v="T Surya"/>
    <d v="2025-05-27T00:00:00"/>
    <d v="2025-05-27T00:00:00"/>
    <x v="6"/>
    <d v="2025-06-08T00:00:00"/>
    <d v="2025-08-08T00:00:00"/>
    <d v="2025-06-15T00:00:00"/>
    <d v="2025-10-16T00:00:00"/>
    <d v="2025-06-22T00:00:00"/>
    <m/>
    <m/>
  </r>
  <r>
    <n v="92"/>
    <x v="0"/>
    <x v="1"/>
    <x v="91"/>
    <x v="6"/>
    <s v="ELECTRICAL 5TH FLOOR CABLE TRAY LAYOUT"/>
    <s v="T Surya"/>
    <d v="2025-05-27T00:00:00"/>
    <d v="2025-05-27T00:00:00"/>
    <x v="6"/>
    <d v="2025-06-08T00:00:00"/>
    <d v="2025-08-08T00:00:00"/>
    <d v="2025-06-15T00:00:00"/>
    <d v="2025-10-16T00:00:00"/>
    <d v="2025-06-22T00:00:00"/>
    <m/>
    <m/>
  </r>
  <r>
    <n v="93"/>
    <x v="0"/>
    <x v="1"/>
    <x v="92"/>
    <x v="7"/>
    <s v="POWER LAYOUT WITH SLD 6TH FLOOR PLAN"/>
    <s v="T Surya"/>
    <d v="2025-06-13T00:00:00"/>
    <d v="2025-06-13T00:00:00"/>
    <x v="7"/>
    <d v="2025-06-25T00:00:00"/>
    <d v="2025-08-14T00:00:00"/>
    <d v="2025-07-02T00:00:00"/>
    <d v="2025-10-16T00:00:00"/>
    <d v="2025-07-09T00:00:00"/>
    <m/>
    <m/>
  </r>
  <r>
    <n v="94"/>
    <x v="0"/>
    <x v="1"/>
    <x v="93"/>
    <x v="7"/>
    <s v="POWER LAYOUT WITH SLD 6TH FLOOR PLAN"/>
    <s v="T Surya"/>
    <d v="2025-06-13T00:00:00"/>
    <d v="2025-06-13T00:00:00"/>
    <x v="7"/>
    <d v="2025-06-25T00:00:00"/>
    <d v="2025-08-14T00:00:00"/>
    <d v="2025-07-02T00:00:00"/>
    <d v="2025-10-16T00:00:00"/>
    <d v="2025-07-09T00:00:00"/>
    <m/>
    <m/>
  </r>
  <r>
    <n v="95"/>
    <x v="0"/>
    <x v="1"/>
    <x v="94"/>
    <x v="7"/>
    <s v="POWER LAYOUT WITH SLD 6TH FLOOR PLAN"/>
    <s v="T Surya"/>
    <d v="2025-06-13T00:00:00"/>
    <d v="2025-06-13T00:00:00"/>
    <x v="7"/>
    <d v="2025-06-25T00:00:00"/>
    <d v="2025-08-14T00:00:00"/>
    <d v="2025-07-02T00:00:00"/>
    <d v="2025-10-16T00:00:00"/>
    <d v="2025-07-09T00:00:00"/>
    <m/>
    <m/>
  </r>
  <r>
    <n v="96"/>
    <x v="0"/>
    <x v="1"/>
    <x v="95"/>
    <x v="7"/>
    <s v="LIGHTING LAYOUT WITH SLD 6TH FLOOR PLAN"/>
    <s v="T Surya"/>
    <d v="2025-06-13T00:00:00"/>
    <d v="2025-06-13T00:00:00"/>
    <x v="7"/>
    <d v="2025-06-25T00:00:00"/>
    <d v="2025-08-14T00:00:00"/>
    <d v="2025-07-02T00:00:00"/>
    <d v="2025-10-16T00:00:00"/>
    <d v="2025-07-09T00:00:00"/>
    <m/>
    <m/>
  </r>
  <r>
    <n v="97"/>
    <x v="0"/>
    <x v="1"/>
    <x v="96"/>
    <x v="7"/>
    <s v="ELECTRICAL 6TH  FLOOR CABLE TRAY LAYOUT"/>
    <s v="T Surya"/>
    <d v="2025-06-13T00:00:00"/>
    <d v="2025-06-13T00:00:00"/>
    <x v="7"/>
    <d v="2025-06-25T00:00:00"/>
    <d v="2025-08-14T00:00:00"/>
    <d v="2025-07-02T00:00:00"/>
    <d v="2025-10-16T00:00:00"/>
    <d v="2025-07-09T00:00:00"/>
    <m/>
    <m/>
  </r>
  <r>
    <n v="98"/>
    <x v="0"/>
    <x v="1"/>
    <x v="97"/>
    <x v="8"/>
    <s v="POWER LAYOUT WITH SLD 7TH FLOOR PLAN"/>
    <s v="T Surya"/>
    <d v="2025-06-29T00:00:00"/>
    <d v="2025-06-29T00:00:00"/>
    <x v="8"/>
    <d v="2025-07-11T00:00:00"/>
    <m/>
    <d v="2025-07-18T00:00:00"/>
    <d v="2025-10-16T00:00:00"/>
    <d v="2025-07-25T00:00:00"/>
    <m/>
    <m/>
  </r>
  <r>
    <n v="99"/>
    <x v="0"/>
    <x v="1"/>
    <x v="98"/>
    <x v="8"/>
    <s v="POWER LAYOUT WITH SLD 7TH FLOOR PLAN"/>
    <s v="T Surya"/>
    <d v="2025-06-29T00:00:00"/>
    <d v="2025-06-29T00:00:00"/>
    <x v="8"/>
    <d v="2025-07-11T00:00:00"/>
    <m/>
    <d v="2025-07-18T00:00:00"/>
    <d v="2025-10-16T00:00:00"/>
    <d v="2025-07-25T00:00:00"/>
    <m/>
    <m/>
  </r>
  <r>
    <n v="100"/>
    <x v="0"/>
    <x v="1"/>
    <x v="99"/>
    <x v="8"/>
    <s v="POWER LAYOUT WITH SLD 7TH FLOOR PLAN"/>
    <s v="T Surya"/>
    <d v="2025-06-29T00:00:00"/>
    <d v="2025-06-29T00:00:00"/>
    <x v="8"/>
    <d v="2025-07-11T00:00:00"/>
    <m/>
    <d v="2025-07-18T00:00:00"/>
    <d v="2025-10-16T00:00:00"/>
    <d v="2025-07-25T00:00:00"/>
    <m/>
    <m/>
  </r>
  <r>
    <n v="101"/>
    <x v="0"/>
    <x v="1"/>
    <x v="100"/>
    <x v="8"/>
    <s v="LIGHTING LAYOUT WITH SLD 7TH FLOOR PLAN"/>
    <s v="T Surya"/>
    <d v="2025-06-29T00:00:00"/>
    <d v="2025-06-29T00:00:00"/>
    <x v="8"/>
    <d v="2025-07-11T00:00:00"/>
    <m/>
    <d v="2025-07-18T00:00:00"/>
    <d v="2025-10-16T00:00:00"/>
    <d v="2025-07-25T00:00:00"/>
    <m/>
    <m/>
  </r>
  <r>
    <n v="102"/>
    <x v="0"/>
    <x v="1"/>
    <x v="101"/>
    <x v="8"/>
    <s v="ELECTRICAL 7TH FLOOR CABLE TRAY LAYOUT "/>
    <s v="T Surya"/>
    <d v="2025-06-29T00:00:00"/>
    <d v="2025-06-29T00:00:00"/>
    <x v="8"/>
    <d v="2025-07-11T00:00:00"/>
    <m/>
    <d v="2025-07-18T00:00:00"/>
    <d v="2025-10-16T00:00:00"/>
    <d v="2025-07-25T00:00:00"/>
    <m/>
    <m/>
  </r>
  <r>
    <n v="103"/>
    <x v="0"/>
    <x v="1"/>
    <x v="102"/>
    <x v="9"/>
    <s v="POWER LAYOUT WITH SLD 8TH FLOOR PLAN"/>
    <s v="T Surya"/>
    <d v="2025-06-29T00:00:00"/>
    <d v="2025-06-29T00:00:00"/>
    <x v="9"/>
    <d v="2025-07-11T00:00:00"/>
    <m/>
    <d v="2025-07-18T00:00:00"/>
    <d v="2025-10-29T00:00:00"/>
    <d v="2025-07-25T00:00:00"/>
    <m/>
    <m/>
  </r>
  <r>
    <n v="104"/>
    <x v="0"/>
    <x v="1"/>
    <x v="103"/>
    <x v="9"/>
    <s v="POWER LAYOUT WITH SLD 8TH FLOOR PLAN"/>
    <s v="T Surya"/>
    <d v="2025-06-29T00:00:00"/>
    <d v="2025-06-29T00:00:00"/>
    <x v="9"/>
    <d v="2025-07-11T00:00:00"/>
    <m/>
    <d v="2025-07-18T00:00:00"/>
    <d v="2025-10-29T00:00:00"/>
    <d v="2025-07-25T00:00:00"/>
    <m/>
    <m/>
  </r>
  <r>
    <n v="105"/>
    <x v="0"/>
    <x v="1"/>
    <x v="104"/>
    <x v="9"/>
    <s v="POWER LAYOUT WITH SLD 8TH FLOOR PLAN"/>
    <s v="T Surya"/>
    <d v="2025-06-29T00:00:00"/>
    <d v="2025-06-29T00:00:00"/>
    <x v="9"/>
    <d v="2025-07-11T00:00:00"/>
    <m/>
    <d v="2025-07-18T00:00:00"/>
    <d v="2025-10-29T00:00:00"/>
    <d v="2025-07-25T00:00:00"/>
    <m/>
    <m/>
  </r>
  <r>
    <n v="106"/>
    <x v="0"/>
    <x v="1"/>
    <x v="105"/>
    <x v="9"/>
    <s v="LIGHTING LAYOUT WITH SLD 8TH FLOOR PLAN"/>
    <s v="T Surya"/>
    <d v="2025-06-29T00:00:00"/>
    <d v="2025-06-29T00:00:00"/>
    <x v="9"/>
    <d v="2025-07-11T00:00:00"/>
    <m/>
    <d v="2025-07-18T00:00:00"/>
    <d v="2025-10-29T00:00:00"/>
    <d v="2025-07-25T00:00:00"/>
    <m/>
    <m/>
  </r>
  <r>
    <n v="107"/>
    <x v="0"/>
    <x v="1"/>
    <x v="106"/>
    <x v="9"/>
    <s v="ELECTRICAL 8TH FLOOR CABLE TRAY LAYOUT"/>
    <s v="T Surya"/>
    <d v="2025-06-29T00:00:00"/>
    <d v="2025-06-29T00:00:00"/>
    <x v="9"/>
    <d v="2025-07-11T00:00:00"/>
    <m/>
    <d v="2025-07-18T00:00:00"/>
    <d v="2025-10-29T00:00:00"/>
    <d v="2025-07-25T00:00:00"/>
    <m/>
    <m/>
  </r>
  <r>
    <n v="108"/>
    <x v="0"/>
    <x v="1"/>
    <x v="107"/>
    <x v="10"/>
    <s v="POWER LAYOUT WITH SLD 9TH FLOOR PLAN"/>
    <s v="T Surya"/>
    <d v="2025-07-13T00:00:00"/>
    <d v="2025-07-13T00:00:00"/>
    <x v="10"/>
    <d v="2025-07-25T00:00:00"/>
    <m/>
    <d v="2025-08-01T00:00:00"/>
    <d v="2025-07-12T00:00:00"/>
    <d v="2025-08-08T00:00:00"/>
    <m/>
    <m/>
  </r>
  <r>
    <n v="109"/>
    <x v="0"/>
    <x v="1"/>
    <x v="108"/>
    <x v="10"/>
    <s v="POWER LAYOUT WITH SLD 9TH FLOOR PLAN"/>
    <s v="T Surya"/>
    <d v="2025-07-13T00:00:00"/>
    <d v="2025-07-13T00:00:00"/>
    <x v="10"/>
    <d v="2025-07-25T00:00:00"/>
    <m/>
    <d v="2025-08-01T00:00:00"/>
    <d v="2025-07-12T00:00:00"/>
    <d v="2025-08-08T00:00:00"/>
    <m/>
    <m/>
  </r>
  <r>
    <n v="110"/>
    <x v="0"/>
    <x v="1"/>
    <x v="109"/>
    <x v="10"/>
    <s v="POWER LAYOUT WITH SLD 9TH FLOOR PLAN"/>
    <s v="T Surya"/>
    <d v="2025-07-13T00:00:00"/>
    <d v="2025-07-13T00:00:00"/>
    <x v="10"/>
    <d v="2025-07-25T00:00:00"/>
    <m/>
    <d v="2025-08-01T00:00:00"/>
    <d v="2025-07-12T00:00:00"/>
    <d v="2025-08-08T00:00:00"/>
    <m/>
    <m/>
  </r>
  <r>
    <n v="111"/>
    <x v="0"/>
    <x v="1"/>
    <x v="110"/>
    <x v="10"/>
    <s v="LIGHTING LAYOUT WITH SLD 9TH FLOOR PLAN"/>
    <s v="T Surya"/>
    <d v="2025-07-13T00:00:00"/>
    <d v="2025-07-13T00:00:00"/>
    <x v="10"/>
    <d v="2025-07-25T00:00:00"/>
    <m/>
    <d v="2025-08-01T00:00:00"/>
    <d v="2025-07-12T00:00:00"/>
    <d v="2025-08-08T00:00:00"/>
    <m/>
    <m/>
  </r>
  <r>
    <n v="112"/>
    <x v="0"/>
    <x v="1"/>
    <x v="111"/>
    <x v="10"/>
    <s v="ELECTRICAL 9TH FLOOR CABLE TRAY LAYOUT"/>
    <s v="T Surya"/>
    <d v="2025-07-13T00:00:00"/>
    <d v="2025-07-13T00:00:00"/>
    <x v="10"/>
    <d v="2025-07-25T00:00:00"/>
    <m/>
    <d v="2025-08-01T00:00:00"/>
    <d v="2025-07-12T00:00:00"/>
    <d v="2025-08-08T00:00:00"/>
    <m/>
    <m/>
  </r>
  <r>
    <n v="113"/>
    <x v="0"/>
    <x v="1"/>
    <x v="112"/>
    <x v="11"/>
    <s v="POWER LAYOUT WITH SLD 10TH FLOOR PLAN"/>
    <s v="T Surya"/>
    <d v="2025-07-13T00:00:00"/>
    <d v="2025-07-13T00:00:00"/>
    <x v="11"/>
    <d v="2025-07-25T00:00:00"/>
    <m/>
    <d v="2025-08-01T00:00:00"/>
    <d v="2025-10-16T00:00:00"/>
    <d v="2025-08-08T00:00:00"/>
    <m/>
    <m/>
  </r>
  <r>
    <n v="114"/>
    <x v="0"/>
    <x v="1"/>
    <x v="113"/>
    <x v="11"/>
    <s v="POWER LAYOUT WITH SLD 10TH FLOOR PLAN"/>
    <s v="T Surya"/>
    <d v="2025-07-13T00:00:00"/>
    <d v="2025-07-13T00:00:00"/>
    <x v="11"/>
    <d v="2025-07-25T00:00:00"/>
    <m/>
    <d v="2025-08-01T00:00:00"/>
    <d v="2025-10-16T00:00:00"/>
    <d v="2025-08-08T00:00:00"/>
    <m/>
    <m/>
  </r>
  <r>
    <n v="115"/>
    <x v="0"/>
    <x v="1"/>
    <x v="114"/>
    <x v="11"/>
    <s v="POWER LAYOUT WITH SLD 10TH FLOOR PLAN"/>
    <s v="T Surya"/>
    <d v="2025-07-13T00:00:00"/>
    <d v="2025-07-13T00:00:00"/>
    <x v="11"/>
    <d v="2025-07-25T00:00:00"/>
    <m/>
    <d v="2025-08-01T00:00:00"/>
    <d v="2025-10-16T00:00:00"/>
    <d v="2025-08-08T00:00:00"/>
    <m/>
    <m/>
  </r>
  <r>
    <n v="116"/>
    <x v="0"/>
    <x v="1"/>
    <x v="115"/>
    <x v="11"/>
    <s v="LIGHTING LAYOUT WITH SLD 10TH FLOOR PLAN"/>
    <s v="T Surya"/>
    <d v="2025-07-13T00:00:00"/>
    <d v="2025-07-13T00:00:00"/>
    <x v="11"/>
    <d v="2025-07-25T00:00:00"/>
    <m/>
    <d v="2025-08-01T00:00:00"/>
    <d v="2025-10-16T00:00:00"/>
    <d v="2025-08-08T00:00:00"/>
    <m/>
    <m/>
  </r>
  <r>
    <n v="117"/>
    <x v="0"/>
    <x v="1"/>
    <x v="116"/>
    <x v="11"/>
    <s v="ELECTRICAL 10TH FLOOR CABLE TRAY LAYOUT"/>
    <s v="T Surya"/>
    <d v="2025-07-13T00:00:00"/>
    <d v="2025-07-13T00:00:00"/>
    <x v="11"/>
    <d v="2025-07-25T00:00:00"/>
    <m/>
    <d v="2025-08-01T00:00:00"/>
    <d v="2025-10-16T00:00:00"/>
    <d v="2025-08-08T00:00:00"/>
    <m/>
    <m/>
  </r>
  <r>
    <n v="118"/>
    <x v="0"/>
    <x v="1"/>
    <x v="117"/>
    <x v="12"/>
    <s v="POWER LAYOUT WITH SLD TERRACE FLOOR PLAN"/>
    <s v="T Surya"/>
    <d v="2025-11-15T00:00:00"/>
    <d v="2025-07-28T00:00:00"/>
    <x v="2"/>
    <d v="2025-08-09T00:00:00"/>
    <m/>
    <d v="2025-08-16T00:00:00"/>
    <d v="2026-02-18T00:00:00"/>
    <d v="2025-08-23T00:00:00"/>
    <m/>
    <m/>
  </r>
  <r>
    <n v="119"/>
    <x v="0"/>
    <x v="1"/>
    <x v="118"/>
    <x v="12"/>
    <s v="POWER LAYOUT WITH SLD TERRACE FLOOR PLAN"/>
    <s v="T Surya"/>
    <d v="2025-11-15T00:00:00"/>
    <d v="2025-07-28T00:00:00"/>
    <x v="2"/>
    <d v="2025-08-09T00:00:00"/>
    <m/>
    <d v="2025-08-16T00:00:00"/>
    <d v="2026-02-18T00:00:00"/>
    <d v="2025-08-23T00:00:00"/>
    <m/>
    <m/>
  </r>
  <r>
    <n v="120"/>
    <x v="0"/>
    <x v="1"/>
    <x v="119"/>
    <x v="12"/>
    <s v="LIGHTING LAYOUT WITH SLD TERRACE FLOOR PLAN"/>
    <s v="T Surya"/>
    <d v="2025-11-15T00:00:00"/>
    <d v="2025-07-28T00:00:00"/>
    <x v="2"/>
    <d v="2025-08-09T00:00:00"/>
    <m/>
    <d v="2025-08-16T00:00:00"/>
    <d v="2026-02-18T00:00:00"/>
    <d v="2025-08-23T00:00:00"/>
    <m/>
    <m/>
  </r>
  <r>
    <n v="121"/>
    <x v="0"/>
    <x v="1"/>
    <x v="120"/>
    <x v="12"/>
    <s v="ELECTRICAL TERRACE CABLE TRAY LAYOUT"/>
    <s v="T Surya"/>
    <d v="2025-11-15T00:00:00"/>
    <d v="2025-07-28T00:00:00"/>
    <x v="2"/>
    <d v="2025-08-09T00:00:00"/>
    <m/>
    <d v="2025-08-16T00:00:00"/>
    <d v="2026-02-18T00:00:00"/>
    <d v="2025-08-23T00:00:00"/>
    <m/>
    <m/>
  </r>
  <r>
    <n v="122"/>
    <x v="0"/>
    <x v="1"/>
    <x v="121"/>
    <x v="14"/>
    <s v="ELECTRICAL SINGLE LINE DIAGRAM"/>
    <s v="T Surya"/>
    <d v="2025-04-16T00:00:00"/>
    <d v="2025-04-16T00:00:00"/>
    <x v="17"/>
    <d v="2025-04-28T00:00:00"/>
    <d v="2025-04-16T00:00:00"/>
    <d v="2025-05-05T00:00:00"/>
    <d v="2025-05-31T00:00:00"/>
    <d v="2025-05-12T00:00:00"/>
    <m/>
    <m/>
  </r>
  <r>
    <n v="123"/>
    <x v="0"/>
    <x v="1"/>
    <x v="122"/>
    <x v="12"/>
    <s v="LAYOUT OF LIGHTNING ARRESTOR"/>
    <s v="T Surya"/>
    <d v="2025-07-25T00:00:00"/>
    <d v="2025-07-25T00:00:00"/>
    <x v="18"/>
    <d v="2025-08-06T00:00:00"/>
    <m/>
    <d v="2025-08-13T00:00:00"/>
    <d v="2026-02-18T00:00:00"/>
    <d v="2025-08-20T00:00:00"/>
    <m/>
    <m/>
  </r>
  <r>
    <n v="124"/>
    <x v="0"/>
    <x v="1"/>
    <x v="123"/>
    <x v="12"/>
    <s v="LAYOUT OF AVIATION OBSTRUCTION LIGHT"/>
    <s v="T Surya"/>
    <d v="2025-07-25T00:00:00"/>
    <d v="2025-07-25T00:00:00"/>
    <x v="18"/>
    <d v="2025-08-06T00:00:00"/>
    <m/>
    <d v="2025-08-13T00:00:00"/>
    <d v="2026-02-18T00:00:00"/>
    <d v="2025-08-20T00:00:00"/>
    <m/>
    <m/>
  </r>
  <r>
    <n v="125"/>
    <x v="0"/>
    <x v="1"/>
    <x v="124"/>
    <x v="13"/>
    <s v="ELECTRICAL EXTERNAL POWER LAYOUT"/>
    <s v="T Surya"/>
    <d v="2025-07-25T00:00:00"/>
    <d v="2025-07-25T00:00:00"/>
    <x v="16"/>
    <d v="2025-08-06T00:00:00"/>
    <m/>
    <d v="2025-08-13T00:00:00"/>
    <m/>
    <d v="2025-08-20T00:00:00"/>
    <m/>
    <m/>
  </r>
  <r>
    <n v="126"/>
    <x v="0"/>
    <x v="2"/>
    <x v="125"/>
    <x v="13"/>
    <s v="ELV INFRASTRUCTURE LAYOUT"/>
    <s v="T Surya"/>
    <d v="2025-03-15T00:00:00"/>
    <d v="2025-03-15T00:00:00"/>
    <x v="19"/>
    <d v="2025-04-01T00:00:00"/>
    <m/>
    <d v="2025-04-10T00:00:00"/>
    <d v="2026-04-20T00:00:00"/>
    <d v="2025-04-17T00:00:00"/>
    <m/>
    <m/>
  </r>
  <r>
    <n v="127"/>
    <x v="0"/>
    <x v="2"/>
    <x v="126"/>
    <x v="13"/>
    <s v="ELV CCTV LAYOUT"/>
    <s v="T Surya"/>
    <d v="2025-11-30T00:00:00"/>
    <d v="2025-03-15T00:00:00"/>
    <x v="16"/>
    <d v="2025-12-16T00:00:00"/>
    <m/>
    <d v="2025-12-25T00:00:00"/>
    <d v="2026-04-20T00:00:00"/>
    <d v="2026-01-01T00:00:00"/>
    <m/>
    <m/>
  </r>
  <r>
    <n v="128"/>
    <x v="0"/>
    <x v="2"/>
    <x v="127"/>
    <x v="14"/>
    <s v="ELV DBR COMMENTARY"/>
    <s v="T Surya"/>
    <d v="2025-03-31T00:00:00"/>
    <d v="2025-03-31T00:00:00"/>
    <x v="20"/>
    <d v="2025-04-16T00:00:00"/>
    <m/>
    <d v="2025-04-25T00:00:00"/>
    <d v="2025-03-31T00:00:00"/>
    <d v="2025-05-02T00:00:00"/>
    <m/>
    <m/>
  </r>
  <r>
    <n v="129"/>
    <x v="0"/>
    <x v="2"/>
    <x v="128"/>
    <x v="1"/>
    <s v="RODENT REPELLENT SYSTEM GR FLOOR"/>
    <s v="T Surya"/>
    <d v="2025-03-31T00:00:00"/>
    <d v="2025-03-31T00:00:00"/>
    <x v="0"/>
    <d v="2025-04-12T00:00:00"/>
    <m/>
    <d v="2025-04-22T00:00:00"/>
    <d v="2025-06-04T00:00:00"/>
    <d v="2025-04-29T00:00:00"/>
    <m/>
    <m/>
  </r>
  <r>
    <n v="130"/>
    <x v="0"/>
    <x v="2"/>
    <x v="129"/>
    <x v="2"/>
    <s v="RODENT REPELLENT SYSTEM 1ST FLOOR"/>
    <s v="T Surya"/>
    <d v="2025-11-15T00:00:00"/>
    <d v="2025-03-31T00:00:00"/>
    <x v="2"/>
    <d v="2025-04-12T00:00:00"/>
    <d v="2025-05-19T00:00:00"/>
    <d v="2025-11-29T00:00:00"/>
    <d v="2025-12-04T00:00:00"/>
    <d v="2025-12-06T00:00:00"/>
    <m/>
    <m/>
  </r>
  <r>
    <n v="131"/>
    <x v="0"/>
    <x v="2"/>
    <x v="130"/>
    <x v="3"/>
    <s v="RODENT REPELLENT SYSTEM 2ND FLOOR"/>
    <s v="T Surya"/>
    <d v="2025-10-30T00:00:00"/>
    <d v="2025-03-31T00:00:00"/>
    <x v="3"/>
    <d v="2025-04-12T00:00:00"/>
    <m/>
    <d v="2025-11-13T00:00:00"/>
    <d v="2025-12-04T00:00:00"/>
    <d v="2025-11-20T00:00:00"/>
    <m/>
    <m/>
  </r>
  <r>
    <n v="132"/>
    <x v="0"/>
    <x v="2"/>
    <x v="131"/>
    <x v="4"/>
    <s v="RODENT REPELLENT SYSTEM 3RD FLOOR"/>
    <s v="T Surya"/>
    <d v="2025-10-25T00:00:00"/>
    <d v="2025-03-31T00:00:00"/>
    <x v="4"/>
    <d v="2025-11-11T00:00:00"/>
    <d v="2025-08-20T00:00:00"/>
    <d v="2025-11-08T00:00:00"/>
    <d v="2025-12-04T00:00:00"/>
    <d v="2025-11-15T00:00:00"/>
    <m/>
    <m/>
  </r>
  <r>
    <n v="133"/>
    <x v="0"/>
    <x v="2"/>
    <x v="132"/>
    <x v="5"/>
    <s v="RODENT REPELLENT SYSTEM 4TH FLOOR"/>
    <s v="T Surya"/>
    <d v="2025-03-31T00:00:00"/>
    <d v="2025-03-31T00:00:00"/>
    <x v="5"/>
    <d v="2025-04-16T00:00:00"/>
    <m/>
    <d v="2025-04-25T00:00:00"/>
    <d v="2025-06-04T00:00:00"/>
    <d v="2025-05-02T00:00:00"/>
    <m/>
    <m/>
  </r>
  <r>
    <n v="134"/>
    <x v="0"/>
    <x v="2"/>
    <x v="133"/>
    <x v="6"/>
    <s v="RODENT REPELLENT SYSTEM 5TH FLOOR"/>
    <s v="T Surya"/>
    <d v="2025-03-31T00:00:00"/>
    <d v="2025-03-31T00:00:00"/>
    <x v="6"/>
    <d v="2025-04-16T00:00:00"/>
    <m/>
    <d v="2025-04-25T00:00:00"/>
    <d v="2025-10-16T00:00:00"/>
    <d v="2025-05-02T00:00:00"/>
    <m/>
    <m/>
  </r>
  <r>
    <n v="135"/>
    <x v="0"/>
    <x v="2"/>
    <x v="134"/>
    <x v="7"/>
    <s v="RODENT REPELLENT SYSTEM 6TH FLOOR"/>
    <s v="T Surya"/>
    <d v="2025-03-31T00:00:00"/>
    <d v="2025-03-31T00:00:00"/>
    <x v="7"/>
    <d v="2025-04-16T00:00:00"/>
    <m/>
    <d v="2025-04-25T00:00:00"/>
    <d v="2025-10-16T00:00:00"/>
    <d v="2025-05-02T00:00:00"/>
    <m/>
    <m/>
  </r>
  <r>
    <n v="136"/>
    <x v="0"/>
    <x v="2"/>
    <x v="135"/>
    <x v="8"/>
    <s v="RODENT REPELLENT SYSTEM 7TH FLOOR"/>
    <s v="T Surya"/>
    <d v="2025-03-31T00:00:00"/>
    <d v="2025-03-31T00:00:00"/>
    <x v="8"/>
    <d v="2025-04-16T00:00:00"/>
    <m/>
    <d v="2025-04-25T00:00:00"/>
    <d v="2025-10-16T00:00:00"/>
    <d v="2025-05-02T00:00:00"/>
    <m/>
    <m/>
  </r>
  <r>
    <n v="137"/>
    <x v="0"/>
    <x v="2"/>
    <x v="136"/>
    <x v="9"/>
    <s v="RODENT REPELLENT SYSTEM 8TH FLOOR"/>
    <s v="T Surya"/>
    <d v="2025-03-31T00:00:00"/>
    <d v="2025-03-31T00:00:00"/>
    <x v="9"/>
    <d v="2025-04-16T00:00:00"/>
    <m/>
    <d v="2025-04-25T00:00:00"/>
    <d v="2025-10-29T00:00:00"/>
    <d v="2025-05-02T00:00:00"/>
    <m/>
    <m/>
  </r>
  <r>
    <n v="138"/>
    <x v="0"/>
    <x v="2"/>
    <x v="137"/>
    <x v="10"/>
    <s v="RODENT REPELLENT SYSTEM 9TH FLOOR"/>
    <s v="T Surya"/>
    <d v="2025-03-31T00:00:00"/>
    <d v="2025-03-31T00:00:00"/>
    <x v="19"/>
    <d v="2025-04-16T00:00:00"/>
    <m/>
    <d v="2025-04-25T00:00:00"/>
    <d v="2025-07-12T00:00:00"/>
    <d v="2025-05-02T00:00:00"/>
    <m/>
    <m/>
  </r>
  <r>
    <n v="139"/>
    <x v="0"/>
    <x v="2"/>
    <x v="138"/>
    <x v="11"/>
    <s v="RODENT REPELLENT SYSTEM 10TH FLOOR"/>
    <s v="T Surya"/>
    <d v="2025-03-31T00:00:00"/>
    <d v="2025-03-31T00:00:00"/>
    <x v="11"/>
    <d v="2025-04-16T00:00:00"/>
    <m/>
    <d v="2025-04-25T00:00:00"/>
    <d v="2025-10-16T00:00:00"/>
    <d v="2025-05-02T00:00:00"/>
    <m/>
    <m/>
  </r>
  <r>
    <n v="140"/>
    <x v="0"/>
    <x v="2"/>
    <x v="139"/>
    <x v="12"/>
    <s v="RODENT REPELLENT SYSTEM TERRACE FLOOR"/>
    <s v="T Surya"/>
    <d v="2025-11-15T00:00:00"/>
    <d v="2025-03-31T00:00:00"/>
    <x v="2"/>
    <d v="2025-12-02T00:00:00"/>
    <m/>
    <d v="2025-12-11T00:00:00"/>
    <d v="2025-10-16T00:00:00"/>
    <d v="2025-12-18T00:00:00"/>
    <m/>
    <m/>
  </r>
  <r>
    <n v="141"/>
    <x v="0"/>
    <x v="2"/>
    <x v="140"/>
    <x v="14"/>
    <s v="RODENT REPELLENT SYSTEM SLD"/>
    <s v="T Surya"/>
    <d v="2025-12-15T00:00:00"/>
    <d v="2025-03-31T00:00:00"/>
    <x v="21"/>
    <d v="2025-12-31T00:00:00"/>
    <m/>
    <d v="2026-01-09T00:00:00"/>
    <m/>
    <d v="2026-01-16T00:00:00"/>
    <m/>
    <s v="Dependent on JCI"/>
  </r>
  <r>
    <n v="142"/>
    <x v="0"/>
    <x v="2"/>
    <x v="141"/>
    <x v="14"/>
    <s v="ELV NETWORK ARCHITECTURE"/>
    <s v="T Surya"/>
    <d v="2025-03-31T00:00:00"/>
    <d v="2025-03-31T00:00:00"/>
    <x v="20"/>
    <d v="2025-07-31T00:00:00"/>
    <m/>
    <d v="2025-08-11T00:00:00"/>
    <m/>
    <d v="2025-08-18T00:00:00"/>
    <m/>
    <m/>
  </r>
  <r>
    <n v="143"/>
    <x v="0"/>
    <x v="2"/>
    <x v="142"/>
    <x v="14"/>
    <s v="ELV NURSE CALLING SCHEMATIC DIAGRAM"/>
    <s v="T Surya"/>
    <d v="2025-03-31T00:00:00"/>
    <d v="2025-03-31T00:00:00"/>
    <x v="20"/>
    <d v="2025-07-31T00:00:00"/>
    <m/>
    <d v="2025-08-11T00:00:00"/>
    <m/>
    <d v="2025-08-18T00:00:00"/>
    <m/>
    <m/>
  </r>
  <r>
    <n v="144"/>
    <x v="0"/>
    <x v="2"/>
    <x v="143"/>
    <x v="14"/>
    <s v="ELV OPD CALLING SCHEMATIC DIAGRAM"/>
    <s v="T Surya"/>
    <d v="2025-03-31T00:00:00"/>
    <d v="2025-03-31T00:00:00"/>
    <x v="20"/>
    <d v="2025-07-31T00:00:00"/>
    <m/>
    <d v="2025-08-11T00:00:00"/>
    <d v="2026-04-20T00:00:00"/>
    <d v="2025-08-18T00:00:00"/>
    <m/>
    <m/>
  </r>
  <r>
    <n v="145"/>
    <x v="0"/>
    <x v="2"/>
    <x v="144"/>
    <x v="14"/>
    <s v="ELV BMS IO SUMMARY &amp; SCHEMATIC DIAGRAM"/>
    <s v="T Surya"/>
    <d v="2025-03-31T00:00:00"/>
    <d v="2025-03-31T00:00:00"/>
    <x v="20"/>
    <d v="2025-07-31T00:00:00"/>
    <m/>
    <d v="2025-08-11T00:00:00"/>
    <m/>
    <d v="2025-08-18T00:00:00"/>
    <m/>
    <m/>
  </r>
  <r>
    <n v="146"/>
    <x v="0"/>
    <x v="2"/>
    <x v="145"/>
    <x v="14"/>
    <s v="ELV CCTV SCHEMATIC DIAGRAM"/>
    <s v="T Surya"/>
    <d v="2025-03-31T00:00:00"/>
    <d v="2025-03-31T00:00:00"/>
    <x v="20"/>
    <d v="2025-07-31T00:00:00"/>
    <m/>
    <d v="2025-08-11T00:00:00"/>
    <m/>
    <d v="2025-08-18T00:00:00"/>
    <m/>
    <m/>
  </r>
  <r>
    <n v="147"/>
    <x v="0"/>
    <x v="2"/>
    <x v="146"/>
    <x v="14"/>
    <s v="ACCESS CONTROL SCHEMATIC PLAN"/>
    <s v="T Surya"/>
    <d v="2025-03-31T00:00:00"/>
    <d v="2025-03-31T00:00:00"/>
    <x v="20"/>
    <d v="2025-04-12T00:00:00"/>
    <m/>
    <d v="2025-04-19T00:00:00"/>
    <d v="2026-04-20T00:00:00"/>
    <d v="2025-04-26T00:00:00"/>
    <m/>
    <m/>
  </r>
  <r>
    <n v="148"/>
    <x v="0"/>
    <x v="2"/>
    <x v="147"/>
    <x v="0"/>
    <s v="Elv Layout BASEMENT PLAN"/>
    <s v="T Surya"/>
    <d v="2025-03-31T00:00:00"/>
    <d v="2025-03-31T00:00:00"/>
    <x v="0"/>
    <d v="2025-04-12T00:00:00"/>
    <d v="2025-04-04T00:00:00"/>
    <d v="2025-04-19T00:00:00"/>
    <d v="2025-05-31T00:00:00"/>
    <d v="2025-04-26T00:00:00"/>
    <m/>
    <m/>
  </r>
  <r>
    <n v="149"/>
    <x v="0"/>
    <x v="2"/>
    <x v="148"/>
    <x v="0"/>
    <s v="BMS SYSTEM BASEMENT PLAN"/>
    <s v="T Surya"/>
    <d v="2025-03-31T00:00:00"/>
    <d v="2025-03-31T00:00:00"/>
    <x v="0"/>
    <d v="2025-04-12T00:00:00"/>
    <d v="2025-04-04T00:00:00"/>
    <d v="2025-04-19T00:00:00"/>
    <d v="2025-05-31T00:00:00"/>
    <d v="2025-04-26T00:00:00"/>
    <m/>
    <m/>
  </r>
  <r>
    <n v="150"/>
    <x v="0"/>
    <x v="2"/>
    <x v="149"/>
    <x v="0"/>
    <s v="Wi-Fi Heat map BASEMENT PLAN"/>
    <s v="T Surya"/>
    <d v="2025-03-31T00:00:00"/>
    <d v="2025-03-31T00:00:00"/>
    <x v="0"/>
    <d v="2025-04-12T00:00:00"/>
    <d v="2025-04-04T00:00:00"/>
    <d v="2025-04-19T00:00:00"/>
    <d v="2025-05-31T00:00:00"/>
    <d v="2025-04-26T00:00:00"/>
    <m/>
    <m/>
  </r>
  <r>
    <n v="151"/>
    <x v="0"/>
    <x v="2"/>
    <x v="150"/>
    <x v="1"/>
    <s v="ELV Layout GROUND FLOOR PLAN"/>
    <s v="T Surya"/>
    <d v="2025-03-31T00:00:00"/>
    <d v="2025-03-31T00:00:00"/>
    <x v="1"/>
    <d v="2025-04-12T00:00:00"/>
    <d v="2025-04-04T00:00:00"/>
    <d v="2025-04-19T00:00:00"/>
    <d v="2025-06-04T00:00:00"/>
    <d v="2025-04-26T00:00:00"/>
    <m/>
    <m/>
  </r>
  <r>
    <n v="152"/>
    <x v="0"/>
    <x v="2"/>
    <x v="151"/>
    <x v="1"/>
    <s v="Wi-Fi Heat map GROUND FLOOR PLAN"/>
    <s v="T Surya"/>
    <d v="2025-03-31T00:00:00"/>
    <d v="2025-03-31T00:00:00"/>
    <x v="1"/>
    <d v="2025-04-12T00:00:00"/>
    <m/>
    <d v="2025-04-19T00:00:00"/>
    <d v="2025-06-04T00:00:00"/>
    <d v="2025-04-26T00:00:00"/>
    <m/>
    <m/>
  </r>
  <r>
    <n v="153"/>
    <x v="0"/>
    <x v="2"/>
    <x v="152"/>
    <x v="1"/>
    <s v="BMS SYSTEM GROUND FLOOR PLAN"/>
    <s v="T Surya"/>
    <d v="2025-03-31T00:00:00"/>
    <d v="2025-03-31T00:00:00"/>
    <x v="1"/>
    <d v="2025-04-12T00:00:00"/>
    <m/>
    <d v="2025-04-19T00:00:00"/>
    <d v="2025-06-04T00:00:00"/>
    <d v="2025-04-26T00:00:00"/>
    <m/>
    <m/>
  </r>
  <r>
    <n v="154"/>
    <x v="0"/>
    <x v="2"/>
    <x v="153"/>
    <x v="2"/>
    <s v="ELV Layout 1ST FLOOR PLAN"/>
    <s v="T Surya"/>
    <d v="2025-11-15T00:00:00"/>
    <d v="2025-03-31T00:00:00"/>
    <x v="2"/>
    <d v="2025-04-12T00:00:00"/>
    <d v="2025-05-19T00:00:00"/>
    <d v="2025-11-29T00:00:00"/>
    <d v="2025-12-04T00:00:00"/>
    <d v="2025-12-06T00:00:00"/>
    <m/>
    <m/>
  </r>
  <r>
    <n v="155"/>
    <x v="0"/>
    <x v="2"/>
    <x v="154"/>
    <x v="2"/>
    <s v="Wi-Fi Heat map 1ST FLOOR PLAN"/>
    <s v="T Surya"/>
    <d v="2025-11-15T00:00:00"/>
    <d v="2025-03-31T00:00:00"/>
    <x v="2"/>
    <d v="2025-04-12T00:00:00"/>
    <m/>
    <d v="2025-11-29T00:00:00"/>
    <d v="2025-12-04T00:00:00"/>
    <d v="2025-12-06T00:00:00"/>
    <m/>
    <m/>
  </r>
  <r>
    <n v="156"/>
    <x v="0"/>
    <x v="2"/>
    <x v="155"/>
    <x v="2"/>
    <s v="BMS SYSTEM 1ST FLOOR PLAN"/>
    <s v="T Surya"/>
    <d v="2025-11-15T00:00:00"/>
    <d v="2025-04-10T00:00:00"/>
    <x v="2"/>
    <d v="2025-04-12T00:00:00"/>
    <d v="2025-05-19T00:00:00"/>
    <d v="2025-11-29T00:00:00"/>
    <d v="2025-12-04T00:00:00"/>
    <d v="2025-12-06T00:00:00"/>
    <m/>
    <m/>
  </r>
  <r>
    <n v="157"/>
    <x v="0"/>
    <x v="2"/>
    <x v="156"/>
    <x v="3"/>
    <s v="ELV Layout 2ND FLOOR PLAN"/>
    <s v="T Surya"/>
    <d v="2025-10-30T00:00:00"/>
    <d v="2025-04-13T00:00:00"/>
    <x v="3"/>
    <d v="2025-04-25T00:00:00"/>
    <m/>
    <d v="2025-11-13T00:00:00"/>
    <d v="2025-12-04T00:00:00"/>
    <d v="2025-11-20T00:00:00"/>
    <m/>
    <m/>
  </r>
  <r>
    <n v="158"/>
    <x v="0"/>
    <x v="2"/>
    <x v="157"/>
    <x v="3"/>
    <s v="Wi-Fi Heat map 2ND FLOOR PLAN"/>
    <s v="T Surya"/>
    <d v="2025-10-30T00:00:00"/>
    <d v="2025-04-13T00:00:00"/>
    <x v="3"/>
    <d v="2025-04-25T00:00:00"/>
    <m/>
    <d v="2025-11-13T00:00:00"/>
    <d v="2025-12-04T00:00:00"/>
    <d v="2025-11-20T00:00:00"/>
    <m/>
    <m/>
  </r>
  <r>
    <n v="159"/>
    <x v="0"/>
    <x v="2"/>
    <x v="158"/>
    <x v="3"/>
    <s v="BMS SYSTEM 2ND FLOOR PLAN"/>
    <s v="T Surya"/>
    <d v="2025-10-30T00:00:00"/>
    <d v="2025-04-13T00:00:00"/>
    <x v="3"/>
    <d v="2025-04-25T00:00:00"/>
    <m/>
    <d v="2025-11-13T00:00:00"/>
    <d v="2025-12-04T00:00:00"/>
    <d v="2025-11-20T00:00:00"/>
    <m/>
    <m/>
  </r>
  <r>
    <n v="160"/>
    <x v="0"/>
    <x v="2"/>
    <x v="159"/>
    <x v="4"/>
    <s v=" ELV Layout 3RD FLOOR PLAN"/>
    <s v="T Surya"/>
    <d v="2025-10-25T00:00:00"/>
    <d v="2025-04-26T00:00:00"/>
    <x v="4"/>
    <d v="2025-05-11T00:00:00"/>
    <d v="2025-08-20T00:00:00"/>
    <d v="2025-11-08T00:00:00"/>
    <d v="2025-12-04T00:00:00"/>
    <d v="2025-11-15T00:00:00"/>
    <m/>
    <m/>
  </r>
  <r>
    <n v="161"/>
    <x v="0"/>
    <x v="2"/>
    <x v="160"/>
    <x v="4"/>
    <s v=" Wi-Fi Heat map 3RD FLOOR PLAN"/>
    <s v="T Surya"/>
    <d v="2025-10-25T00:00:00"/>
    <d v="2025-04-29T00:00:00"/>
    <x v="4"/>
    <d v="2025-05-11T00:00:00"/>
    <d v="2025-08-20T00:00:00"/>
    <d v="2025-11-08T00:00:00"/>
    <d v="2025-12-04T00:00:00"/>
    <d v="2025-11-15T00:00:00"/>
    <m/>
    <m/>
  </r>
  <r>
    <n v="162"/>
    <x v="0"/>
    <x v="2"/>
    <x v="161"/>
    <x v="4"/>
    <s v=" BMS SYSTEM 3RD FLOOR PLAN"/>
    <s v="T Surya"/>
    <d v="2025-10-25T00:00:00"/>
    <d v="2025-04-29T00:00:00"/>
    <x v="4"/>
    <d v="2025-05-11T00:00:00"/>
    <d v="2025-08-20T00:00:00"/>
    <d v="2025-11-08T00:00:00"/>
    <d v="2025-12-04T00:00:00"/>
    <d v="2025-11-15T00:00:00"/>
    <m/>
    <m/>
  </r>
  <r>
    <n v="163"/>
    <x v="0"/>
    <x v="2"/>
    <x v="162"/>
    <x v="5"/>
    <s v=" ELV Layout 4TH FLOOR PLAN"/>
    <s v="T Surya"/>
    <d v="2025-04-29T00:00:00"/>
    <d v="2025-04-29T00:00:00"/>
    <x v="5"/>
    <d v="2025-05-25T00:00:00"/>
    <m/>
    <d v="2025-06-01T00:00:00"/>
    <d v="2025-06-04T00:00:00"/>
    <d v="2025-06-08T00:00:00"/>
    <m/>
    <m/>
  </r>
  <r>
    <n v="164"/>
    <x v="0"/>
    <x v="2"/>
    <x v="163"/>
    <x v="5"/>
    <s v=" Wi-Fi Heat map 4TH FLOOR PLAN"/>
    <s v="T Surya"/>
    <d v="2025-05-13T00:00:00"/>
    <d v="2025-05-13T00:00:00"/>
    <x v="5"/>
    <d v="2025-05-25T00:00:00"/>
    <m/>
    <d v="2025-06-01T00:00:00"/>
    <d v="2025-06-04T00:00:00"/>
    <d v="2025-06-08T00:00:00"/>
    <m/>
    <m/>
  </r>
  <r>
    <n v="165"/>
    <x v="0"/>
    <x v="2"/>
    <x v="164"/>
    <x v="5"/>
    <s v=" BMS SYSTEM 4TH FLOOR PLAN"/>
    <s v="T Surya"/>
    <d v="2025-05-13T00:00:00"/>
    <d v="2025-05-13T00:00:00"/>
    <x v="5"/>
    <d v="2025-05-25T00:00:00"/>
    <m/>
    <d v="2025-06-01T00:00:00"/>
    <d v="2025-06-04T00:00:00"/>
    <d v="2025-06-08T00:00:00"/>
    <m/>
    <m/>
  </r>
  <r>
    <n v="166"/>
    <x v="0"/>
    <x v="2"/>
    <x v="165"/>
    <x v="6"/>
    <s v=" ELV Layout 5TH FLOOR PLAN"/>
    <s v="T Surya"/>
    <d v="2025-05-13T00:00:00"/>
    <d v="2025-05-13T00:00:00"/>
    <x v="6"/>
    <d v="2025-06-08T00:00:00"/>
    <d v="2025-08-08T00:00:00"/>
    <d v="2025-06-15T00:00:00"/>
    <d v="2025-10-16T00:00:00"/>
    <d v="2025-06-22T00:00:00"/>
    <m/>
    <m/>
  </r>
  <r>
    <n v="167"/>
    <x v="0"/>
    <x v="2"/>
    <x v="166"/>
    <x v="6"/>
    <s v=" Wi-Fi Heat map 5TH FLOOR PLAN"/>
    <s v="T Surya"/>
    <d v="2025-05-13T00:00:00"/>
    <d v="2025-05-13T00:00:00"/>
    <x v="6"/>
    <d v="2025-06-08T00:00:00"/>
    <d v="2025-08-08T00:00:00"/>
    <d v="2025-06-15T00:00:00"/>
    <d v="2025-10-16T00:00:00"/>
    <d v="2025-06-22T00:00:00"/>
    <m/>
    <m/>
  </r>
  <r>
    <n v="168"/>
    <x v="0"/>
    <x v="2"/>
    <x v="167"/>
    <x v="6"/>
    <s v=" BMS SYSTEM 5TH FLOOR PLAN"/>
    <s v="T Surya"/>
    <d v="2025-05-13T00:00:00"/>
    <d v="2025-05-13T00:00:00"/>
    <x v="6"/>
    <d v="2025-06-08T00:00:00"/>
    <d v="2025-08-08T00:00:00"/>
    <d v="2025-06-15T00:00:00"/>
    <d v="2025-10-16T00:00:00"/>
    <d v="2025-06-22T00:00:00"/>
    <m/>
    <m/>
  </r>
  <r>
    <n v="169"/>
    <x v="0"/>
    <x v="2"/>
    <x v="168"/>
    <x v="7"/>
    <s v=" ELV Layout 6TH FLOOR PLAN"/>
    <s v="T Surya"/>
    <d v="2025-05-27T00:00:00"/>
    <d v="2025-05-27T00:00:00"/>
    <x v="7"/>
    <d v="2025-06-25T00:00:00"/>
    <d v="2025-08-14T00:00:00"/>
    <d v="2025-07-02T00:00:00"/>
    <d v="2025-10-16T00:00:00"/>
    <d v="2025-07-09T00:00:00"/>
    <m/>
    <m/>
  </r>
  <r>
    <n v="170"/>
    <x v="0"/>
    <x v="2"/>
    <x v="169"/>
    <x v="7"/>
    <s v=" Wi-Fi Heat map 6TH FLOOR PLAN"/>
    <s v="T Surya"/>
    <d v="2025-05-27T00:00:00"/>
    <d v="2025-05-27T00:00:00"/>
    <x v="7"/>
    <d v="2025-06-25T00:00:00"/>
    <d v="2025-08-14T00:00:00"/>
    <d v="2025-07-02T00:00:00"/>
    <d v="2025-10-16T00:00:00"/>
    <d v="2025-07-09T00:00:00"/>
    <m/>
    <m/>
  </r>
  <r>
    <n v="171"/>
    <x v="0"/>
    <x v="2"/>
    <x v="170"/>
    <x v="7"/>
    <s v=" BMS SYSTEM 6TH FLOOR PLAN"/>
    <s v="T Surya"/>
    <d v="2025-05-27T00:00:00"/>
    <d v="2025-05-27T00:00:00"/>
    <x v="7"/>
    <d v="2025-06-25T00:00:00"/>
    <d v="2025-08-14T00:00:00"/>
    <d v="2025-07-02T00:00:00"/>
    <d v="2025-10-16T00:00:00"/>
    <d v="2025-07-09T00:00:00"/>
    <m/>
    <m/>
  </r>
  <r>
    <n v="172"/>
    <x v="0"/>
    <x v="2"/>
    <x v="171"/>
    <x v="8"/>
    <s v=" ELV Layout 7TH FLOOR PLAN"/>
    <s v="T Surya"/>
    <d v="2025-06-13T00:00:00"/>
    <d v="2025-06-13T00:00:00"/>
    <x v="8"/>
    <d v="2025-07-11T00:00:00"/>
    <m/>
    <d v="2025-07-18T00:00:00"/>
    <d v="2025-10-16T00:00:00"/>
    <d v="2025-07-25T00:00:00"/>
    <m/>
    <m/>
  </r>
  <r>
    <n v="173"/>
    <x v="0"/>
    <x v="2"/>
    <x v="172"/>
    <x v="8"/>
    <s v=" Wi-Fi Heat map 7TH FLOOR PLAN"/>
    <s v="T Surya"/>
    <d v="2025-06-13T00:00:00"/>
    <d v="2025-06-13T00:00:00"/>
    <x v="8"/>
    <d v="2025-07-11T00:00:00"/>
    <m/>
    <d v="2025-07-18T00:00:00"/>
    <d v="2025-10-16T00:00:00"/>
    <d v="2025-07-25T00:00:00"/>
    <m/>
    <m/>
  </r>
  <r>
    <n v="174"/>
    <x v="0"/>
    <x v="2"/>
    <x v="173"/>
    <x v="8"/>
    <s v=" BMS SYSTEM 7TH FLOOR PLAN"/>
    <s v="T Surya"/>
    <d v="2025-06-13T00:00:00"/>
    <d v="2025-06-13T00:00:00"/>
    <x v="8"/>
    <d v="2025-07-11T00:00:00"/>
    <m/>
    <d v="2025-07-18T00:00:00"/>
    <d v="2025-10-16T00:00:00"/>
    <d v="2025-07-25T00:00:00"/>
    <m/>
    <m/>
  </r>
  <r>
    <n v="175"/>
    <x v="0"/>
    <x v="2"/>
    <x v="174"/>
    <x v="8"/>
    <s v="AUDIO VISUAL SYSTEM 7TH FLOOR"/>
    <s v="T Surya"/>
    <d v="2025-06-13T00:00:00"/>
    <d v="2025-06-13T00:00:00"/>
    <x v="22"/>
    <d v="2025-07-11T00:00:00"/>
    <m/>
    <d v="2025-07-18T00:00:00"/>
    <m/>
    <d v="2025-07-25T00:00:00"/>
    <m/>
    <s v="Dependent on JCI, site team to arrange meeting with client &amp; vendor"/>
  </r>
  <r>
    <n v="176"/>
    <x v="0"/>
    <x v="2"/>
    <x v="175"/>
    <x v="9"/>
    <s v=" ELV Layout 8TH FLOOR PLAN"/>
    <s v="T Surya"/>
    <d v="2025-06-13T00:00:00"/>
    <d v="2025-06-13T00:00:00"/>
    <x v="9"/>
    <d v="2025-07-11T00:00:00"/>
    <m/>
    <d v="2025-07-18T00:00:00"/>
    <d v="2025-10-29T00:00:00"/>
    <d v="2025-07-25T00:00:00"/>
    <m/>
    <m/>
  </r>
  <r>
    <n v="177"/>
    <x v="0"/>
    <x v="2"/>
    <x v="176"/>
    <x v="9"/>
    <s v=" Wi-Fi Heat map 8TH FLOOR PLAN"/>
    <s v="T Surya"/>
    <d v="2025-06-29T00:00:00"/>
    <d v="2025-06-29T00:00:00"/>
    <x v="9"/>
    <d v="2025-07-11T00:00:00"/>
    <m/>
    <d v="2025-07-18T00:00:00"/>
    <d v="2025-10-29T00:00:00"/>
    <d v="2025-07-25T00:00:00"/>
    <m/>
    <m/>
  </r>
  <r>
    <n v="178"/>
    <x v="0"/>
    <x v="2"/>
    <x v="177"/>
    <x v="9"/>
    <s v=" BMS SYSTEM 8TH FLOOR PLAN"/>
    <s v="T Surya"/>
    <d v="2025-06-29T00:00:00"/>
    <d v="2025-06-29T00:00:00"/>
    <x v="9"/>
    <d v="2025-07-11T00:00:00"/>
    <m/>
    <d v="2025-07-18T00:00:00"/>
    <d v="2025-10-29T00:00:00"/>
    <d v="2025-07-25T00:00:00"/>
    <m/>
    <m/>
  </r>
  <r>
    <n v="179"/>
    <x v="0"/>
    <x v="2"/>
    <x v="178"/>
    <x v="10"/>
    <s v=" ELV Layout 9TH FLOOR PLAN"/>
    <s v="T Surya"/>
    <d v="2025-06-29T00:00:00"/>
    <d v="2025-06-29T00:00:00"/>
    <x v="10"/>
    <d v="2025-07-25T00:00:00"/>
    <m/>
    <d v="2025-08-01T00:00:00"/>
    <d v="2025-07-12T00:00:00"/>
    <d v="2025-08-08T00:00:00"/>
    <m/>
    <m/>
  </r>
  <r>
    <n v="180"/>
    <x v="0"/>
    <x v="2"/>
    <x v="179"/>
    <x v="10"/>
    <s v=" Wi-Fi Heat map 9TH FLOOR PLAN"/>
    <s v="T Surya"/>
    <d v="2025-06-29T00:00:00"/>
    <d v="2025-06-29T00:00:00"/>
    <x v="10"/>
    <d v="2025-07-25T00:00:00"/>
    <m/>
    <d v="2025-08-01T00:00:00"/>
    <d v="2025-07-12T00:00:00"/>
    <d v="2025-08-08T00:00:00"/>
    <m/>
    <m/>
  </r>
  <r>
    <n v="181"/>
    <x v="0"/>
    <x v="2"/>
    <x v="180"/>
    <x v="10"/>
    <s v=" BMS SYSTEM 9TH FLOOR PLAN"/>
    <s v="T Surya"/>
    <d v="2025-06-29T00:00:00"/>
    <d v="2025-06-29T00:00:00"/>
    <x v="10"/>
    <d v="2025-07-25T00:00:00"/>
    <m/>
    <d v="2025-08-01T00:00:00"/>
    <d v="2025-07-12T00:00:00"/>
    <d v="2025-08-08T00:00:00"/>
    <m/>
    <m/>
  </r>
  <r>
    <n v="182"/>
    <x v="0"/>
    <x v="2"/>
    <x v="181"/>
    <x v="11"/>
    <s v=" ELV Layout 10TH FLOOR PLAN"/>
    <s v="T Surya"/>
    <d v="2025-06-29T00:00:00"/>
    <d v="2025-06-29T00:00:00"/>
    <x v="11"/>
    <d v="2025-07-25T00:00:00"/>
    <m/>
    <d v="2025-08-01T00:00:00"/>
    <d v="2025-10-16T00:00:00"/>
    <d v="2025-08-08T00:00:00"/>
    <m/>
    <m/>
  </r>
  <r>
    <n v="183"/>
    <x v="0"/>
    <x v="2"/>
    <x v="182"/>
    <x v="11"/>
    <s v=" Wi-Fi Heat map 10TH FLOOR PLAN"/>
    <s v="T Surya"/>
    <d v="2025-06-29T00:00:00"/>
    <d v="2025-06-29T00:00:00"/>
    <x v="11"/>
    <d v="2025-07-25T00:00:00"/>
    <m/>
    <d v="2025-08-01T00:00:00"/>
    <d v="2025-10-16T00:00:00"/>
    <d v="2025-08-08T00:00:00"/>
    <m/>
    <m/>
  </r>
  <r>
    <n v="184"/>
    <x v="0"/>
    <x v="2"/>
    <x v="183"/>
    <x v="11"/>
    <s v=" BMS SYSTEM 10TH FLOOR PLAN"/>
    <s v="T Surya"/>
    <d v="2025-06-29T00:00:00"/>
    <d v="2025-06-29T00:00:00"/>
    <x v="11"/>
    <d v="2025-07-25T00:00:00"/>
    <m/>
    <d v="2025-08-01T00:00:00"/>
    <d v="2025-10-16T00:00:00"/>
    <d v="2025-08-08T00:00:00"/>
    <m/>
    <m/>
  </r>
  <r>
    <n v="185"/>
    <x v="0"/>
    <x v="2"/>
    <x v="184"/>
    <x v="11"/>
    <s v="AUDIO VISUAL SYSTEM 10TH FLOOR"/>
    <s v="T Surya"/>
    <d v="2025-07-13T00:00:00"/>
    <d v="2025-07-13T00:00:00"/>
    <x v="22"/>
    <d v="2025-07-25T00:00:00"/>
    <m/>
    <d v="2025-08-01T00:00:00"/>
    <m/>
    <d v="2025-08-08T00:00:00"/>
    <m/>
    <s v="Dependent on JCI, site team to arrange meeting with client &amp; vendor"/>
  </r>
  <r>
    <n v="186"/>
    <x v="0"/>
    <x v="2"/>
    <x v="185"/>
    <x v="12"/>
    <s v=" Wi-Fi Heat map TERRACE PLAN"/>
    <s v="T Surya"/>
    <d v="2025-11-15T00:00:00"/>
    <d v="2025-07-13T00:00:00"/>
    <x v="2"/>
    <d v="2025-08-09T00:00:00"/>
    <m/>
    <d v="2025-08-16T00:00:00"/>
    <d v="2026-02-18T00:00:00"/>
    <d v="2025-08-23T00:00:00"/>
    <m/>
    <m/>
  </r>
  <r>
    <n v="187"/>
    <x v="0"/>
    <x v="2"/>
    <x v="186"/>
    <x v="12"/>
    <s v=" ELV Layout TERRACE FLOOR PLAN"/>
    <s v="T Surya"/>
    <d v="2025-11-15T00:00:00"/>
    <d v="2025-07-13T00:00:00"/>
    <x v="2"/>
    <d v="2025-08-09T00:00:00"/>
    <m/>
    <d v="2025-08-16T00:00:00"/>
    <d v="2026-02-18T00:00:00"/>
    <d v="2025-08-23T00:00:00"/>
    <m/>
    <m/>
  </r>
  <r>
    <n v="188"/>
    <x v="0"/>
    <x v="2"/>
    <x v="187"/>
    <x v="12"/>
    <s v=" BMS SYSTEM TERRACE PLAN"/>
    <s v="T Surya"/>
    <d v="2025-11-15T00:00:00"/>
    <d v="2025-07-13T00:00:00"/>
    <x v="2"/>
    <d v="2025-08-09T00:00:00"/>
    <m/>
    <d v="2025-08-16T00:00:00"/>
    <d v="2026-02-18T00:00:00"/>
    <d v="2025-08-23T00:00:00"/>
    <m/>
    <m/>
  </r>
  <r>
    <n v="189"/>
    <x v="0"/>
    <x v="2"/>
    <x v="188"/>
    <x v="14"/>
    <s v=" WATER LEAK DETECTION PLAN"/>
    <s v="T Surya"/>
    <d v="2025-12-15T00:00:00"/>
    <d v="2025-07-13T00:00:00"/>
    <x v="21"/>
    <d v="2025-08-06T00:00:00"/>
    <m/>
    <d v="2025-08-13T00:00:00"/>
    <m/>
    <d v="2025-08-20T00:00:00"/>
    <m/>
    <s v="Dependent on JCI"/>
  </r>
  <r>
    <n v="190"/>
    <x v="0"/>
    <x v="2"/>
    <x v="189"/>
    <x v="14"/>
    <s v=" ELV BMS ROOM LAYOUT"/>
    <s v="T Surya"/>
    <d v="2025-12-31T00:00:00"/>
    <d v="2025-07-31T00:00:00"/>
    <x v="23"/>
    <d v="2025-05-22T00:00:00"/>
    <m/>
    <d v="2025-05-29T00:00:00"/>
    <m/>
    <d v="2025-06-05T00:00:00"/>
    <m/>
    <s v="Dependent on JCI, Jci to visit site survey (Existing building)&amp; prepare "/>
  </r>
  <r>
    <n v="191"/>
    <x v="0"/>
    <x v="3"/>
    <x v="190"/>
    <x v="0"/>
    <s v="FIRE DETECTION &amp; PA DRAWING BASEMENT FLOOR PLAN"/>
    <s v="Aashish"/>
    <d v="2025-03-31T00:00:00"/>
    <d v="2025-03-31T00:00:00"/>
    <x v="0"/>
    <d v="2025-04-12T00:00:00"/>
    <m/>
    <d v="2025-04-19T00:00:00"/>
    <d v="2025-05-31T00:00:00"/>
    <d v="2025-04-26T00:00:00"/>
    <m/>
    <m/>
  </r>
  <r>
    <n v="192"/>
    <x v="0"/>
    <x v="3"/>
    <x v="191"/>
    <x v="0"/>
    <s v="FIRE PROTECTION BASEMENT FLOOR PLAN"/>
    <s v="Aashish"/>
    <d v="2025-03-31T00:00:00"/>
    <d v="2025-03-31T00:00:00"/>
    <x v="0"/>
    <d v="2025-04-12T00:00:00"/>
    <d v="2025-04-04T00:00:00"/>
    <d v="2025-04-04T00:00:00"/>
    <d v="2025-05-31T00:00:00"/>
    <d v="2025-04-11T00:00:00"/>
    <m/>
    <m/>
  </r>
  <r>
    <n v="193"/>
    <x v="0"/>
    <x v="3"/>
    <x v="192"/>
    <x v="0"/>
    <s v="SIGNAGE &amp; FIRE EXTINGUISHER BASEMENT PLAN"/>
    <s v="Aashish"/>
    <d v="2025-03-31T00:00:00"/>
    <d v="2025-03-31T00:00:00"/>
    <x v="0"/>
    <d v="2025-04-12T00:00:00"/>
    <m/>
    <d v="2025-04-19T00:00:00"/>
    <d v="2025-05-31T00:00:00"/>
    <d v="2025-04-26T00:00:00"/>
    <m/>
    <m/>
  </r>
  <r>
    <n v="194"/>
    <x v="0"/>
    <x v="3"/>
    <x v="193"/>
    <x v="1"/>
    <s v="FIRE DETECTION &amp; PA DRAWING GROUND FLOOR PLAN"/>
    <s v="Aashish"/>
    <d v="2025-03-31T00:00:00"/>
    <d v="2025-03-31T00:00:00"/>
    <x v="1"/>
    <d v="2025-04-12T00:00:00"/>
    <d v="2025-05-28T00:00:00"/>
    <d v="2025-04-19T00:00:00"/>
    <d v="2025-06-04T00:00:00"/>
    <d v="2025-04-26T00:00:00"/>
    <m/>
    <m/>
  </r>
  <r>
    <n v="195"/>
    <x v="0"/>
    <x v="3"/>
    <x v="194"/>
    <x v="1"/>
    <s v="FIRE PROTECTION GROUND FLOOR PLAN"/>
    <s v="Aashish"/>
    <d v="2025-03-31T00:00:00"/>
    <d v="2025-03-31T00:00:00"/>
    <x v="1"/>
    <d v="2025-04-12T00:00:00"/>
    <d v="2025-05-28T00:00:00"/>
    <d v="2025-04-19T00:00:00"/>
    <d v="2025-06-04T00:00:00"/>
    <d v="2025-04-26T00:00:00"/>
    <m/>
    <m/>
  </r>
  <r>
    <n v="196"/>
    <x v="0"/>
    <x v="3"/>
    <x v="195"/>
    <x v="1"/>
    <s v="SIGNAGE &amp; FIRE EXTINGUISHER GROUND FLOOR PLAN"/>
    <s v="Aashish"/>
    <d v="2025-03-31T00:00:00"/>
    <d v="2025-03-31T00:00:00"/>
    <x v="1"/>
    <d v="2025-04-12T00:00:00"/>
    <d v="2025-05-28T00:00:00"/>
    <d v="2025-04-19T00:00:00"/>
    <d v="2025-06-04T00:00:00"/>
    <d v="2025-04-26T00:00:00"/>
    <m/>
    <m/>
  </r>
  <r>
    <n v="197"/>
    <x v="0"/>
    <x v="3"/>
    <x v="196"/>
    <x v="2"/>
    <s v="SIGNAGE &amp; FIRE EXTINGUISHER 1ST FLOOR PLAN"/>
    <s v="Aashish"/>
    <d v="2025-11-15T00:00:00"/>
    <d v="2025-03-31T00:00:00"/>
    <x v="2"/>
    <d v="2025-04-12T00:00:00"/>
    <d v="2025-04-19T00:00:00"/>
    <d v="2025-11-29T00:00:00"/>
    <d v="2025-12-04T00:00:00"/>
    <d v="2025-12-06T00:00:00"/>
    <m/>
    <m/>
  </r>
  <r>
    <n v="198"/>
    <x v="0"/>
    <x v="3"/>
    <x v="197"/>
    <x v="2"/>
    <s v="FIRE DETECTION &amp; PA DRAWING 1ST FLOOR PLAN"/>
    <s v="Aashish"/>
    <d v="2025-11-15T00:00:00"/>
    <d v="2025-03-31T00:00:00"/>
    <x v="2"/>
    <d v="2025-04-12T00:00:00"/>
    <d v="2025-04-19T00:00:00"/>
    <d v="2025-11-29T00:00:00"/>
    <d v="2025-12-04T00:00:00"/>
    <d v="2025-12-06T00:00:00"/>
    <m/>
    <m/>
  </r>
  <r>
    <n v="199"/>
    <x v="0"/>
    <x v="3"/>
    <x v="198"/>
    <x v="2"/>
    <s v="FIRE PROTECTION 1ST FLOOR PLAN"/>
    <s v="Aashish"/>
    <d v="2025-11-15T00:00:00"/>
    <d v="2025-03-31T00:00:00"/>
    <x v="2"/>
    <d v="2025-04-12T00:00:00"/>
    <d v="2025-04-19T00:00:00"/>
    <d v="2025-11-29T00:00:00"/>
    <d v="2025-12-04T00:00:00"/>
    <d v="2025-12-06T00:00:00"/>
    <m/>
    <m/>
  </r>
  <r>
    <n v="200"/>
    <x v="0"/>
    <x v="3"/>
    <x v="199"/>
    <x v="3"/>
    <s v="SIGNAGE &amp; FIRE EXTINGUISHER 2ND FLOOR PLAN"/>
    <s v="Aashish"/>
    <d v="2025-10-30T00:00:00"/>
    <d v="2025-04-13T00:00:00"/>
    <x v="3"/>
    <d v="2025-04-25T00:00:00"/>
    <m/>
    <d v="2025-11-13T00:00:00"/>
    <d v="2025-12-04T00:00:00"/>
    <d v="2025-11-20T00:00:00"/>
    <m/>
    <m/>
  </r>
  <r>
    <n v="201"/>
    <x v="0"/>
    <x v="3"/>
    <x v="200"/>
    <x v="3"/>
    <s v="FIRE DETECTION &amp; PA DRAWING 2ND FLOOR PLAN"/>
    <s v="Aashish"/>
    <d v="2025-10-30T00:00:00"/>
    <d v="2025-04-13T00:00:00"/>
    <x v="3"/>
    <d v="2025-04-25T00:00:00"/>
    <m/>
    <d v="2025-11-13T00:00:00"/>
    <d v="2025-12-04T00:00:00"/>
    <d v="2025-11-20T00:00:00"/>
    <m/>
    <m/>
  </r>
  <r>
    <n v="202"/>
    <x v="0"/>
    <x v="3"/>
    <x v="201"/>
    <x v="3"/>
    <s v="FIRE PROTECTION 2ND FLOOR PLAN"/>
    <s v="Aashish"/>
    <d v="2025-10-30T00:00:00"/>
    <d v="2025-04-13T00:00:00"/>
    <x v="3"/>
    <d v="2025-04-25T00:00:00"/>
    <m/>
    <d v="2025-11-13T00:00:00"/>
    <d v="2025-12-04T00:00:00"/>
    <d v="2025-11-20T00:00:00"/>
    <m/>
    <m/>
  </r>
  <r>
    <n v="203"/>
    <x v="0"/>
    <x v="3"/>
    <x v="202"/>
    <x v="4"/>
    <s v="SIGNAGE &amp; FIRE EXTINGUISHER 3RD FLOOR PLAN"/>
    <s v="Aashish"/>
    <d v="2025-10-25T00:00:00"/>
    <d v="2025-04-29T00:00:00"/>
    <x v="4"/>
    <d v="2025-05-11T00:00:00"/>
    <d v="2025-08-20T00:00:00"/>
    <d v="2025-11-08T00:00:00"/>
    <d v="2025-12-04T00:00:00"/>
    <d v="2025-11-15T00:00:00"/>
    <m/>
    <m/>
  </r>
  <r>
    <n v="204"/>
    <x v="0"/>
    <x v="3"/>
    <x v="203"/>
    <x v="4"/>
    <s v="FIRE DETECTION &amp; PA DRAWING 3RD FLOOR PLAN"/>
    <s v="Aashish"/>
    <d v="2025-10-25T00:00:00"/>
    <d v="2025-04-29T00:00:00"/>
    <x v="4"/>
    <d v="2025-05-11T00:00:00"/>
    <d v="2025-08-20T00:00:00"/>
    <d v="2025-11-08T00:00:00"/>
    <d v="2025-12-04T00:00:00"/>
    <d v="2025-11-15T00:00:00"/>
    <m/>
    <m/>
  </r>
  <r>
    <n v="205"/>
    <x v="0"/>
    <x v="3"/>
    <x v="204"/>
    <x v="4"/>
    <s v="FIRE PROTECTION 3RD FLOOR PLAN"/>
    <s v="Aashish"/>
    <d v="2025-10-25T00:00:00"/>
    <d v="2025-04-29T00:00:00"/>
    <x v="4"/>
    <d v="2025-05-11T00:00:00"/>
    <d v="2025-08-20T00:00:00"/>
    <d v="2025-11-08T00:00:00"/>
    <d v="2025-12-04T00:00:00"/>
    <d v="2025-11-15T00:00:00"/>
    <m/>
    <m/>
  </r>
  <r>
    <n v="206"/>
    <x v="0"/>
    <x v="3"/>
    <x v="205"/>
    <x v="5"/>
    <s v="SIGNAGE &amp; FIRE EXTINGUISHER 4TH FLOOR PLAN"/>
    <s v="Aashish"/>
    <d v="2025-05-13T00:00:00"/>
    <d v="2025-05-13T00:00:00"/>
    <x v="5"/>
    <d v="2025-05-25T00:00:00"/>
    <m/>
    <d v="2025-06-01T00:00:00"/>
    <d v="2025-06-04T00:00:00"/>
    <d v="2025-06-08T00:00:00"/>
    <m/>
    <m/>
  </r>
  <r>
    <n v="207"/>
    <x v="0"/>
    <x v="3"/>
    <x v="206"/>
    <x v="5"/>
    <s v="FIRE DETECTION &amp; PA DRAWING 4TH FLOOR PLAN"/>
    <s v="Aashish"/>
    <d v="2025-05-13T00:00:00"/>
    <d v="2025-05-13T00:00:00"/>
    <x v="5"/>
    <d v="2025-05-25T00:00:00"/>
    <m/>
    <d v="2025-06-01T00:00:00"/>
    <d v="2025-06-04T00:00:00"/>
    <d v="2025-06-08T00:00:00"/>
    <m/>
    <m/>
  </r>
  <r>
    <n v="208"/>
    <x v="0"/>
    <x v="3"/>
    <x v="207"/>
    <x v="5"/>
    <s v="FIRE PROTECTION 4TH FLOOR PLAN"/>
    <s v="Aashish"/>
    <d v="2025-05-13T00:00:00"/>
    <d v="2025-05-13T00:00:00"/>
    <x v="5"/>
    <d v="2025-05-25T00:00:00"/>
    <m/>
    <d v="2025-06-01T00:00:00"/>
    <d v="2025-06-04T00:00:00"/>
    <d v="2025-06-08T00:00:00"/>
    <m/>
    <m/>
  </r>
  <r>
    <n v="209"/>
    <x v="0"/>
    <x v="3"/>
    <x v="208"/>
    <x v="6"/>
    <s v="SIGNAGE &amp; FIRE EXTINGUISHER 5TH FLOOR PLAN"/>
    <s v="Aashish"/>
    <d v="2025-05-27T00:00:00"/>
    <d v="2025-05-27T00:00:00"/>
    <x v="6"/>
    <d v="2025-06-08T00:00:00"/>
    <d v="2025-08-08T00:00:00"/>
    <d v="2025-06-15T00:00:00"/>
    <d v="2025-10-16T00:00:00"/>
    <d v="2025-06-22T00:00:00"/>
    <m/>
    <m/>
  </r>
  <r>
    <n v="210"/>
    <x v="0"/>
    <x v="3"/>
    <x v="209"/>
    <x v="6"/>
    <s v="FIRE DETECTION &amp; PA DRAWING 5TH FLOOR PLAN"/>
    <s v="Aashish"/>
    <d v="2025-05-27T00:00:00"/>
    <d v="2025-05-27T00:00:00"/>
    <x v="6"/>
    <d v="2025-06-08T00:00:00"/>
    <d v="2025-08-08T00:00:00"/>
    <d v="2025-06-15T00:00:00"/>
    <d v="2025-10-16T00:00:00"/>
    <d v="2025-06-22T00:00:00"/>
    <m/>
    <m/>
  </r>
  <r>
    <n v="211"/>
    <x v="0"/>
    <x v="3"/>
    <x v="210"/>
    <x v="6"/>
    <s v="FIRE PROTECTION 5TH FLOOR PLAN"/>
    <s v="Aashish"/>
    <d v="2025-05-27T00:00:00"/>
    <d v="2025-05-27T00:00:00"/>
    <x v="6"/>
    <d v="2025-06-08T00:00:00"/>
    <d v="2025-08-08T00:00:00"/>
    <d v="2025-06-15T00:00:00"/>
    <d v="2025-10-16T00:00:00"/>
    <d v="2025-06-22T00:00:00"/>
    <m/>
    <m/>
  </r>
  <r>
    <n v="212"/>
    <x v="0"/>
    <x v="3"/>
    <x v="211"/>
    <x v="7"/>
    <s v="SIGNAGE &amp; FIRE EXTINGUISHER 6th FLOOR PLAN"/>
    <s v="Aashish"/>
    <d v="2025-06-13T00:00:00"/>
    <d v="2025-06-13T00:00:00"/>
    <x v="7"/>
    <d v="2025-06-25T00:00:00"/>
    <d v="2025-08-14T00:00:00"/>
    <d v="2025-07-02T00:00:00"/>
    <d v="2025-10-16T00:00:00"/>
    <d v="2025-07-09T00:00:00"/>
    <m/>
    <m/>
  </r>
  <r>
    <n v="213"/>
    <x v="0"/>
    <x v="3"/>
    <x v="212"/>
    <x v="7"/>
    <s v="FIRE DETECTION &amp; PA DRAWING 6TH  FLOOR PLAN"/>
    <s v="Aashish"/>
    <d v="2025-06-13T00:00:00"/>
    <d v="2025-06-13T00:00:00"/>
    <x v="7"/>
    <d v="2025-06-25T00:00:00"/>
    <d v="2025-08-14T00:00:00"/>
    <d v="2025-07-02T00:00:00"/>
    <d v="2025-10-16T00:00:00"/>
    <d v="2025-07-09T00:00:00"/>
    <m/>
    <m/>
  </r>
  <r>
    <n v="214"/>
    <x v="0"/>
    <x v="3"/>
    <x v="213"/>
    <x v="7"/>
    <s v="FIRE PROTECTION  6TH  FLOOR PLAN"/>
    <s v="Aashish"/>
    <d v="2025-06-13T00:00:00"/>
    <d v="2025-06-13T00:00:00"/>
    <x v="7"/>
    <d v="2025-06-25T00:00:00"/>
    <d v="2025-08-14T00:00:00"/>
    <d v="2025-07-02T00:00:00"/>
    <d v="2025-10-16T00:00:00"/>
    <d v="2025-07-09T00:00:00"/>
    <m/>
    <m/>
  </r>
  <r>
    <n v="215"/>
    <x v="0"/>
    <x v="3"/>
    <x v="214"/>
    <x v="8"/>
    <s v="SIGNAGE &amp; FIRE EXTINGUISHER 7TH FLOOR PLAN"/>
    <s v="Aashish"/>
    <d v="2025-06-29T00:00:00"/>
    <d v="2025-06-29T00:00:00"/>
    <x v="8"/>
    <d v="2025-07-11T00:00:00"/>
    <m/>
    <d v="2025-07-18T00:00:00"/>
    <d v="2025-10-16T00:00:00"/>
    <d v="2025-07-25T00:00:00"/>
    <m/>
    <m/>
  </r>
  <r>
    <n v="216"/>
    <x v="0"/>
    <x v="3"/>
    <x v="215"/>
    <x v="8"/>
    <s v="FIRE DETECTION &amp; PA DRAWING 7TH FLOOR PLAN "/>
    <s v="Aashish"/>
    <d v="2025-06-29T00:00:00"/>
    <d v="2025-06-29T00:00:00"/>
    <x v="8"/>
    <d v="2025-07-11T00:00:00"/>
    <m/>
    <d v="2025-07-18T00:00:00"/>
    <d v="2025-10-16T00:00:00"/>
    <d v="2025-07-25T00:00:00"/>
    <m/>
    <m/>
  </r>
  <r>
    <n v="217"/>
    <x v="0"/>
    <x v="3"/>
    <x v="216"/>
    <x v="8"/>
    <s v="FIRE PROTECTION  7TH FLOOR PLAN "/>
    <s v="Aashish"/>
    <d v="2025-06-29T00:00:00"/>
    <d v="2025-06-29T00:00:00"/>
    <x v="8"/>
    <d v="2025-07-11T00:00:00"/>
    <m/>
    <d v="2025-07-18T00:00:00"/>
    <d v="2025-10-16T00:00:00"/>
    <d v="2025-07-25T00:00:00"/>
    <m/>
    <m/>
  </r>
  <r>
    <n v="218"/>
    <x v="0"/>
    <x v="3"/>
    <x v="217"/>
    <x v="9"/>
    <s v="SIGNAGE &amp; FIRE EXTINGUISHER 8TH FLOOR PLAN"/>
    <s v="Aashish"/>
    <d v="2025-06-29T00:00:00"/>
    <d v="2025-06-29T00:00:00"/>
    <x v="9"/>
    <d v="2025-07-11T00:00:00"/>
    <m/>
    <d v="2025-07-18T00:00:00"/>
    <d v="2025-10-29T00:00:00"/>
    <d v="2025-07-25T00:00:00"/>
    <m/>
    <m/>
  </r>
  <r>
    <n v="219"/>
    <x v="0"/>
    <x v="3"/>
    <x v="218"/>
    <x v="9"/>
    <s v="FIRE DETECTION &amp; PA DRAWING 8TH FLOOR PLAN"/>
    <s v="Aashish"/>
    <d v="2025-06-29T00:00:00"/>
    <d v="2025-06-29T00:00:00"/>
    <x v="9"/>
    <d v="2025-07-11T00:00:00"/>
    <m/>
    <d v="2025-07-18T00:00:00"/>
    <d v="2025-10-29T00:00:00"/>
    <d v="2025-07-25T00:00:00"/>
    <m/>
    <m/>
  </r>
  <r>
    <n v="220"/>
    <x v="0"/>
    <x v="3"/>
    <x v="219"/>
    <x v="9"/>
    <s v="FIRE PROTECTION 8TH FLOOR PLAN"/>
    <s v="Aashish"/>
    <d v="2025-06-29T00:00:00"/>
    <d v="2025-06-29T00:00:00"/>
    <x v="9"/>
    <d v="2025-07-11T00:00:00"/>
    <m/>
    <d v="2025-07-18T00:00:00"/>
    <d v="2025-10-29T00:00:00"/>
    <d v="2025-07-25T00:00:00"/>
    <m/>
    <m/>
  </r>
  <r>
    <n v="221"/>
    <x v="0"/>
    <x v="3"/>
    <x v="220"/>
    <x v="10"/>
    <s v="SIGNAGE &amp; FIRE EXTINGUISHER 9TH FLOOR PLAN"/>
    <s v="Aashish"/>
    <d v="2025-07-13T00:00:00"/>
    <d v="2025-07-13T00:00:00"/>
    <x v="10"/>
    <d v="2025-07-25T00:00:00"/>
    <m/>
    <d v="2025-08-01T00:00:00"/>
    <d v="2025-07-12T00:00:00"/>
    <d v="2025-08-08T00:00:00"/>
    <m/>
    <m/>
  </r>
  <r>
    <n v="222"/>
    <x v="0"/>
    <x v="3"/>
    <x v="221"/>
    <x v="10"/>
    <s v="FIRE DETECTION &amp; PA DRAWING 9th FLOOR PLAN"/>
    <s v="Aashish"/>
    <d v="2025-07-13T00:00:00"/>
    <d v="2025-07-13T00:00:00"/>
    <x v="10"/>
    <d v="2025-07-25T00:00:00"/>
    <m/>
    <d v="2025-08-01T00:00:00"/>
    <d v="2025-07-12T00:00:00"/>
    <d v="2025-08-08T00:00:00"/>
    <m/>
    <m/>
  </r>
  <r>
    <n v="223"/>
    <x v="0"/>
    <x v="3"/>
    <x v="222"/>
    <x v="10"/>
    <s v="FIRE PROTECTION 9th FLOOR PLAN"/>
    <s v="Aashish"/>
    <d v="2025-07-13T00:00:00"/>
    <d v="2025-07-13T00:00:00"/>
    <x v="10"/>
    <d v="2025-07-25T00:00:00"/>
    <m/>
    <d v="2025-08-01T00:00:00"/>
    <d v="2025-07-12T00:00:00"/>
    <d v="2025-08-08T00:00:00"/>
    <m/>
    <m/>
  </r>
  <r>
    <n v="224"/>
    <x v="0"/>
    <x v="3"/>
    <x v="223"/>
    <x v="11"/>
    <s v="FIRE DETECTION &amp; PA DRAWING 10th FLOOR PLAN"/>
    <s v="Aashish"/>
    <d v="2025-07-13T00:00:00"/>
    <d v="2025-07-13T00:00:00"/>
    <x v="11"/>
    <d v="2025-07-25T00:00:00"/>
    <m/>
    <d v="2025-08-01T00:00:00"/>
    <d v="2025-10-16T00:00:00"/>
    <d v="2025-08-08T00:00:00"/>
    <m/>
    <m/>
  </r>
  <r>
    <n v="225"/>
    <x v="0"/>
    <x v="3"/>
    <x v="224"/>
    <x v="11"/>
    <s v="FIRE PROTECTION 10th FLOOR PLAN"/>
    <s v="Aashish"/>
    <d v="2025-07-13T00:00:00"/>
    <d v="2025-07-13T00:00:00"/>
    <x v="11"/>
    <d v="2025-07-25T00:00:00"/>
    <m/>
    <d v="2025-08-01T00:00:00"/>
    <d v="2025-10-16T00:00:00"/>
    <d v="2025-08-08T00:00:00"/>
    <m/>
    <m/>
  </r>
  <r>
    <n v="226"/>
    <x v="0"/>
    <x v="3"/>
    <x v="225"/>
    <x v="12"/>
    <s v="SIGNAGE &amp; FIRE EXTINGUISHER ROOF PLAN"/>
    <s v="Aashish"/>
    <d v="2025-11-15T00:00:00"/>
    <d v="2025-07-28T00:00:00"/>
    <x v="24"/>
    <d v="2025-08-09T00:00:00"/>
    <m/>
    <d v="2025-08-16T00:00:00"/>
    <d v="2026-02-18T00:00:00"/>
    <d v="2025-08-23T00:00:00"/>
    <m/>
    <m/>
  </r>
  <r>
    <n v="227"/>
    <x v="0"/>
    <x v="3"/>
    <x v="226"/>
    <x v="12"/>
    <s v="FIRE DETECTION &amp; PA DRAWING ROOF PLAN"/>
    <s v="Aashish"/>
    <d v="2025-11-15T00:00:00"/>
    <d v="2025-07-25T00:00:00"/>
    <x v="2"/>
    <d v="2025-08-06T00:00:00"/>
    <m/>
    <d v="2025-08-13T00:00:00"/>
    <d v="2026-02-18T00:00:00"/>
    <d v="2025-08-20T00:00:00"/>
    <m/>
    <m/>
  </r>
  <r>
    <n v="228"/>
    <x v="0"/>
    <x v="3"/>
    <x v="227"/>
    <x v="12"/>
    <s v="FIRE PROTECTION ROOF PLAN"/>
    <s v="Aashish"/>
    <d v="2025-11-15T00:00:00"/>
    <d v="2025-07-25T00:00:00"/>
    <x v="2"/>
    <d v="2025-08-06T00:00:00"/>
    <m/>
    <d v="2025-08-13T00:00:00"/>
    <d v="2026-02-18T00:00:00"/>
    <d v="2025-08-20T00:00:00"/>
    <m/>
    <m/>
  </r>
  <r>
    <n v="229"/>
    <x v="0"/>
    <x v="3"/>
    <x v="228"/>
    <x v="0"/>
    <s v="PUMP ROOM DRAWING FIRE"/>
    <s v="Aashish"/>
    <d v="2025-04-15T00:00:00"/>
    <d v="2025-04-15T00:00:00"/>
    <x v="25"/>
    <d v="2025-05-01T00:00:00"/>
    <d v="2025-04-15T00:00:00"/>
    <d v="2025-05-12T00:00:00"/>
    <d v="2025-04-15T00:00:00"/>
    <d v="2025-05-19T00:00:00"/>
    <m/>
    <m/>
  </r>
  <r>
    <n v="230"/>
    <x v="0"/>
    <x v="3"/>
    <x v="229"/>
    <x v="13"/>
    <s v="FIRE EXTERNAL HYDRANT LAYOUT"/>
    <s v="Aashish"/>
    <d v="2025-03-15T00:00:00"/>
    <d v="2025-03-15T00:00:00"/>
    <x v="3"/>
    <d v="2025-05-22T00:00:00"/>
    <d v="2025-08-29T00:00:00"/>
    <d v="2025-06-02T00:00:00"/>
    <d v="2026-02-18T00:00:00"/>
    <d v="2025-06-09T00:00:00"/>
    <m/>
    <m/>
  </r>
  <r>
    <n v="231"/>
    <x v="0"/>
    <x v="3"/>
    <x v="230"/>
    <x v="14"/>
    <s v="FIRE PUMP HEAD CALCULATION"/>
    <s v="Aashish"/>
    <d v="2025-03-15T00:00:00"/>
    <d v="2025-03-15T00:00:00"/>
    <x v="25"/>
    <d v="2025-04-01T00:00:00"/>
    <d v="2025-04-01T00:00:00"/>
    <d v="2025-04-10T00:00:00"/>
    <d v="2025-04-10T00:00:00"/>
    <d v="2025-04-17T00:00:00"/>
    <m/>
    <m/>
  </r>
  <r>
    <n v="232"/>
    <x v="0"/>
    <x v="3"/>
    <x v="231"/>
    <x v="14"/>
    <s v="FIRE PROTECTION SINGLE LINE DIAGRAM"/>
    <s v="Aashish"/>
    <d v="2025-03-15T00:00:00"/>
    <d v="2025-03-15T00:00:00"/>
    <x v="25"/>
    <d v="2025-04-01T00:00:00"/>
    <d v="2025-04-01T00:00:00"/>
    <d v="2025-04-10T00:00:00"/>
    <d v="2025-04-10T00:00:00"/>
    <d v="2025-04-17T00:00:00"/>
    <m/>
    <m/>
  </r>
  <r>
    <n v="233"/>
    <x v="0"/>
    <x v="3"/>
    <x v="232"/>
    <x v="14"/>
    <s v="FIRE DETECTION SINGLE LINE DIAGRAM"/>
    <s v="Aashish"/>
    <d v="2025-03-15T00:00:00"/>
    <d v="2025-03-15T00:00:00"/>
    <x v="25"/>
    <d v="2025-04-01T00:00:00"/>
    <d v="2025-04-01T00:00:00"/>
    <d v="2025-04-10T00:00:00"/>
    <d v="2025-04-10T00:00:00"/>
    <d v="2025-04-17T00:00:00"/>
    <m/>
    <m/>
  </r>
  <r>
    <n v="234"/>
    <x v="0"/>
    <x v="3"/>
    <x v="233"/>
    <x v="14"/>
    <s v="FIRE PA SCHEMATIC"/>
    <s v="Aashish"/>
    <d v="2025-03-15T00:00:00"/>
    <d v="2025-03-15T00:00:00"/>
    <x v="25"/>
    <d v="2025-04-01T00:00:00"/>
    <d v="2025-04-01T00:00:00"/>
    <d v="2025-04-10T00:00:00"/>
    <d v="2025-04-10T00:00:00"/>
    <d v="2025-04-17T00:00:00"/>
    <m/>
    <m/>
  </r>
  <r>
    <n v="235"/>
    <x v="0"/>
    <x v="3"/>
    <x v="234"/>
    <x v="1"/>
    <s v="FIRE ROOM LAYOUT"/>
    <s v="Aashish"/>
    <d v="2025-03-31T00:00:00"/>
    <d v="2025-03-31T00:00:00"/>
    <x v="1"/>
    <d v="2025-04-16T00:00:00"/>
    <d v="2025-04-01T00:00:00"/>
    <d v="2025-04-25T00:00:00"/>
    <d v="2026-02-18T00:00:00"/>
    <d v="2025-05-02T00:00:00"/>
    <m/>
    <m/>
  </r>
  <r>
    <n v="236"/>
    <x v="0"/>
    <x v="3"/>
    <x v="235"/>
    <x v="14"/>
    <s v="FIRE WET RISER WITH TYPICAL SHAFT DETAILS"/>
    <s v="Aashish"/>
    <d v="2025-03-15T00:00:00"/>
    <d v="2025-03-15T00:00:00"/>
    <x v="25"/>
    <d v="2025-04-01T00:00:00"/>
    <d v="2025-04-12T00:00:00"/>
    <d v="2025-04-10T00:00:00"/>
    <d v="2025-04-10T00:00:00"/>
    <d v="2025-04-17T00:00:00"/>
    <m/>
    <m/>
  </r>
  <r>
    <n v="237"/>
    <x v="1"/>
    <x v="4"/>
    <x v="236"/>
    <x v="0"/>
    <s v="HVAC DUCTING LAYOUT BASEMENT PLAN"/>
    <s v="Jitendra"/>
    <d v="2025-03-31T00:00:00"/>
    <d v="2025-03-31T00:00:00"/>
    <x v="0"/>
    <d v="2025-04-12T00:00:00"/>
    <d v="2025-04-12T00:00:00"/>
    <d v="2025-04-19T00:00:00"/>
    <d v="2025-05-31T00:00:00"/>
    <d v="2025-04-26T00:00:00"/>
    <m/>
    <m/>
  </r>
  <r>
    <n v="238"/>
    <x v="1"/>
    <x v="4"/>
    <x v="237"/>
    <x v="0"/>
    <s v="CHILLED WATER PIPING LAYOUT OVER BASEMENT PLAN"/>
    <s v="Jitendra"/>
    <d v="2025-03-31T00:00:00"/>
    <d v="2025-03-31T00:00:00"/>
    <x v="0"/>
    <d v="2025-04-12T00:00:00"/>
    <d v="2025-04-12T00:00:00"/>
    <d v="2025-04-19T00:00:00"/>
    <d v="2025-05-31T00:00:00"/>
    <d v="2025-04-26T00:00:00"/>
    <m/>
    <m/>
  </r>
  <r>
    <n v="239"/>
    <x v="1"/>
    <x v="4"/>
    <x v="238"/>
    <x v="0"/>
    <s v="GFC BASEMENT VENTILATION LAYOUT OVER BASEMENT PLAN"/>
    <s v="Jitendra"/>
    <d v="2025-03-31T00:00:00"/>
    <d v="2025-03-31T00:00:00"/>
    <x v="0"/>
    <d v="2025-04-12T00:00:00"/>
    <d v="2025-04-12T00:00:00"/>
    <d v="2025-04-19T00:00:00"/>
    <d v="2025-05-31T00:00:00"/>
    <d v="2025-04-26T00:00:00"/>
    <m/>
    <m/>
  </r>
  <r>
    <n v="240"/>
    <x v="1"/>
    <x v="4"/>
    <x v="239"/>
    <x v="0"/>
    <s v="SMOKE EXTRACTION LAYOUT OVER BASEMENT"/>
    <s v="Jitendra"/>
    <d v="2025-03-31T00:00:00"/>
    <d v="2025-03-31T00:00:00"/>
    <x v="0"/>
    <d v="2025-04-12T00:00:00"/>
    <d v="2025-04-12T00:00:00"/>
    <d v="2025-04-19T00:00:00"/>
    <d v="2025-05-31T00:00:00"/>
    <d v="2025-04-26T00:00:00"/>
    <m/>
    <m/>
  </r>
  <r>
    <n v="241"/>
    <x v="1"/>
    <x v="4"/>
    <x v="240"/>
    <x v="0"/>
    <s v="FRESH AIR &amp; EXHAUST AIR LAYOUT OVER BASEMENT"/>
    <s v="Jitendra"/>
    <d v="2025-03-31T00:00:00"/>
    <d v="2025-03-31T00:00:00"/>
    <x v="0"/>
    <d v="2025-04-12T00:00:00"/>
    <d v="2025-04-12T00:00:00"/>
    <d v="2025-04-19T00:00:00"/>
    <d v="2025-05-31T00:00:00"/>
    <d v="2025-04-26T00:00:00"/>
    <m/>
    <m/>
  </r>
  <r>
    <n v="242"/>
    <x v="1"/>
    <x v="4"/>
    <x v="241"/>
    <x v="1"/>
    <s v="DUCTING LAYOUT GR FLOOR PLAN"/>
    <s v="Jitendra"/>
    <d v="2025-03-31T00:00:00"/>
    <d v="2025-03-31T00:00:00"/>
    <x v="1"/>
    <d v="2025-04-12T00:00:00"/>
    <d v="2025-05-28T00:00:00"/>
    <d v="2025-04-19T00:00:00"/>
    <d v="2025-06-04T00:00:00"/>
    <d v="2025-04-26T00:00:00"/>
    <m/>
    <m/>
  </r>
  <r>
    <n v="243"/>
    <x v="1"/>
    <x v="4"/>
    <x v="242"/>
    <x v="1"/>
    <s v="CHILLED WATER PIPING LAYOUT OVER GR FLOOR PLAN"/>
    <s v="Jitendra"/>
    <d v="2025-03-31T00:00:00"/>
    <d v="2025-03-31T00:00:00"/>
    <x v="1"/>
    <d v="2025-04-12T00:00:00"/>
    <d v="2025-05-28T00:00:00"/>
    <d v="2025-04-19T00:00:00"/>
    <d v="2025-06-04T00:00:00"/>
    <d v="2025-04-26T00:00:00"/>
    <m/>
    <m/>
  </r>
  <r>
    <n v="244"/>
    <x v="1"/>
    <x v="4"/>
    <x v="243"/>
    <x v="1"/>
    <s v="SMOKE EXTRACTION LAYOUT OVER GR FLOOR PLAN"/>
    <s v="Jitendra"/>
    <d v="2025-03-31T00:00:00"/>
    <d v="2025-03-31T00:00:00"/>
    <x v="1"/>
    <d v="2025-04-12T00:00:00"/>
    <d v="2025-05-28T00:00:00"/>
    <d v="2025-04-19T00:00:00"/>
    <d v="2025-06-04T00:00:00"/>
    <d v="2025-04-26T00:00:00"/>
    <m/>
    <m/>
  </r>
  <r>
    <n v="245"/>
    <x v="1"/>
    <x v="4"/>
    <x v="244"/>
    <x v="1"/>
    <s v="FRESH AIR &amp; EXHAUST AIR LAYOUT OVER GR FLOOR PLAN"/>
    <s v="Jitendra"/>
    <d v="2025-03-31T00:00:00"/>
    <d v="2025-03-31T00:00:00"/>
    <x v="1"/>
    <d v="2025-04-12T00:00:00"/>
    <d v="2025-05-28T00:00:00"/>
    <d v="2025-04-19T00:00:00"/>
    <d v="2025-06-04T00:00:00"/>
    <d v="2025-04-26T00:00:00"/>
    <m/>
    <m/>
  </r>
  <r>
    <n v="246"/>
    <x v="1"/>
    <x v="4"/>
    <x v="245"/>
    <x v="1"/>
    <s v="LAYOUT OF LIFT, LIFT LOBBY &amp; STAIRCASE PRESSURIZATION AT GROUND FLOOR"/>
    <s v="Jitendra"/>
    <d v="2025-03-31T00:00:00"/>
    <d v="2025-03-31T00:00:00"/>
    <x v="1"/>
    <d v="2025-04-12T00:00:00"/>
    <d v="2025-05-28T00:00:00"/>
    <d v="2025-04-19T00:00:00"/>
    <d v="2025-06-04T00:00:00"/>
    <d v="2025-04-26T00:00:00"/>
    <m/>
    <m/>
  </r>
  <r>
    <n v="247"/>
    <x v="1"/>
    <x v="4"/>
    <x v="246"/>
    <x v="2"/>
    <s v="DUCTING LAYOUT 1ST FLOOR PLAN"/>
    <s v="Jitendra"/>
    <d v="2025-11-15T00:00:00"/>
    <d v="2025-03-31T00:00:00"/>
    <x v="2"/>
    <d v="2025-04-12T00:00:00"/>
    <d v="2025-05-19T00:00:00"/>
    <d v="2025-11-29T00:00:00"/>
    <d v="2025-12-04T00:00:00"/>
    <d v="2025-12-06T00:00:00"/>
    <m/>
    <m/>
  </r>
  <r>
    <n v="248"/>
    <x v="1"/>
    <x v="4"/>
    <x v="247"/>
    <x v="2"/>
    <s v="CHILLED WATER PIPING LAYOUT OVER 1ST FLOOR PLAN"/>
    <s v="Jitendra"/>
    <d v="2025-11-15T00:00:00"/>
    <d v="2025-03-31T00:00:00"/>
    <x v="2"/>
    <d v="2025-04-12T00:00:00"/>
    <d v="2025-05-19T00:00:00"/>
    <d v="2025-11-29T00:00:00"/>
    <d v="2025-12-04T00:00:00"/>
    <d v="2025-12-06T00:00:00"/>
    <m/>
    <m/>
  </r>
  <r>
    <n v="249"/>
    <x v="1"/>
    <x v="4"/>
    <x v="248"/>
    <x v="2"/>
    <s v="SMOKE EXTRACTION LAYOUT OVER 1ST FLOOR PLAN"/>
    <s v="Jitendra"/>
    <d v="2025-11-15T00:00:00"/>
    <d v="2025-03-31T00:00:00"/>
    <x v="2"/>
    <d v="2025-04-12T00:00:00"/>
    <d v="2025-05-19T00:00:00"/>
    <d v="2025-11-29T00:00:00"/>
    <d v="2025-12-04T00:00:00"/>
    <d v="2025-12-06T00:00:00"/>
    <m/>
    <m/>
  </r>
  <r>
    <n v="250"/>
    <x v="1"/>
    <x v="4"/>
    <x v="249"/>
    <x v="2"/>
    <s v="FRESH AIR &amp; EXHAUST AIR LAYOUT OVER 1ST FLOOR PLAN"/>
    <s v="Jitendra"/>
    <d v="2025-11-15T00:00:00"/>
    <d v="2025-03-31T00:00:00"/>
    <x v="2"/>
    <d v="2025-04-12T00:00:00"/>
    <d v="2025-05-19T00:00:00"/>
    <d v="2025-11-29T00:00:00"/>
    <d v="2025-12-04T00:00:00"/>
    <d v="2025-12-06T00:00:00"/>
    <m/>
    <m/>
  </r>
  <r>
    <n v="251"/>
    <x v="1"/>
    <x v="4"/>
    <x v="250"/>
    <x v="2"/>
    <s v="LAYOUT OF LIFT, LIFT LOBBY &amp; STAIRCASE PRESSURIZATION AT FIRST FLOOR"/>
    <s v="Jitendra"/>
    <d v="2025-11-15T00:00:00"/>
    <d v="2025-03-31T00:00:00"/>
    <x v="2"/>
    <d v="2025-04-12T00:00:00"/>
    <d v="2025-05-19T00:00:00"/>
    <d v="2025-11-29T00:00:00"/>
    <d v="2025-12-04T00:00:00"/>
    <d v="2025-12-06T00:00:00"/>
    <m/>
    <m/>
  </r>
  <r>
    <n v="252"/>
    <x v="1"/>
    <x v="4"/>
    <x v="251"/>
    <x v="3"/>
    <s v="DUCTING LAYOUT 2ND FLOOR PLAN"/>
    <s v="Jitendra"/>
    <d v="2025-10-30T00:00:00"/>
    <d v="2025-04-13T00:00:00"/>
    <x v="3"/>
    <d v="2025-04-25T00:00:00"/>
    <m/>
    <d v="2025-11-13T00:00:00"/>
    <d v="2025-12-04T00:00:00"/>
    <d v="2025-11-20T00:00:00"/>
    <m/>
    <m/>
  </r>
  <r>
    <n v="253"/>
    <x v="1"/>
    <x v="4"/>
    <x v="252"/>
    <x v="3"/>
    <s v="CHILLED WATER PIPING LAYOUT OVER 2ND FLOOR PLAN"/>
    <s v="Jitendra"/>
    <d v="2025-10-30T00:00:00"/>
    <d v="2025-04-13T00:00:00"/>
    <x v="3"/>
    <d v="2025-04-25T00:00:00"/>
    <m/>
    <d v="2025-11-13T00:00:00"/>
    <d v="2025-12-04T00:00:00"/>
    <d v="2025-11-20T00:00:00"/>
    <m/>
    <m/>
  </r>
  <r>
    <n v="254"/>
    <x v="1"/>
    <x v="4"/>
    <x v="253"/>
    <x v="3"/>
    <s v="SMOKE EXTRACTION LAYOUT OVER 2ND FLOOR PLAN"/>
    <s v="Jitendra"/>
    <d v="2025-10-30T00:00:00"/>
    <d v="2025-04-13T00:00:00"/>
    <x v="3"/>
    <d v="2025-04-25T00:00:00"/>
    <m/>
    <d v="2025-11-13T00:00:00"/>
    <d v="2025-12-04T00:00:00"/>
    <d v="2025-11-20T00:00:00"/>
    <m/>
    <m/>
  </r>
  <r>
    <n v="255"/>
    <x v="1"/>
    <x v="4"/>
    <x v="254"/>
    <x v="3"/>
    <s v="FRESH AIR &amp; EXHAUST AIR LAYOUT OVER 2ND FLOOR PLAN"/>
    <s v="Jitendra"/>
    <d v="2025-10-30T00:00:00"/>
    <d v="2025-04-13T00:00:00"/>
    <x v="3"/>
    <d v="2025-04-25T00:00:00"/>
    <m/>
    <d v="2025-11-13T00:00:00"/>
    <d v="2025-12-04T00:00:00"/>
    <d v="2025-11-20T00:00:00"/>
    <m/>
    <m/>
  </r>
  <r>
    <n v="256"/>
    <x v="1"/>
    <x v="4"/>
    <x v="255"/>
    <x v="3"/>
    <s v="LAYOUT OF LIFT, LIFT LOBBY &amp; STAIRCASE PRESSURIZATION AT SECOND FLOOR"/>
    <s v="Jitendra"/>
    <d v="2025-10-30T00:00:00"/>
    <d v="2025-04-13T00:00:00"/>
    <x v="3"/>
    <d v="2025-04-25T00:00:00"/>
    <m/>
    <d v="2025-11-13T00:00:00"/>
    <d v="2025-12-04T00:00:00"/>
    <d v="2025-11-20T00:00:00"/>
    <m/>
    <m/>
  </r>
  <r>
    <n v="257"/>
    <x v="1"/>
    <x v="4"/>
    <x v="256"/>
    <x v="4"/>
    <s v="DUCTING LAYOUT 3RD FLOOR PLAN"/>
    <s v="Jitendra"/>
    <d v="2025-10-25T00:00:00"/>
    <d v="2025-04-29T00:00:00"/>
    <x v="4"/>
    <d v="2025-05-11T00:00:00"/>
    <d v="2025-08-20T00:00:00"/>
    <d v="2025-11-08T00:00:00"/>
    <d v="2025-12-04T00:00:00"/>
    <d v="2025-11-15T00:00:00"/>
    <m/>
    <m/>
  </r>
  <r>
    <n v="258"/>
    <x v="1"/>
    <x v="4"/>
    <x v="257"/>
    <x v="4"/>
    <s v="CHILLED WATER PIPING LAYOUT OVER 3RD FLOOR PLAN"/>
    <s v="Jitendra"/>
    <d v="2025-10-25T00:00:00"/>
    <d v="2025-04-29T00:00:00"/>
    <x v="4"/>
    <d v="2025-05-11T00:00:00"/>
    <d v="2025-08-20T00:00:00"/>
    <d v="2025-11-08T00:00:00"/>
    <d v="2025-12-04T00:00:00"/>
    <d v="2025-11-15T00:00:00"/>
    <m/>
    <m/>
  </r>
  <r>
    <n v="259"/>
    <x v="1"/>
    <x v="4"/>
    <x v="258"/>
    <x v="4"/>
    <s v="SMOKE EXTRACTION LAYOUT OVER 3RD FLOOR PLAN"/>
    <s v="Jitendra"/>
    <d v="2025-10-25T00:00:00"/>
    <d v="2025-04-29T00:00:00"/>
    <x v="4"/>
    <d v="2025-05-11T00:00:00"/>
    <d v="2025-08-20T00:00:00"/>
    <d v="2025-11-08T00:00:00"/>
    <d v="2025-12-04T00:00:00"/>
    <d v="2025-11-15T00:00:00"/>
    <m/>
    <m/>
  </r>
  <r>
    <n v="260"/>
    <x v="1"/>
    <x v="4"/>
    <x v="259"/>
    <x v="4"/>
    <s v="FRESH AIR &amp; EXHAUST AIR LAYOUT OVER 3RD FLOOR PLAN"/>
    <s v="Jitendra"/>
    <d v="2025-10-25T00:00:00"/>
    <d v="2025-04-29T00:00:00"/>
    <x v="4"/>
    <d v="2025-05-11T00:00:00"/>
    <d v="2025-08-20T00:00:00"/>
    <d v="2025-11-08T00:00:00"/>
    <d v="2025-12-04T00:00:00"/>
    <d v="2025-11-15T00:00:00"/>
    <m/>
    <m/>
  </r>
  <r>
    <n v="261"/>
    <x v="1"/>
    <x v="4"/>
    <x v="260"/>
    <x v="4"/>
    <s v="LAYOUT OF LIFT, LIFT LOBBY &amp; STAIRCASE PRESSURIZATION AT THIRD FLOOR"/>
    <s v="Jitendra"/>
    <d v="2025-10-25T00:00:00"/>
    <d v="2025-04-29T00:00:00"/>
    <x v="4"/>
    <d v="2025-05-11T00:00:00"/>
    <d v="2025-08-20T00:00:00"/>
    <d v="2025-11-08T00:00:00"/>
    <d v="2025-12-04T00:00:00"/>
    <d v="2025-11-15T00:00:00"/>
    <m/>
    <m/>
  </r>
  <r>
    <n v="262"/>
    <x v="1"/>
    <x v="4"/>
    <x v="261"/>
    <x v="5"/>
    <s v="DUCTING LAYOUT 4TH FLOOR PLAN"/>
    <s v="Jitendra"/>
    <d v="2025-05-13T00:00:00"/>
    <d v="2025-05-13T00:00:00"/>
    <x v="26"/>
    <d v="2025-05-25T00:00:00"/>
    <d v="2025-07-31T00:00:00"/>
    <d v="2025-06-01T00:00:00"/>
    <d v="2025-06-04T00:00:00"/>
    <d v="2025-06-08T00:00:00"/>
    <m/>
    <m/>
  </r>
  <r>
    <n v="263"/>
    <x v="1"/>
    <x v="4"/>
    <x v="262"/>
    <x v="5"/>
    <s v="CHILLED WATER PIPING LAYOUT OVER 4TH FLOOR PLAN"/>
    <s v="Jitendra"/>
    <d v="2025-05-13T00:00:00"/>
    <d v="2025-05-13T00:00:00"/>
    <x v="26"/>
    <d v="2025-05-25T00:00:00"/>
    <d v="2025-07-31T00:00:00"/>
    <d v="2025-06-01T00:00:00"/>
    <d v="2025-06-04T00:00:00"/>
    <d v="2025-06-08T00:00:00"/>
    <m/>
    <m/>
  </r>
  <r>
    <n v="264"/>
    <x v="1"/>
    <x v="4"/>
    <x v="263"/>
    <x v="5"/>
    <s v="SMOKE EXTRACTION LAYOUT OVER 4TH FLOOR PLAN"/>
    <s v="Jitendra"/>
    <d v="2025-05-13T00:00:00"/>
    <d v="2025-05-13T00:00:00"/>
    <x v="26"/>
    <d v="2025-05-25T00:00:00"/>
    <d v="2025-07-31T00:00:00"/>
    <d v="2025-06-01T00:00:00"/>
    <d v="2025-06-04T00:00:00"/>
    <d v="2025-06-08T00:00:00"/>
    <m/>
    <m/>
  </r>
  <r>
    <n v="265"/>
    <x v="1"/>
    <x v="4"/>
    <x v="264"/>
    <x v="5"/>
    <s v="FRESH AIR &amp; EXHAUST AIR LAYOUT OVER 4TH FLOOR PLAN"/>
    <s v="Jitendra"/>
    <d v="2025-05-13T00:00:00"/>
    <d v="2025-05-13T00:00:00"/>
    <x v="26"/>
    <d v="2025-05-25T00:00:00"/>
    <d v="2025-07-31T00:00:00"/>
    <d v="2025-06-01T00:00:00"/>
    <d v="2025-06-04T00:00:00"/>
    <d v="2025-06-08T00:00:00"/>
    <m/>
    <m/>
  </r>
  <r>
    <n v="266"/>
    <x v="1"/>
    <x v="4"/>
    <x v="265"/>
    <x v="5"/>
    <s v="LAYOUT OF LIFT, LIFT LOBBY &amp; STAIRCASE PRESSURIZATION AT FOURTH FLOOR"/>
    <s v="Jitendra"/>
    <d v="2025-05-13T00:00:00"/>
    <d v="2025-05-13T00:00:00"/>
    <x v="26"/>
    <d v="2025-05-25T00:00:00"/>
    <d v="2025-07-31T00:00:00"/>
    <d v="2025-06-01T00:00:00"/>
    <d v="2025-06-04T00:00:00"/>
    <d v="2025-06-08T00:00:00"/>
    <m/>
    <m/>
  </r>
  <r>
    <n v="267"/>
    <x v="1"/>
    <x v="4"/>
    <x v="266"/>
    <x v="6"/>
    <s v="DUCTING LAYOUT 5TH FLOOR PLAN"/>
    <s v="Jitendra"/>
    <d v="2025-05-27T00:00:00"/>
    <d v="2025-05-27T00:00:00"/>
    <x v="6"/>
    <d v="2025-06-08T00:00:00"/>
    <d v="2025-08-08T00:00:00"/>
    <d v="2025-06-15T00:00:00"/>
    <d v="2025-10-16T00:00:00"/>
    <d v="2025-06-22T00:00:00"/>
    <m/>
    <m/>
  </r>
  <r>
    <n v="268"/>
    <x v="1"/>
    <x v="4"/>
    <x v="267"/>
    <x v="6"/>
    <s v="CHILLED WATER PIPING LAYOUT OVER 5TH FLOOR PLAN"/>
    <s v="Jitendra"/>
    <d v="2025-05-27T00:00:00"/>
    <d v="2025-05-27T00:00:00"/>
    <x v="6"/>
    <d v="2025-06-08T00:00:00"/>
    <d v="2025-08-08T00:00:00"/>
    <d v="2025-06-15T00:00:00"/>
    <d v="2025-10-16T00:00:00"/>
    <d v="2025-06-22T00:00:00"/>
    <m/>
    <m/>
  </r>
  <r>
    <n v="269"/>
    <x v="1"/>
    <x v="4"/>
    <x v="268"/>
    <x v="6"/>
    <s v="SMOKE EXTRACTION LAYOUT OVER 5TH FLOOR PLAN"/>
    <s v="Jitendra"/>
    <d v="2025-05-27T00:00:00"/>
    <d v="2025-05-27T00:00:00"/>
    <x v="6"/>
    <d v="2025-06-08T00:00:00"/>
    <d v="2025-08-08T00:00:00"/>
    <d v="2025-06-15T00:00:00"/>
    <d v="2025-10-16T00:00:00"/>
    <d v="2025-06-22T00:00:00"/>
    <m/>
    <m/>
  </r>
  <r>
    <n v="270"/>
    <x v="1"/>
    <x v="4"/>
    <x v="269"/>
    <x v="6"/>
    <s v="FRESH AIR &amp; EXHAUST AIR LAYOUT OVER 5TH FLOOR PLAN"/>
    <s v="Jitendra"/>
    <d v="2025-05-27T00:00:00"/>
    <d v="2025-05-27T00:00:00"/>
    <x v="6"/>
    <d v="2025-06-08T00:00:00"/>
    <d v="2025-08-08T00:00:00"/>
    <d v="2025-06-15T00:00:00"/>
    <d v="2025-10-16T00:00:00"/>
    <d v="2025-06-22T00:00:00"/>
    <m/>
    <m/>
  </r>
  <r>
    <n v="271"/>
    <x v="1"/>
    <x v="4"/>
    <x v="270"/>
    <x v="6"/>
    <s v="LAYOUT OF LIFT, LIFT LOBBY &amp; STAIRCASE PRESSURIZATION AT FIFTH FLOOR"/>
    <s v="Jitendra"/>
    <d v="2025-05-27T00:00:00"/>
    <d v="2025-05-27T00:00:00"/>
    <x v="6"/>
    <d v="2025-06-08T00:00:00"/>
    <d v="2025-08-08T00:00:00"/>
    <d v="2025-06-15T00:00:00"/>
    <d v="2025-09-10T00:00:00"/>
    <d v="2025-06-22T00:00:00"/>
    <m/>
    <m/>
  </r>
  <r>
    <n v="272"/>
    <x v="1"/>
    <x v="4"/>
    <x v="271"/>
    <x v="7"/>
    <s v="DUCTING LAYOUT 6TH  FLOOR PLAN"/>
    <s v="Jitendra"/>
    <d v="2025-06-13T00:00:00"/>
    <d v="2025-06-13T00:00:00"/>
    <x v="7"/>
    <d v="2025-06-25T00:00:00"/>
    <d v="2025-08-14T00:00:00"/>
    <d v="2025-07-02T00:00:00"/>
    <d v="2025-10-16T00:00:00"/>
    <d v="2025-07-09T00:00:00"/>
    <m/>
    <m/>
  </r>
  <r>
    <n v="273"/>
    <x v="1"/>
    <x v="4"/>
    <x v="272"/>
    <x v="7"/>
    <s v="HVAC 6TH  FLOOR PLAN"/>
    <s v="Jitendra"/>
    <d v="2025-06-13T00:00:00"/>
    <d v="2025-06-13T00:00:00"/>
    <x v="7"/>
    <d v="2025-06-25T00:00:00"/>
    <d v="2025-08-14T00:00:00"/>
    <d v="2025-07-02T00:00:00"/>
    <d v="2025-10-16T00:00:00"/>
    <d v="2025-07-09T00:00:00"/>
    <m/>
    <m/>
  </r>
  <r>
    <n v="274"/>
    <x v="1"/>
    <x v="4"/>
    <x v="273"/>
    <x v="7"/>
    <s v="SMOKE EXTRACTION LAYOUT OVER 6TH FLOOR PLAN"/>
    <s v="Jitendra"/>
    <d v="2025-06-13T00:00:00"/>
    <d v="2025-06-13T00:00:00"/>
    <x v="7"/>
    <d v="2025-06-25T00:00:00"/>
    <d v="2025-08-14T00:00:00"/>
    <d v="2025-07-02T00:00:00"/>
    <d v="2025-10-16T00:00:00"/>
    <d v="2025-07-09T00:00:00"/>
    <m/>
    <m/>
  </r>
  <r>
    <n v="275"/>
    <x v="1"/>
    <x v="4"/>
    <x v="274"/>
    <x v="7"/>
    <s v="FRESH AIR &amp; EXHAUST AIR LAYOUT OVER 6TH FLOOR PLAN"/>
    <s v="Jitendra"/>
    <d v="2025-06-13T00:00:00"/>
    <d v="2025-06-13T00:00:00"/>
    <x v="7"/>
    <d v="2025-06-25T00:00:00"/>
    <d v="2025-08-14T00:00:00"/>
    <d v="2025-07-02T00:00:00"/>
    <d v="2025-10-16T00:00:00"/>
    <d v="2025-07-09T00:00:00"/>
    <m/>
    <m/>
  </r>
  <r>
    <n v="276"/>
    <x v="1"/>
    <x v="4"/>
    <x v="275"/>
    <x v="7"/>
    <s v="LAYOUT OF LIFT, LIFT LOBBY &amp; STAIRCASE PRESSURIZATION AT SIXTH FLOOR"/>
    <s v="Jitendra"/>
    <d v="2025-06-13T00:00:00"/>
    <d v="2025-06-13T00:00:00"/>
    <x v="7"/>
    <d v="2025-06-25T00:00:00"/>
    <d v="2025-08-14T00:00:00"/>
    <d v="2025-07-02T00:00:00"/>
    <d v="2025-09-10T00:00:00"/>
    <d v="2025-07-09T00:00:00"/>
    <m/>
    <m/>
  </r>
  <r>
    <n v="277"/>
    <x v="1"/>
    <x v="4"/>
    <x v="276"/>
    <x v="8"/>
    <s v="DUCTING LAYOUT 7TH FLOOR PLAN "/>
    <s v="Jitendra"/>
    <d v="2025-06-29T00:00:00"/>
    <d v="2025-06-29T00:00:00"/>
    <x v="8"/>
    <d v="2025-07-11T00:00:00"/>
    <m/>
    <d v="2025-07-18T00:00:00"/>
    <d v="2025-10-16T00:00:00"/>
    <d v="2025-07-25T00:00:00"/>
    <m/>
    <m/>
  </r>
  <r>
    <n v="278"/>
    <x v="1"/>
    <x v="4"/>
    <x v="277"/>
    <x v="8"/>
    <s v="CHILLED WATER PIPING LAYOUT OVER 7TH FLOOR PLAN "/>
    <s v="Jitendra"/>
    <d v="2025-06-29T00:00:00"/>
    <d v="2025-06-29T00:00:00"/>
    <x v="8"/>
    <d v="2025-07-11T00:00:00"/>
    <m/>
    <d v="2025-07-18T00:00:00"/>
    <d v="2025-10-16T00:00:00"/>
    <d v="2025-07-25T00:00:00"/>
    <m/>
    <m/>
  </r>
  <r>
    <n v="279"/>
    <x v="1"/>
    <x v="4"/>
    <x v="278"/>
    <x v="8"/>
    <s v="SMOKE EXTRACTION LAYOUT OVER 7TH FLOOR PLAN"/>
    <s v="Jitendra"/>
    <d v="2025-06-29T00:00:00"/>
    <d v="2025-06-29T00:00:00"/>
    <x v="8"/>
    <d v="2025-07-11T00:00:00"/>
    <m/>
    <d v="2025-07-18T00:00:00"/>
    <d v="2025-10-16T00:00:00"/>
    <d v="2025-07-25T00:00:00"/>
    <m/>
    <m/>
  </r>
  <r>
    <n v="280"/>
    <x v="1"/>
    <x v="4"/>
    <x v="279"/>
    <x v="8"/>
    <s v="FRESH AIR &amp; EXHAUST AIR LAYOUT OVER 7TH FLOOR PLAN"/>
    <s v="Jitendra"/>
    <d v="2025-06-29T00:00:00"/>
    <d v="2025-06-29T00:00:00"/>
    <x v="8"/>
    <d v="2025-07-11T00:00:00"/>
    <m/>
    <d v="2025-07-18T00:00:00"/>
    <d v="2025-10-16T00:00:00"/>
    <d v="2025-07-25T00:00:00"/>
    <m/>
    <m/>
  </r>
  <r>
    <n v="281"/>
    <x v="1"/>
    <x v="4"/>
    <x v="280"/>
    <x v="8"/>
    <s v="LAYOUT OF LIFT, LIFT LOBBY &amp; STAIRCASE PRESSURIZATION AT SEVENTH FLOOR"/>
    <s v="Jitendra"/>
    <d v="2025-06-29T00:00:00"/>
    <d v="2025-06-29T00:00:00"/>
    <x v="8"/>
    <d v="2025-07-11T00:00:00"/>
    <m/>
    <d v="2025-07-18T00:00:00"/>
    <d v="2025-10-16T00:00:00"/>
    <d v="2025-07-25T00:00:00"/>
    <m/>
    <m/>
  </r>
  <r>
    <n v="282"/>
    <x v="1"/>
    <x v="4"/>
    <x v="281"/>
    <x v="9"/>
    <s v="DUCTING LAYOUT 8TH FLOOR PLAN"/>
    <s v="Jitendra"/>
    <d v="2025-06-29T00:00:00"/>
    <d v="2025-06-29T00:00:00"/>
    <x v="9"/>
    <d v="2025-07-11T00:00:00"/>
    <m/>
    <d v="2025-07-18T00:00:00"/>
    <d v="2025-10-29T00:00:00"/>
    <d v="2025-07-25T00:00:00"/>
    <m/>
    <m/>
  </r>
  <r>
    <n v="283"/>
    <x v="1"/>
    <x v="4"/>
    <x v="282"/>
    <x v="9"/>
    <s v="CHILLED WATER PIPING LAYOUT OVER 8TH FLOOR PLAN"/>
    <s v="Jitendra"/>
    <d v="2025-06-29T00:00:00"/>
    <d v="2025-06-29T00:00:00"/>
    <x v="9"/>
    <d v="2025-07-11T00:00:00"/>
    <m/>
    <d v="2025-07-18T00:00:00"/>
    <d v="2025-10-29T00:00:00"/>
    <d v="2025-07-25T00:00:00"/>
    <m/>
    <m/>
  </r>
  <r>
    <n v="284"/>
    <x v="1"/>
    <x v="4"/>
    <x v="283"/>
    <x v="9"/>
    <s v="SMOKE EXTRACTION LAYOUT OVER 8TH FLOOR PLAN"/>
    <s v="Jitendra"/>
    <d v="2025-06-29T00:00:00"/>
    <d v="2025-06-29T00:00:00"/>
    <x v="9"/>
    <d v="2025-07-11T00:00:00"/>
    <m/>
    <d v="2025-07-18T00:00:00"/>
    <d v="2025-10-29T00:00:00"/>
    <d v="2025-07-25T00:00:00"/>
    <m/>
    <m/>
  </r>
  <r>
    <n v="285"/>
    <x v="1"/>
    <x v="4"/>
    <x v="284"/>
    <x v="9"/>
    <s v="FRESH AIR &amp; EXHAUST AIR LAYOUT OVER 8TH FLOOR PLAN"/>
    <s v="Jitendra"/>
    <d v="2025-06-29T00:00:00"/>
    <d v="2025-06-29T00:00:00"/>
    <x v="9"/>
    <d v="2025-07-11T00:00:00"/>
    <m/>
    <d v="2025-07-18T00:00:00"/>
    <d v="2025-10-29T00:00:00"/>
    <d v="2025-07-25T00:00:00"/>
    <m/>
    <m/>
  </r>
  <r>
    <n v="286"/>
    <x v="1"/>
    <x v="4"/>
    <x v="285"/>
    <x v="9"/>
    <s v="LAYOUT OF LIFT, LIFT LOBBY &amp; STAIRCASE PRESSURIZATION AT EIGTH FLOOR"/>
    <s v="Jitendra"/>
    <d v="2025-06-29T00:00:00"/>
    <d v="2025-06-29T00:00:00"/>
    <x v="9"/>
    <d v="2025-07-11T00:00:00"/>
    <m/>
    <d v="2025-07-18T00:00:00"/>
    <d v="2025-10-29T00:00:00"/>
    <d v="2025-07-25T00:00:00"/>
    <m/>
    <m/>
  </r>
  <r>
    <n v="287"/>
    <x v="1"/>
    <x v="4"/>
    <x v="286"/>
    <x v="10"/>
    <s v="DUCTING LAYOUT 9th FLOOR PLAN"/>
    <s v="Jitendra"/>
    <d v="2025-07-13T00:00:00"/>
    <d v="2025-07-13T00:00:00"/>
    <x v="10"/>
    <d v="2025-07-25T00:00:00"/>
    <m/>
    <d v="2025-08-01T00:00:00"/>
    <d v="2025-07-12T00:00:00"/>
    <d v="2025-08-08T00:00:00"/>
    <m/>
    <m/>
  </r>
  <r>
    <n v="288"/>
    <x v="1"/>
    <x v="4"/>
    <x v="287"/>
    <x v="10"/>
    <s v="CHILLED WATER PIPING LAYOUT OVER 9th FLOOR PLAN"/>
    <s v="Jitendra"/>
    <d v="2025-07-13T00:00:00"/>
    <d v="2025-07-13T00:00:00"/>
    <x v="10"/>
    <d v="2025-07-25T00:00:00"/>
    <m/>
    <d v="2025-08-01T00:00:00"/>
    <d v="2025-07-12T00:00:00"/>
    <d v="2025-08-08T00:00:00"/>
    <m/>
    <m/>
  </r>
  <r>
    <n v="289"/>
    <x v="1"/>
    <x v="4"/>
    <x v="288"/>
    <x v="10"/>
    <s v="SMOKE EXTRACTION LAYOUT OVER 9TH FLOOR PLAN"/>
    <s v="Jitendra"/>
    <d v="2025-07-13T00:00:00"/>
    <d v="2025-07-13T00:00:00"/>
    <x v="10"/>
    <d v="2025-07-25T00:00:00"/>
    <m/>
    <d v="2025-08-01T00:00:00"/>
    <d v="2025-07-12T00:00:00"/>
    <d v="2025-08-08T00:00:00"/>
    <m/>
    <m/>
  </r>
  <r>
    <n v="290"/>
    <x v="1"/>
    <x v="4"/>
    <x v="289"/>
    <x v="10"/>
    <s v="FRESH AIR &amp; EXHAUST AIR LAYOUT OVER 9TH FLOOR PLAN"/>
    <s v="Jitendra"/>
    <d v="2025-07-13T00:00:00"/>
    <d v="2025-07-13T00:00:00"/>
    <x v="10"/>
    <d v="2025-07-25T00:00:00"/>
    <m/>
    <d v="2025-08-01T00:00:00"/>
    <d v="2025-07-12T00:00:00"/>
    <d v="2025-08-08T00:00:00"/>
    <m/>
    <m/>
  </r>
  <r>
    <n v="291"/>
    <x v="1"/>
    <x v="4"/>
    <x v="290"/>
    <x v="10"/>
    <s v="LAYOUT OF LIFT, LIFT LOBBY &amp; STAIRCASE PRESSURIZATION AT NINTH FLOOR"/>
    <s v="Jitendra"/>
    <d v="2025-07-13T00:00:00"/>
    <d v="2025-07-13T00:00:00"/>
    <x v="10"/>
    <d v="2025-07-25T00:00:00"/>
    <m/>
    <d v="2025-08-01T00:00:00"/>
    <d v="2025-07-12T00:00:00"/>
    <d v="2025-08-08T00:00:00"/>
    <m/>
    <m/>
  </r>
  <r>
    <n v="292"/>
    <x v="1"/>
    <x v="4"/>
    <x v="291"/>
    <x v="11"/>
    <s v="DUCTING LAYOUT 10th FLOOR PLAN"/>
    <s v="Jitendra"/>
    <d v="2025-07-13T00:00:00"/>
    <d v="2025-07-13T00:00:00"/>
    <x v="11"/>
    <d v="2025-07-25T00:00:00"/>
    <m/>
    <d v="2025-08-01T00:00:00"/>
    <d v="2025-10-16T00:00:00"/>
    <d v="2025-08-08T00:00:00"/>
    <m/>
    <m/>
  </r>
  <r>
    <n v="293"/>
    <x v="1"/>
    <x v="4"/>
    <x v="292"/>
    <x v="11"/>
    <s v="CHILLED WATER PIPING LAYOUT OVER 10th FLOOR PLAN"/>
    <s v="Jitendra"/>
    <d v="2025-07-13T00:00:00"/>
    <d v="2025-07-13T00:00:00"/>
    <x v="11"/>
    <d v="2025-07-25T00:00:00"/>
    <m/>
    <d v="2025-08-01T00:00:00"/>
    <d v="2025-10-16T00:00:00"/>
    <d v="2025-08-08T00:00:00"/>
    <m/>
    <m/>
  </r>
  <r>
    <n v="294"/>
    <x v="1"/>
    <x v="4"/>
    <x v="293"/>
    <x v="11"/>
    <s v="SMOKE EXTRACTION LAYOUT OVER 10TH FLOOR PLAN"/>
    <s v="Jitendra"/>
    <d v="2025-07-10T00:00:00"/>
    <d v="2025-07-10T00:00:00"/>
    <x v="11"/>
    <d v="2025-07-22T00:00:00"/>
    <m/>
    <d v="2025-07-29T00:00:00"/>
    <d v="2025-10-16T00:00:00"/>
    <d v="2025-08-05T00:00:00"/>
    <m/>
    <m/>
  </r>
  <r>
    <n v="295"/>
    <x v="1"/>
    <x v="4"/>
    <x v="294"/>
    <x v="11"/>
    <s v="FRESH AIR &amp; EXHAUST AIR LAYOUT OVER 10TH FLOOR PLAN"/>
    <s v="Jitendra"/>
    <d v="2025-07-13T00:00:00"/>
    <d v="2025-07-13T00:00:00"/>
    <x v="11"/>
    <d v="2025-07-25T00:00:00"/>
    <m/>
    <d v="2025-08-01T00:00:00"/>
    <d v="2025-10-16T00:00:00"/>
    <d v="2025-08-08T00:00:00"/>
    <m/>
    <m/>
  </r>
  <r>
    <n v="296"/>
    <x v="1"/>
    <x v="4"/>
    <x v="295"/>
    <x v="11"/>
    <s v="LAYOUT OF LIFT, LIFT LOBBY &amp; STAIRCASE PRESSURIZATION AT TENTH FLOOR"/>
    <s v="Jitendra"/>
    <d v="2025-07-13T00:00:00"/>
    <d v="2025-07-13T00:00:00"/>
    <x v="11"/>
    <d v="2025-07-25T00:00:00"/>
    <m/>
    <d v="2025-08-01T00:00:00"/>
    <d v="2025-10-16T00:00:00"/>
    <d v="2025-08-08T00:00:00"/>
    <m/>
    <m/>
  </r>
  <r>
    <n v="297"/>
    <x v="1"/>
    <x v="4"/>
    <x v="296"/>
    <x v="12"/>
    <s v="DUCTING LAYOUT ROOF PLAN"/>
    <s v="Jitendra"/>
    <d v="2025-11-15T00:00:00"/>
    <d v="2025-07-25T00:00:00"/>
    <x v="2"/>
    <d v="2025-08-06T00:00:00"/>
    <m/>
    <d v="2025-08-13T00:00:00"/>
    <d v="2026-02-18T00:00:00"/>
    <d v="2025-08-20T00:00:00"/>
    <m/>
    <m/>
  </r>
  <r>
    <n v="298"/>
    <x v="1"/>
    <x v="4"/>
    <x v="297"/>
    <x v="12"/>
    <s v="CHILLED WATER PIPING LAYOUT OVER ROOF PLAN"/>
    <s v="Jitendra"/>
    <d v="2025-11-15T00:00:00"/>
    <d v="2025-07-25T00:00:00"/>
    <x v="12"/>
    <d v="2025-08-06T00:00:00"/>
    <m/>
    <d v="2025-08-13T00:00:00"/>
    <d v="2026-02-18T00:00:00"/>
    <d v="2025-08-20T00:00:00"/>
    <m/>
    <m/>
  </r>
  <r>
    <n v="299"/>
    <x v="1"/>
    <x v="4"/>
    <x v="298"/>
    <x v="15"/>
    <s v="DUCTING LAYOUT ABOVE ROOF PLAN"/>
    <s v="Jitendra"/>
    <d v="2025-11-15T00:00:00"/>
    <d v="2025-07-25T00:00:00"/>
    <x v="2"/>
    <d v="2025-08-06T00:00:00"/>
    <m/>
    <d v="2025-08-13T00:00:00"/>
    <d v="2026-02-18T00:00:00"/>
    <d v="2025-08-20T00:00:00"/>
    <m/>
    <m/>
  </r>
  <r>
    <n v="300"/>
    <x v="1"/>
    <x v="4"/>
    <x v="299"/>
    <x v="14"/>
    <s v="STP VENTILATION LAYOUT"/>
    <s v="Jitendra"/>
    <d v="2025-07-25T00:00:00"/>
    <d v="2025-07-25T00:00:00"/>
    <x v="0"/>
    <d v="2025-08-06T00:00:00"/>
    <d v="2025-04-12T00:00:00"/>
    <d v="2025-08-13T00:00:00"/>
    <d v="2025-05-31T00:00:00"/>
    <d v="2025-08-20T00:00:00"/>
    <m/>
    <m/>
  </r>
  <r>
    <n v="301"/>
    <x v="1"/>
    <x v="4"/>
    <x v="300"/>
    <x v="0"/>
    <s v="HVAC PRESSURISATION BASEMENT"/>
    <s v="Jitendra"/>
    <d v="2025-03-31T00:00:00"/>
    <d v="2025-03-31T00:00:00"/>
    <x v="0"/>
    <d v="2025-04-12T00:00:00"/>
    <d v="2025-04-12T00:00:00"/>
    <d v="2025-04-19T00:00:00"/>
    <d v="2025-05-31T00:00:00"/>
    <d v="2025-04-26T00:00:00"/>
    <m/>
    <m/>
  </r>
  <r>
    <n v="302"/>
    <x v="1"/>
    <x v="4"/>
    <x v="301"/>
    <x v="14"/>
    <s v="CHILLED PIPING LAYOUT"/>
    <s v="Jitendra"/>
    <d v="2025-03-31T00:00:00"/>
    <d v="2025-03-31T00:00:00"/>
    <x v="14"/>
    <d v="2025-04-12T00:00:00"/>
    <m/>
    <d v="2025-04-19T00:00:00"/>
    <d v="2025-08-29T00:00:00"/>
    <d v="2025-04-26T00:00:00"/>
    <m/>
    <m/>
  </r>
  <r>
    <n v="303"/>
    <x v="1"/>
    <x v="4"/>
    <x v="302"/>
    <x v="14"/>
    <s v="HVAC DBR COMMENTARY"/>
    <m/>
    <d v="2025-03-14T00:00:00"/>
    <d v="2025-03-14T00:00:00"/>
    <x v="27"/>
    <d v="2025-04-01T00:00:00"/>
    <d v="2025-03-14T00:00:00"/>
    <d v="2025-04-10T00:00:00"/>
    <d v="2025-03-14T00:00:00"/>
    <d v="2025-04-17T00:00:00"/>
    <m/>
    <m/>
  </r>
  <r>
    <n v="304"/>
    <x v="1"/>
    <x v="4"/>
    <x v="303"/>
    <x v="14"/>
    <s v="ESP CALCULATION FOR ALL FIRE MODE EQUIPMENTS"/>
    <m/>
    <d v="2025-07-25T00:00:00"/>
    <d v="2025-07-25T00:00:00"/>
    <x v="14"/>
    <d v="2025-08-12T00:00:00"/>
    <m/>
    <d v="2025-08-21T00:00:00"/>
    <d v="2025-08-29T00:00:00"/>
    <d v="2025-08-28T00:00:00"/>
    <m/>
    <m/>
  </r>
  <r>
    <n v="305"/>
    <x v="1"/>
    <x v="4"/>
    <x v="304"/>
    <x v="14"/>
    <s v="ESP CALCULATION FOR ALL EQUIPMENTS"/>
    <m/>
    <d v="2025-07-25T00:00:00"/>
    <d v="2025-07-25T00:00:00"/>
    <x v="14"/>
    <d v="2025-08-12T00:00:00"/>
    <m/>
    <d v="2025-08-21T00:00:00"/>
    <d v="2025-08-29T00:00:00"/>
    <d v="2025-08-28T00:00:00"/>
    <m/>
    <m/>
  </r>
  <r>
    <n v="306"/>
    <x v="1"/>
    <x v="4"/>
    <x v="305"/>
    <x v="14"/>
    <s v="PUMP HEAD CALCULATION"/>
    <m/>
    <d v="2025-07-25T00:00:00"/>
    <d v="2025-07-25T00:00:00"/>
    <x v="14"/>
    <d v="2025-08-12T00:00:00"/>
    <m/>
    <d v="2025-08-21T00:00:00"/>
    <d v="2025-08-29T00:00:00"/>
    <d v="2025-08-28T00:00:00"/>
    <m/>
    <m/>
  </r>
  <r>
    <n v="307"/>
    <x v="1"/>
    <x v="4"/>
    <x v="306"/>
    <x v="14"/>
    <s v="HEAT LOAD CALCULATIONS WITH EQUIPMENT SELECTION SHEET"/>
    <m/>
    <d v="2025-03-14T00:00:00"/>
    <d v="2025-03-14T00:00:00"/>
    <x v="27"/>
    <d v="2025-04-01T00:00:00"/>
    <d v="2025-03-14T00:00:00"/>
    <d v="2025-04-10T00:00:00"/>
    <d v="2025-03-14T00:00:00"/>
    <d v="2025-04-17T00:00:00"/>
    <m/>
    <m/>
  </r>
  <r>
    <n v="308"/>
    <x v="1"/>
    <x v="4"/>
    <x v="307"/>
    <x v="14"/>
    <s v="VENTILATION CALCULATIONS WITH FAN SELECTION SHEET"/>
    <m/>
    <d v="2025-03-14T00:00:00"/>
    <d v="2025-03-14T00:00:00"/>
    <x v="27"/>
    <d v="2025-04-01T00:00:00"/>
    <d v="2025-03-14T00:00:00"/>
    <d v="2025-04-10T00:00:00"/>
    <d v="2025-03-14T00:00:00"/>
    <d v="2025-04-17T00:00:00"/>
    <m/>
    <m/>
  </r>
  <r>
    <n v="309"/>
    <x v="1"/>
    <x v="4"/>
    <x v="308"/>
    <x v="14"/>
    <s v="AIR FLOW DIAGRAMS"/>
    <m/>
    <d v="2025-07-25T00:00:00"/>
    <d v="2025-07-25T00:00:00"/>
    <x v="14"/>
    <d v="2025-08-12T00:00:00"/>
    <m/>
    <d v="2025-08-21T00:00:00"/>
    <d v="2025-08-29T00:00:00"/>
    <d v="2025-08-28T00:00:00"/>
    <m/>
    <m/>
  </r>
  <r>
    <n v="310"/>
    <x v="1"/>
    <x v="4"/>
    <x v="309"/>
    <x v="14"/>
    <s v="HVAC RISER (SHAFT) WITH CHILLED WATER PIPE DRAWINGS"/>
    <m/>
    <d v="2025-07-25T00:00:00"/>
    <d v="2025-07-25T00:00:00"/>
    <x v="27"/>
    <s v="14-03-2025"/>
    <s v="14-03-2025"/>
    <d v="2025-03-25T00:00:00"/>
    <d v="2025-03-14T00:00:00"/>
    <d v="2025-04-01T00:00:00"/>
    <m/>
    <m/>
  </r>
  <r>
    <n v="311"/>
    <x v="1"/>
    <x v="4"/>
    <x v="310"/>
    <x v="14"/>
    <s v="HVAC CHILLED WATER  SCHEMATIC DRAWINGS (Hi &amp; Low side)"/>
    <s v="Jitendra"/>
    <d v="2025-11-30T00:00:00"/>
    <d v="2025-07-25T00:00:00"/>
    <x v="28"/>
    <d v="2025-12-16T00:00:00"/>
    <m/>
    <d v="2025-12-25T00:00:00"/>
    <m/>
    <d v="2026-01-01T00:00:00"/>
    <m/>
    <m/>
  </r>
  <r>
    <n v="312"/>
    <x v="1"/>
    <x v="4"/>
    <x v="311"/>
    <x v="14"/>
    <s v="HVAC SCHEMATIC DRAWINGS"/>
    <m/>
    <d v="2025-07-25T00:00:00"/>
    <d v="2025-07-25T00:00:00"/>
    <x v="14"/>
    <d v="2025-08-12T00:00:00"/>
    <m/>
    <d v="2025-08-21T00:00:00"/>
    <d v="2025-08-29T00:00:00"/>
    <d v="2025-08-28T00:00:00"/>
    <m/>
    <m/>
  </r>
  <r>
    <n v="313"/>
    <x v="1"/>
    <x v="5"/>
    <x v="312"/>
    <x v="0"/>
    <s v="BASEMENT MEP LAYOUT"/>
    <s v="MEP Team"/>
    <d v="2025-03-31T00:00:00"/>
    <d v="2025-03-31T00:00:00"/>
    <x v="0"/>
    <d v="2025-04-12T00:00:00"/>
    <m/>
    <d v="2025-04-19T00:00:00"/>
    <d v="2025-05-31T00:00:00"/>
    <d v="2025-04-26T00:00:00"/>
    <m/>
    <m/>
  </r>
  <r>
    <n v="314"/>
    <x v="1"/>
    <x v="5"/>
    <x v="313"/>
    <x v="0"/>
    <s v="BASEMENT MEP SECTION"/>
    <s v="MEP Team"/>
    <d v="2025-03-31T00:00:00"/>
    <d v="2025-03-31T00:00:00"/>
    <x v="0"/>
    <d v="2025-04-12T00:00:00"/>
    <m/>
    <d v="2025-04-19T00:00:00"/>
    <d v="2025-05-31T00:00:00"/>
    <d v="2025-04-26T00:00:00"/>
    <m/>
    <m/>
  </r>
  <r>
    <n v="315"/>
    <x v="1"/>
    <x v="5"/>
    <x v="314"/>
    <x v="1"/>
    <s v="GROUND FLOOR MEP LAYOUT"/>
    <s v="MEP Team"/>
    <d v="2025-03-31T00:00:00"/>
    <d v="2025-03-31T00:00:00"/>
    <x v="1"/>
    <d v="2025-04-12T00:00:00"/>
    <m/>
    <d v="2025-04-19T00:00:00"/>
    <d v="2025-06-04T00:00:00"/>
    <d v="2025-04-26T00:00:00"/>
    <m/>
    <m/>
  </r>
  <r>
    <n v="316"/>
    <x v="1"/>
    <x v="5"/>
    <x v="315"/>
    <x v="1"/>
    <s v="GROUND FLOOR  MEP SECTION"/>
    <s v="MEP Team"/>
    <d v="2025-03-31T00:00:00"/>
    <d v="2025-03-31T00:00:00"/>
    <x v="1"/>
    <d v="2025-04-12T00:00:00"/>
    <m/>
    <d v="2025-04-19T00:00:00"/>
    <d v="2025-06-04T00:00:00"/>
    <d v="2025-04-26T00:00:00"/>
    <m/>
    <m/>
  </r>
  <r>
    <n v="317"/>
    <x v="1"/>
    <x v="5"/>
    <x v="316"/>
    <x v="2"/>
    <s v="FIRST FLOOR MEP LAYOUT"/>
    <s v="MEP Team"/>
    <d v="2025-11-15T00:00:00"/>
    <d v="2025-03-31T00:00:00"/>
    <x v="2"/>
    <d v="2025-04-12T00:00:00"/>
    <m/>
    <d v="2025-11-29T00:00:00"/>
    <d v="2025-12-04T00:00:00"/>
    <d v="2025-12-06T00:00:00"/>
    <m/>
    <m/>
  </r>
  <r>
    <n v="318"/>
    <x v="1"/>
    <x v="5"/>
    <x v="317"/>
    <x v="2"/>
    <s v="FIRST FLOOR  MEP SECTION"/>
    <s v="MEP Team"/>
    <d v="2025-11-15T00:00:00"/>
    <d v="2025-03-31T00:00:00"/>
    <x v="2"/>
    <d v="2025-04-12T00:00:00"/>
    <m/>
    <d v="2025-11-29T00:00:00"/>
    <d v="2025-12-04T00:00:00"/>
    <d v="2025-12-06T00:00:00"/>
    <m/>
    <m/>
  </r>
  <r>
    <n v="319"/>
    <x v="1"/>
    <x v="5"/>
    <x v="318"/>
    <x v="3"/>
    <s v="SECOND FLOOR MEP LAYOUT"/>
    <s v="MEP Team"/>
    <d v="2025-10-30T00:00:00"/>
    <d v="2025-04-13T00:00:00"/>
    <x v="3"/>
    <d v="2025-04-25T00:00:00"/>
    <m/>
    <d v="2025-11-13T00:00:00"/>
    <d v="2025-12-04T00:00:00"/>
    <d v="2025-11-20T00:00:00"/>
    <m/>
    <m/>
  </r>
  <r>
    <n v="320"/>
    <x v="1"/>
    <x v="5"/>
    <x v="319"/>
    <x v="3"/>
    <s v="SECOND FLOOR  MEP SECTION"/>
    <s v="MEP Team"/>
    <d v="2025-10-30T00:00:00"/>
    <d v="2025-04-13T00:00:00"/>
    <x v="3"/>
    <d v="2025-04-25T00:00:00"/>
    <m/>
    <d v="2025-11-13T00:00:00"/>
    <d v="2025-12-04T00:00:00"/>
    <d v="2025-11-20T00:00:00"/>
    <m/>
    <m/>
  </r>
  <r>
    <n v="321"/>
    <x v="1"/>
    <x v="5"/>
    <x v="320"/>
    <x v="4"/>
    <s v="THIRD FLOOR MEP LAYOUT"/>
    <s v="MEP Team"/>
    <d v="2025-10-25T00:00:00"/>
    <d v="2025-04-29T00:00:00"/>
    <x v="4"/>
    <d v="2025-05-11T00:00:00"/>
    <d v="2025-08-20T00:00:00"/>
    <d v="2025-11-08T00:00:00"/>
    <d v="2025-12-04T00:00:00"/>
    <d v="2025-11-15T00:00:00"/>
    <m/>
    <m/>
  </r>
  <r>
    <n v="322"/>
    <x v="1"/>
    <x v="5"/>
    <x v="321"/>
    <x v="4"/>
    <s v="THIRD FLOOR  MEP SECTION"/>
    <s v="MEP Team"/>
    <d v="2025-10-25T00:00:00"/>
    <d v="2025-04-29T00:00:00"/>
    <x v="4"/>
    <d v="2025-05-11T00:00:00"/>
    <d v="2025-08-20T00:00:00"/>
    <d v="2025-11-08T00:00:00"/>
    <d v="2025-12-04T00:00:00"/>
    <d v="2025-11-15T00:00:00"/>
    <m/>
    <m/>
  </r>
  <r>
    <n v="323"/>
    <x v="1"/>
    <x v="5"/>
    <x v="322"/>
    <x v="5"/>
    <s v="FOURTH FLOOR MEP LAYOUT"/>
    <s v="MEP Team"/>
    <d v="2025-05-13T00:00:00"/>
    <d v="2025-05-13T00:00:00"/>
    <x v="5"/>
    <d v="2025-05-25T00:00:00"/>
    <m/>
    <d v="2025-06-01T00:00:00"/>
    <d v="2025-06-04T00:00:00"/>
    <d v="2025-06-08T00:00:00"/>
    <m/>
    <m/>
  </r>
  <r>
    <n v="324"/>
    <x v="1"/>
    <x v="5"/>
    <x v="323"/>
    <x v="5"/>
    <s v="FOURTH FLOOR  MEP SECTION"/>
    <s v="MEP Team"/>
    <d v="2025-05-13T00:00:00"/>
    <d v="2025-05-13T00:00:00"/>
    <x v="5"/>
    <d v="2025-05-25T00:00:00"/>
    <m/>
    <d v="2025-06-01T00:00:00"/>
    <d v="2025-06-04T00:00:00"/>
    <d v="2025-06-08T00:00:00"/>
    <m/>
    <m/>
  </r>
  <r>
    <n v="325"/>
    <x v="1"/>
    <x v="5"/>
    <x v="324"/>
    <x v="6"/>
    <s v="FIFTH FLOOR MEP LAYOUT"/>
    <s v="MEP Team"/>
    <d v="2025-05-27T00:00:00"/>
    <d v="2025-05-27T00:00:00"/>
    <x v="6"/>
    <d v="2025-06-08T00:00:00"/>
    <d v="2025-08-08T00:00:00"/>
    <d v="2025-06-15T00:00:00"/>
    <d v="2025-09-10T00:00:00"/>
    <d v="2025-06-22T00:00:00"/>
    <m/>
    <m/>
  </r>
  <r>
    <n v="326"/>
    <x v="1"/>
    <x v="5"/>
    <x v="325"/>
    <x v="6"/>
    <s v="FIFTH FLOOR  MEP SECTION"/>
    <s v="MEP Team"/>
    <d v="2025-05-27T00:00:00"/>
    <d v="2025-05-27T00:00:00"/>
    <x v="6"/>
    <d v="2025-06-08T00:00:00"/>
    <d v="2025-08-08T00:00:00"/>
    <d v="2025-06-15T00:00:00"/>
    <d v="2025-09-10T00:00:00"/>
    <d v="2025-06-22T00:00:00"/>
    <m/>
    <m/>
  </r>
  <r>
    <n v="327"/>
    <x v="1"/>
    <x v="5"/>
    <x v="326"/>
    <x v="7"/>
    <s v="SIXTH FLOOR MEP LAYOUT"/>
    <s v="MEP Team"/>
    <d v="2025-06-13T00:00:00"/>
    <d v="2025-06-13T00:00:00"/>
    <x v="7"/>
    <d v="2025-06-25T00:00:00"/>
    <d v="2025-08-14T00:00:00"/>
    <d v="2025-07-02T00:00:00"/>
    <d v="2025-09-10T00:00:00"/>
    <d v="2025-07-09T00:00:00"/>
    <m/>
    <m/>
  </r>
  <r>
    <n v="328"/>
    <x v="1"/>
    <x v="5"/>
    <x v="327"/>
    <x v="7"/>
    <s v="SIXTH FLOOR  MEP SECTION"/>
    <s v="MEP Team"/>
    <d v="2025-06-13T00:00:00"/>
    <d v="2025-06-13T00:00:00"/>
    <x v="7"/>
    <d v="2025-06-25T00:00:00"/>
    <d v="2025-08-14T00:00:00"/>
    <d v="2025-07-02T00:00:00"/>
    <d v="2025-09-10T00:00:00"/>
    <d v="2025-07-09T00:00:00"/>
    <m/>
    <m/>
  </r>
  <r>
    <n v="329"/>
    <x v="1"/>
    <x v="5"/>
    <x v="328"/>
    <x v="8"/>
    <s v="SEVENTH FLOOR MEP LAYOUT"/>
    <s v="MEP Team"/>
    <d v="2025-06-29T00:00:00"/>
    <d v="2025-06-29T00:00:00"/>
    <x v="8"/>
    <d v="2025-07-11T00:00:00"/>
    <m/>
    <d v="2025-07-18T00:00:00"/>
    <d v="2025-10-16T00:00:00"/>
    <d v="2025-07-25T00:00:00"/>
    <m/>
    <m/>
  </r>
  <r>
    <n v="330"/>
    <x v="1"/>
    <x v="5"/>
    <x v="329"/>
    <x v="8"/>
    <s v="SEVENTH FLOOR  MEP SECTION"/>
    <s v="MEP Team"/>
    <d v="2025-06-29T00:00:00"/>
    <d v="2025-06-29T00:00:00"/>
    <x v="8"/>
    <d v="2025-07-11T00:00:00"/>
    <m/>
    <d v="2025-07-18T00:00:00"/>
    <d v="2025-10-16T00:00:00"/>
    <d v="2025-07-25T00:00:00"/>
    <m/>
    <m/>
  </r>
  <r>
    <n v="331"/>
    <x v="1"/>
    <x v="5"/>
    <x v="330"/>
    <x v="9"/>
    <s v="EIGTH FLOOR MEP LAYOUT"/>
    <s v="MEP Team"/>
    <d v="2025-06-29T00:00:00"/>
    <d v="2025-06-29T00:00:00"/>
    <x v="9"/>
    <d v="2025-07-11T00:00:00"/>
    <m/>
    <d v="2025-07-18T00:00:00"/>
    <d v="2025-10-29T00:00:00"/>
    <d v="2025-07-25T00:00:00"/>
    <m/>
    <m/>
  </r>
  <r>
    <n v="332"/>
    <x v="1"/>
    <x v="5"/>
    <x v="331"/>
    <x v="9"/>
    <s v="EIGTH FLOOR  MEP SECTION"/>
    <s v="MEP Team"/>
    <d v="2025-06-29T00:00:00"/>
    <d v="2025-06-29T00:00:00"/>
    <x v="9"/>
    <d v="2025-07-11T00:00:00"/>
    <m/>
    <d v="2025-07-18T00:00:00"/>
    <d v="2025-10-29T00:00:00"/>
    <d v="2025-07-25T00:00:00"/>
    <m/>
    <m/>
  </r>
  <r>
    <n v="333"/>
    <x v="1"/>
    <x v="5"/>
    <x v="332"/>
    <x v="9"/>
    <s v="NINTH FLOOR MEP LAYOUT"/>
    <s v="MEP Team"/>
    <d v="2025-07-13T00:00:00"/>
    <d v="2025-07-13T00:00:00"/>
    <x v="10"/>
    <d v="2025-07-25T00:00:00"/>
    <m/>
    <d v="2025-08-01T00:00:00"/>
    <d v="2025-07-12T00:00:00"/>
    <d v="2025-08-08T00:00:00"/>
    <m/>
    <m/>
  </r>
  <r>
    <n v="334"/>
    <x v="1"/>
    <x v="5"/>
    <x v="333"/>
    <x v="9"/>
    <s v="NINTH FLOOR  MEP SECTION"/>
    <s v="MEP Team"/>
    <d v="2025-07-13T00:00:00"/>
    <d v="2025-07-13T00:00:00"/>
    <x v="10"/>
    <d v="2025-07-25T00:00:00"/>
    <m/>
    <d v="2025-08-01T00:00:00"/>
    <d v="2025-07-12T00:00:00"/>
    <d v="2025-08-08T00:00:00"/>
    <m/>
    <m/>
  </r>
  <r>
    <n v="335"/>
    <x v="1"/>
    <x v="5"/>
    <x v="334"/>
    <x v="9"/>
    <s v="TENTH FLOOR MEP LAYOUT"/>
    <s v="MEP Team"/>
    <d v="2025-07-13T00:00:00"/>
    <d v="2025-07-13T00:00:00"/>
    <x v="11"/>
    <d v="2025-07-25T00:00:00"/>
    <m/>
    <d v="2025-08-01T00:00:00"/>
    <d v="2025-10-16T00:00:00"/>
    <d v="2025-08-08T00:00:00"/>
    <m/>
    <m/>
  </r>
  <r>
    <n v="336"/>
    <x v="1"/>
    <x v="5"/>
    <x v="335"/>
    <x v="9"/>
    <s v="TENTH FLOOR  MEP SECTION"/>
    <s v="MEP Team"/>
    <d v="2025-07-13T00:00:00"/>
    <d v="2025-07-13T00:00:00"/>
    <x v="11"/>
    <d v="2025-07-25T00:00:00"/>
    <m/>
    <d v="2025-08-01T00:00:00"/>
    <d v="2025-10-16T00:00:00"/>
    <d v="2025-08-08T00:00:00"/>
    <m/>
    <m/>
  </r>
  <r>
    <n v="337"/>
    <x v="1"/>
    <x v="5"/>
    <x v="336"/>
    <x v="12"/>
    <s v="TERRACE FLOOR MEP LAYOUT"/>
    <s v="MEP Team"/>
    <d v="2025-11-15T00:00:00"/>
    <d v="2025-07-28T00:00:00"/>
    <x v="2"/>
    <d v="2025-08-09T00:00:00"/>
    <m/>
    <d v="2025-08-16T00:00:00"/>
    <d v="2026-02-18T00:00:00"/>
    <d v="2025-08-23T00:00:00"/>
    <m/>
    <m/>
  </r>
  <r>
    <n v="338"/>
    <x v="1"/>
    <x v="5"/>
    <x v="337"/>
    <x v="12"/>
    <s v="TERRACE FLOOR  MEP SECTION"/>
    <s v="MEP Team"/>
    <d v="2025-11-15T00:00:00"/>
    <d v="2025-07-28T00:00:00"/>
    <x v="24"/>
    <d v="2025-08-09T00:00:00"/>
    <m/>
    <d v="2025-08-16T00:00:00"/>
    <d v="2026-02-18T00:00:00"/>
    <d v="2025-08-23T00:00:00"/>
    <m/>
    <m/>
  </r>
  <r>
    <n v="339"/>
    <x v="2"/>
    <x v="6"/>
    <x v="338"/>
    <x v="0"/>
    <s v="BASEMENT FLOOR PLAN"/>
    <s v="Shivangee"/>
    <d v="2025-03-03T00:00:00"/>
    <d v="2025-03-03T00:00:00"/>
    <x v="29"/>
    <d v="2025-03-19T00:00:00"/>
    <d v="2025-03-19T00:00:00"/>
    <d v="2025-03-28T00:00:00"/>
    <d v="2025-03-28T00:00:00"/>
    <d v="2025-04-04T00:00:00"/>
    <d v="2025-06-21T00:00:00"/>
    <m/>
  </r>
  <r>
    <n v="340"/>
    <x v="2"/>
    <x v="6"/>
    <x v="339"/>
    <x v="0"/>
    <s v="BASEMENT LOFT PLANS "/>
    <s v="Shivangee"/>
    <d v="2025-03-03T00:00:00"/>
    <d v="2025-03-03T00:00:00"/>
    <x v="29"/>
    <d v="2025-03-19T00:00:00"/>
    <d v="2025-03-19T00:00:00"/>
    <d v="2025-03-28T00:00:00"/>
    <d v="2025-03-28T00:00:00"/>
    <d v="2025-04-04T00:00:00"/>
    <d v="2025-06-21T00:00:00"/>
    <m/>
  </r>
  <r>
    <n v="341"/>
    <x v="2"/>
    <x v="6"/>
    <x v="340"/>
    <x v="0"/>
    <s v="BASEMENT FURNITURE LAYOUT"/>
    <s v="Shivangee"/>
    <d v="2025-03-03T00:00:00"/>
    <d v="2025-03-03T00:00:00"/>
    <x v="29"/>
    <d v="2025-03-19T00:00:00"/>
    <d v="2025-03-19T00:00:00"/>
    <d v="2025-03-28T00:00:00"/>
    <d v="2025-03-28T00:00:00"/>
    <d v="2025-04-04T00:00:00"/>
    <d v="2025-06-21T00:00:00"/>
    <m/>
  </r>
  <r>
    <n v="342"/>
    <x v="2"/>
    <x v="6"/>
    <x v="341"/>
    <x v="0"/>
    <s v="BASEMENT PART SECTIONS"/>
    <s v="Shivangee"/>
    <d v="2025-04-05T00:00:00"/>
    <d v="2025-04-05T00:00:00"/>
    <x v="30"/>
    <d v="2025-04-22T00:00:00"/>
    <m/>
    <d v="2025-05-01T00:00:00"/>
    <d v="2025-09-12T00:00:00"/>
    <d v="2025-05-08T00:00:00"/>
    <d v="2025-12-15T00:00:00"/>
    <m/>
  </r>
  <r>
    <n v="343"/>
    <x v="2"/>
    <x v="6"/>
    <x v="342"/>
    <x v="0"/>
    <s v="BASEMENT PART SECTIONS"/>
    <s v="Shivangee"/>
    <d v="2025-04-05T00:00:00"/>
    <d v="2025-04-05T00:00:00"/>
    <x v="30"/>
    <d v="2025-04-22T00:00:00"/>
    <m/>
    <d v="2025-05-01T00:00:00"/>
    <d v="2025-09-12T00:00:00"/>
    <d v="2025-05-08T00:00:00"/>
    <d v="2025-12-15T00:00:00"/>
    <m/>
  </r>
  <r>
    <n v="344"/>
    <x v="2"/>
    <x v="6"/>
    <x v="343"/>
    <x v="0"/>
    <s v="BASEMENT TOILET-1  DETAIL"/>
    <s v="Shivangee"/>
    <d v="2025-04-05T00:00:00"/>
    <d v="2025-04-05T00:00:00"/>
    <x v="31"/>
    <d v="2025-04-22T00:00:00"/>
    <m/>
    <d v="2025-05-01T00:00:00"/>
    <d v="2025-09-12T00:00:00"/>
    <d v="2025-05-08T00:00:00"/>
    <d v="2025-11-01T00:00:00"/>
    <m/>
  </r>
  <r>
    <n v="345"/>
    <x v="2"/>
    <x v="6"/>
    <x v="344"/>
    <x v="0"/>
    <s v="BASEMENT TOILET-2  DETAIL"/>
    <s v="Shivangee"/>
    <d v="2025-04-05T00:00:00"/>
    <d v="2025-04-05T00:00:00"/>
    <x v="31"/>
    <d v="2025-04-22T00:00:00"/>
    <m/>
    <d v="2025-05-01T00:00:00"/>
    <d v="2025-09-12T00:00:00"/>
    <d v="2025-05-08T00:00:00"/>
    <d v="2025-11-01T00:00:00"/>
    <m/>
  </r>
  <r>
    <n v="346"/>
    <x v="2"/>
    <x v="6"/>
    <x v="345"/>
    <x v="0"/>
    <s v="BASEMENT TOILET-3  DETAIL"/>
    <s v="Shivangee"/>
    <d v="2025-04-05T00:00:00"/>
    <d v="2025-04-05T00:00:00"/>
    <x v="31"/>
    <d v="2025-04-22T00:00:00"/>
    <m/>
    <d v="2025-05-01T00:00:00"/>
    <d v="2025-09-12T00:00:00"/>
    <d v="2025-05-08T00:00:00"/>
    <d v="2025-11-01T00:00:00"/>
    <m/>
  </r>
  <r>
    <n v="347"/>
    <x v="2"/>
    <x v="6"/>
    <x v="346"/>
    <x v="0"/>
    <s v="BASEMENT FLOORING LAYOUT"/>
    <s v="Shivangee"/>
    <d v="2025-04-12T00:00:00"/>
    <d v="2025-04-12T00:00:00"/>
    <x v="32"/>
    <d v="2025-04-29T00:00:00"/>
    <d v="2025-04-28T00:00:00"/>
    <d v="2025-05-08T00:00:00"/>
    <d v="2025-05-02T00:00:00"/>
    <d v="2025-05-15T00:00:00"/>
    <d v="2025-09-19T00:00:00"/>
    <m/>
  </r>
  <r>
    <n v="348"/>
    <x v="2"/>
    <x v="6"/>
    <x v="347"/>
    <x v="0"/>
    <s v="BASEMENT LOFT FLOORING LAYOUT"/>
    <s v="Shivangee"/>
    <d v="2025-04-12T00:00:00"/>
    <d v="2025-04-12T00:00:00"/>
    <x v="32"/>
    <d v="2025-04-29T00:00:00"/>
    <d v="2025-04-28T00:00:00"/>
    <d v="2025-05-08T00:00:00"/>
    <d v="2025-05-02T00:00:00"/>
    <d v="2025-05-15T00:00:00"/>
    <d v="2025-11-01T00:00:00"/>
    <m/>
  </r>
  <r>
    <n v="349"/>
    <x v="2"/>
    <x v="6"/>
    <x v="348"/>
    <x v="0"/>
    <s v="WINDOW DETAILS SHEET 2"/>
    <s v="Shivangee"/>
    <d v="2025-04-12T00:00:00"/>
    <d v="2025-04-12T00:00:00"/>
    <x v="33"/>
    <d v="2025-04-29T00:00:00"/>
    <m/>
    <d v="2025-05-08T00:00:00"/>
    <d v="2025-09-12T00:00:00"/>
    <d v="2025-05-15T00:00:00"/>
    <m/>
    <s v="MEP Coordinated Drawing wih design inputs of fixtures and duct layouts"/>
  </r>
  <r>
    <n v="350"/>
    <x v="2"/>
    <x v="6"/>
    <x v="349"/>
    <x v="0"/>
    <s v="BASEMENT LINAC DETAILS-1"/>
    <s v="Shivangee"/>
    <d v="2025-05-31T00:00:00"/>
    <d v="2025-05-31T00:00:00"/>
    <x v="7"/>
    <d v="2025-06-17T00:00:00"/>
    <m/>
    <d v="2025-06-26T00:00:00"/>
    <d v="2025-07-16T00:00:00"/>
    <d v="2025-07-03T00:00:00"/>
    <d v="2025-11-01T00:00:00"/>
    <m/>
  </r>
  <r>
    <n v="351"/>
    <x v="2"/>
    <x v="6"/>
    <x v="350"/>
    <x v="0"/>
    <s v="BASEMENT LINAC DETAILS-1"/>
    <s v="Shivangee"/>
    <d v="2025-05-31T00:00:00"/>
    <d v="2025-05-31T00:00:00"/>
    <x v="7"/>
    <d v="2025-06-17T00:00:00"/>
    <m/>
    <d v="2025-06-26T00:00:00"/>
    <d v="2025-07-16T00:00:00"/>
    <d v="2025-07-03T00:00:00"/>
    <d v="2025-11-01T00:00:00"/>
    <m/>
  </r>
  <r>
    <n v="352"/>
    <x v="2"/>
    <x v="6"/>
    <x v="351"/>
    <x v="0"/>
    <s v="BASEMENT -BOOTH SEATING AREA"/>
    <s v="Shivangee"/>
    <d v="2025-05-31T00:00:00"/>
    <d v="2025-05-31T00:00:00"/>
    <x v="34"/>
    <d v="2025-06-17T00:00:00"/>
    <m/>
    <d v="2025-06-26T00:00:00"/>
    <d v="2025-07-16T00:00:00"/>
    <d v="2025-07-03T00:00:00"/>
    <d v="2025-11-01T00:00:00"/>
    <m/>
  </r>
  <r>
    <n v="353"/>
    <x v="2"/>
    <x v="6"/>
    <x v="352"/>
    <x v="0"/>
    <s v="BASEMENT FLOOR RCP"/>
    <s v="Shivangee"/>
    <d v="2025-11-30T00:00:00"/>
    <d v="2025-05-31T00:00:00"/>
    <x v="35"/>
    <d v="2025-12-16T00:00:00"/>
    <m/>
    <d v="2025-12-25T00:00:00"/>
    <d v="2025-12-06T00:00:00"/>
    <d v="2026-01-01T00:00:00"/>
    <m/>
    <m/>
  </r>
  <r>
    <n v="354"/>
    <x v="2"/>
    <x v="6"/>
    <x v="353"/>
    <x v="1"/>
    <s v="GROUND FLOOR PLAN"/>
    <s v="Shivangee"/>
    <d v="2025-03-03T00:00:00"/>
    <d v="2025-03-03T00:00:00"/>
    <x v="29"/>
    <d v="2025-03-19T00:00:00"/>
    <d v="2025-03-26T00:00:00"/>
    <d v="2025-03-31T00:00:00"/>
    <d v="2025-03-28T00:00:00"/>
    <d v="2025-04-07T00:00:00"/>
    <d v="2025-09-02T00:00:00"/>
    <m/>
  </r>
  <r>
    <n v="355"/>
    <x v="2"/>
    <x v="6"/>
    <x v="354"/>
    <x v="1"/>
    <s v="GROUND FLOOR FURNITURE LAYOUT"/>
    <s v="Shivangee"/>
    <d v="2025-03-03T00:00:00"/>
    <d v="2025-03-03T00:00:00"/>
    <x v="29"/>
    <d v="2025-03-19T00:00:00"/>
    <d v="2025-03-26T00:00:00"/>
    <d v="2025-03-31T00:00:00"/>
    <d v="2025-03-28T00:00:00"/>
    <d v="2025-04-07T00:00:00"/>
    <d v="2025-09-02T00:00:00"/>
    <m/>
  </r>
  <r>
    <n v="356"/>
    <x v="2"/>
    <x v="6"/>
    <x v="355"/>
    <x v="1"/>
    <s v="DOOR DETAILS SHEET 3"/>
    <s v="Shivangee"/>
    <d v="2025-04-12T00:00:00"/>
    <d v="2025-04-12T00:00:00"/>
    <x v="33"/>
    <d v="2025-04-29T00:00:00"/>
    <m/>
    <d v="2025-05-08T00:00:00"/>
    <d v="2025-09-12T00:00:00"/>
    <d v="2025-05-15T00:00:00"/>
    <m/>
    <s v="MEP Coordinated Drawing wih design inputs of fixtures and duct layouts"/>
  </r>
  <r>
    <n v="357"/>
    <x v="2"/>
    <x v="6"/>
    <x v="356"/>
    <x v="1"/>
    <s v="GROUND FLOOR TOILET-1  DETAIL"/>
    <s v="Shivangee"/>
    <d v="2025-04-12T00:00:00"/>
    <d v="2025-04-12T00:00:00"/>
    <x v="0"/>
    <d v="2025-04-29T00:00:00"/>
    <m/>
    <d v="2025-05-08T00:00:00"/>
    <d v="2025-12-15T00:00:00"/>
    <d v="2025-05-15T00:00:00"/>
    <d v="2025-12-27T00:00:00"/>
    <m/>
  </r>
  <r>
    <n v="358"/>
    <x v="2"/>
    <x v="6"/>
    <x v="357"/>
    <x v="1"/>
    <s v="GROUND FLOOR TOILET-2  DETAIL"/>
    <s v="Shivangee"/>
    <d v="2025-04-12T00:00:00"/>
    <d v="2025-04-12T00:00:00"/>
    <x v="0"/>
    <d v="2025-04-29T00:00:00"/>
    <m/>
    <d v="2025-05-08T00:00:00"/>
    <d v="2025-12-15T00:00:00"/>
    <d v="2025-05-15T00:00:00"/>
    <d v="2025-12-27T00:00:00"/>
    <m/>
  </r>
  <r>
    <n v="359"/>
    <x v="2"/>
    <x v="6"/>
    <x v="358"/>
    <x v="1"/>
    <s v="GROUND FLOOR TOILET-3  DETAIL"/>
    <s v="Shivangee"/>
    <d v="2025-04-12T00:00:00"/>
    <d v="2025-04-12T00:00:00"/>
    <x v="31"/>
    <d v="2025-04-29T00:00:00"/>
    <m/>
    <d v="2025-05-08T00:00:00"/>
    <d v="2025-12-15T00:00:00"/>
    <d v="2025-05-15T00:00:00"/>
    <d v="2025-12-27T00:00:00"/>
    <m/>
  </r>
  <r>
    <n v="360"/>
    <x v="2"/>
    <x v="6"/>
    <x v="359"/>
    <x v="1"/>
    <s v="DOOR DETAILS SHEET 3"/>
    <s v="Shivangee"/>
    <d v="2025-04-19T00:00:00"/>
    <d v="2025-04-19T00:00:00"/>
    <x v="33"/>
    <d v="2025-05-06T00:00:00"/>
    <m/>
    <d v="2025-05-15T00:00:00"/>
    <d v="2025-09-12T00:00:00"/>
    <d v="2025-05-22T00:00:00"/>
    <m/>
    <m/>
  </r>
  <r>
    <n v="361"/>
    <x v="2"/>
    <x v="6"/>
    <x v="360"/>
    <x v="1"/>
    <s v="DOOR DETAILS SHEET 4"/>
    <s v="Shivangee"/>
    <d v="2025-04-19T00:00:00"/>
    <d v="2025-04-19T00:00:00"/>
    <x v="33"/>
    <d v="2025-05-06T00:00:00"/>
    <m/>
    <d v="2025-05-15T00:00:00"/>
    <d v="2025-09-12T00:00:00"/>
    <d v="2025-05-22T00:00:00"/>
    <m/>
    <m/>
  </r>
  <r>
    <n v="362"/>
    <x v="2"/>
    <x v="6"/>
    <x v="361"/>
    <x v="1"/>
    <s v="GROUND FLOOR FLOORING LAYOUT"/>
    <s v="Shivangee"/>
    <d v="2025-12-24T00:00:00"/>
    <d v="2025-05-03T00:00:00"/>
    <x v="36"/>
    <d v="2026-01-09T00:00:00"/>
    <d v="2025-05-02T00:00:00"/>
    <d v="2026-01-20T00:00:00"/>
    <d v="2025-12-18T00:00:00"/>
    <d v="2026-01-27T00:00:00"/>
    <d v="2025-12-27T00:00:00"/>
    <m/>
  </r>
  <r>
    <n v="363"/>
    <x v="2"/>
    <x v="6"/>
    <x v="362"/>
    <x v="1"/>
    <s v="Interior Elevations- Ground Floor waiting area"/>
    <s v="Shivangee"/>
    <d v="2025-12-24T00:00:00"/>
    <d v="2025-05-31T00:00:00"/>
    <x v="37"/>
    <d v="2026-01-09T00:00:00"/>
    <m/>
    <d v="2026-01-20T00:00:00"/>
    <d v="2026-01-09T00:00:00"/>
    <d v="2026-01-27T00:00:00"/>
    <m/>
    <m/>
  </r>
  <r>
    <n v="364"/>
    <x v="2"/>
    <x v="6"/>
    <x v="363"/>
    <x v="1"/>
    <s v="GROUND FLOOR RCP "/>
    <s v="Shivangee"/>
    <d v="2025-12-23T00:00:00"/>
    <d v="2025-05-31T00:00:00"/>
    <x v="38"/>
    <d v="2026-01-08T00:00:00"/>
    <m/>
    <d v="2026-01-19T00:00:00"/>
    <d v="2026-05-15T00:00:00"/>
    <d v="2026-01-26T00:00:00"/>
    <m/>
    <m/>
  </r>
  <r>
    <n v="365"/>
    <x v="2"/>
    <x v="6"/>
    <x v="364"/>
    <x v="1"/>
    <s v="Ground Floor interior elevation- lift lobby &amp; VIP waiting"/>
    <s v="Shivangee"/>
    <d v="2025-12-24T00:00:00"/>
    <d v="2025-07-05T00:00:00"/>
    <x v="39"/>
    <d v="2026-01-09T00:00:00"/>
    <m/>
    <d v="2026-01-20T00:00:00"/>
    <d v="2025-12-09T00:00:00"/>
    <d v="2026-01-27T00:00:00"/>
    <m/>
    <m/>
  </r>
  <r>
    <n v="366"/>
    <x v="2"/>
    <x v="6"/>
    <x v="365"/>
    <x v="1"/>
    <s v="Interior Elevations- Ground Floor Corridor"/>
    <s v="Shivangee"/>
    <d v="2025-12-24T00:00:00"/>
    <d v="2025-07-05T00:00:00"/>
    <x v="40"/>
    <d v="2026-01-09T00:00:00"/>
    <m/>
    <d v="2026-01-20T00:00:00"/>
    <d v="2025-12-09T00:00:00"/>
    <d v="2026-01-27T00:00:00"/>
    <m/>
    <m/>
  </r>
  <r>
    <n v="367"/>
    <x v="2"/>
    <x v="6"/>
    <x v="366"/>
    <x v="1"/>
    <s v="Interior Elevations- Ground Floor Physiotherapy"/>
    <s v="Shivangee"/>
    <d v="2025-12-24T00:00:00"/>
    <d v="2025-06-07T00:00:00"/>
    <x v="40"/>
    <d v="2026-01-09T00:00:00"/>
    <m/>
    <d v="2026-01-20T00:00:00"/>
    <d v="2025-12-09T00:00:00"/>
    <d v="2026-01-27T00:00:00"/>
    <m/>
    <m/>
  </r>
  <r>
    <n v="368"/>
    <x v="2"/>
    <x v="6"/>
    <x v="367"/>
    <x v="2"/>
    <s v="1ST FLOOR PLAN"/>
    <s v="Shivangee"/>
    <d v="2025-10-30T00:00:00"/>
    <d v="2025-03-03T00:00:00"/>
    <x v="41"/>
    <d v="2025-11-17T00:00:00"/>
    <d v="2025-03-26T00:00:00"/>
    <d v="2025-11-15T00:00:00"/>
    <d v="2025-10-29T00:00:00"/>
    <d v="2025-11-22T00:00:00"/>
    <d v="2025-11-18T00:00:00"/>
    <m/>
  </r>
  <r>
    <n v="369"/>
    <x v="2"/>
    <x v="6"/>
    <x v="368"/>
    <x v="2"/>
    <s v="FIRST FLOOR FURNITURE LAYOUT"/>
    <s v="Shivangee"/>
    <d v="2025-10-30T00:00:00"/>
    <d v="2025-03-03T00:00:00"/>
    <x v="41"/>
    <d v="2025-11-17T00:00:00"/>
    <d v="2025-03-26T00:00:00"/>
    <d v="2025-11-15T00:00:00"/>
    <d v="2025-10-29T00:00:00"/>
    <d v="2025-11-22T00:00:00"/>
    <d v="2025-11-18T00:00:00"/>
    <m/>
  </r>
  <r>
    <n v="370"/>
    <x v="2"/>
    <x v="6"/>
    <x v="369"/>
    <x v="2"/>
    <s v="FIRST FLOOR TOILET-1  DETAIL"/>
    <s v="Shivangee"/>
    <d v="2025-11-15T00:00:00"/>
    <d v="2025-04-19T00:00:00"/>
    <x v="42"/>
    <d v="2025-12-02T00:00:00"/>
    <m/>
    <d v="2025-12-11T00:00:00"/>
    <d v="2025-12-02T00:00:00"/>
    <d v="2025-12-18T00:00:00"/>
    <d v="2025-12-09T00:00:00"/>
    <m/>
  </r>
  <r>
    <n v="371"/>
    <x v="2"/>
    <x v="6"/>
    <x v="370"/>
    <x v="2"/>
    <s v="FIRST FLOOR TOILET-2 DETAIL"/>
    <s v="Shivangee"/>
    <d v="2025-11-15T00:00:00"/>
    <d v="2025-04-19T00:00:00"/>
    <x v="42"/>
    <d v="2025-12-02T00:00:00"/>
    <m/>
    <d v="2025-12-11T00:00:00"/>
    <d v="2025-12-02T00:00:00"/>
    <d v="2025-12-18T00:00:00"/>
    <d v="2025-12-09T00:00:00"/>
    <m/>
  </r>
  <r>
    <n v="372"/>
    <x v="2"/>
    <x v="6"/>
    <x v="371"/>
    <x v="2"/>
    <s v="FIRST FLOOR TOILET-3  DETAIL"/>
    <s v="Shivangee"/>
    <d v="2025-11-15T00:00:00"/>
    <d v="2025-04-19T00:00:00"/>
    <x v="42"/>
    <d v="2025-12-02T00:00:00"/>
    <m/>
    <d v="2025-12-11T00:00:00"/>
    <d v="2025-12-02T00:00:00"/>
    <d v="2025-12-18T00:00:00"/>
    <d v="2025-12-09T00:00:00"/>
    <m/>
  </r>
  <r>
    <n v="373"/>
    <x v="2"/>
    <x v="6"/>
    <x v="372"/>
    <x v="2"/>
    <s v="FIRST FLOOR FLOORING LAYOUT"/>
    <s v="Shivangee"/>
    <d v="2025-11-04T00:00:00"/>
    <d v="2025-05-03T00:00:00"/>
    <x v="43"/>
    <d v="2025-11-20T00:00:00"/>
    <d v="2025-05-09T00:00:00"/>
    <d v="2025-11-15T00:00:00"/>
    <d v="2025-12-06T00:00:00"/>
    <d v="2025-11-22T00:00:00"/>
    <m/>
    <m/>
  </r>
  <r>
    <n v="374"/>
    <x v="2"/>
    <x v="6"/>
    <x v="373"/>
    <x v="2"/>
    <s v="FIRST FLOOR RCP "/>
    <s v="Shivangee"/>
    <d v="2025-05-24T00:00:00"/>
    <d v="2025-05-24T00:00:00"/>
    <x v="44"/>
    <d v="2025-06-10T00:00:00"/>
    <m/>
    <d v="2025-06-19T00:00:00"/>
    <d v="2026-04-20T00:00:00"/>
    <d v="2025-06-26T00:00:00"/>
    <m/>
    <m/>
  </r>
  <r>
    <n v="375"/>
    <x v="2"/>
    <x v="6"/>
    <x v="374"/>
    <x v="3"/>
    <s v="2ND FLOOR PLAN"/>
    <s v="Shivangee"/>
    <d v="2025-10-20T00:00:00"/>
    <d v="2025-03-03T00:00:00"/>
    <x v="41"/>
    <d v="2025-11-05T00:00:00"/>
    <d v="2025-03-26T00:00:00"/>
    <d v="2025-11-15T00:00:00"/>
    <d v="2025-11-12T00:00:00"/>
    <d v="2025-11-22T00:00:00"/>
    <m/>
    <m/>
  </r>
  <r>
    <n v="376"/>
    <x v="2"/>
    <x v="6"/>
    <x v="375"/>
    <x v="3"/>
    <s v="SECOND FLOOR FURNITURE LAYOUT"/>
    <s v="Shivangee"/>
    <d v="2025-10-20T00:00:00"/>
    <d v="2025-03-03T00:00:00"/>
    <x v="41"/>
    <d v="2025-11-05T00:00:00"/>
    <d v="2025-03-26T00:00:00"/>
    <d v="2025-11-15T00:00:00"/>
    <d v="2025-11-12T00:00:00"/>
    <d v="2025-11-22T00:00:00"/>
    <m/>
    <m/>
  </r>
  <r>
    <n v="377"/>
    <x v="2"/>
    <x v="6"/>
    <x v="376"/>
    <x v="3"/>
    <s v="2ND FLOOR PANTRY DETAIL"/>
    <s v="Shivangee"/>
    <d v="2025-12-05T00:00:00"/>
    <d v="2025-04-19T00:00:00"/>
    <x v="45"/>
    <d v="2025-12-23T00:00:00"/>
    <m/>
    <d v="2026-01-01T00:00:00"/>
    <d v="2025-09-12T00:00:00"/>
    <d v="2026-01-08T00:00:00"/>
    <m/>
    <m/>
  </r>
  <r>
    <n v="378"/>
    <x v="2"/>
    <x v="6"/>
    <x v="377"/>
    <x v="3"/>
    <s v="SECOND FLOOR TOILET-1  DETAIL"/>
    <s v="Shivangee"/>
    <d v="2025-11-15T00:00:00"/>
    <d v="2025-05-10T00:00:00"/>
    <x v="2"/>
    <d v="2025-12-02T00:00:00"/>
    <m/>
    <d v="2025-12-11T00:00:00"/>
    <d v="2025-12-09T00:00:00"/>
    <d v="2025-12-18T00:00:00"/>
    <d v="2025-12-09T00:00:00"/>
    <m/>
  </r>
  <r>
    <n v="379"/>
    <x v="2"/>
    <x v="6"/>
    <x v="378"/>
    <x v="3"/>
    <s v="SECOND FLOOR TOILET-2  DETAIL"/>
    <s v="Shivangee"/>
    <d v="2025-11-15T00:00:00"/>
    <d v="2025-05-10T00:00:00"/>
    <x v="2"/>
    <d v="2025-12-02T00:00:00"/>
    <m/>
    <d v="2025-12-11T00:00:00"/>
    <d v="2025-12-09T00:00:00"/>
    <d v="2025-12-18T00:00:00"/>
    <d v="2025-12-09T00:00:00"/>
    <m/>
  </r>
  <r>
    <n v="380"/>
    <x v="2"/>
    <x v="6"/>
    <x v="379"/>
    <x v="3"/>
    <s v="SECOND FLOOR TOILET-3  DETAIL"/>
    <s v="Shivangee"/>
    <d v="2025-11-15T00:00:00"/>
    <d v="2025-05-10T00:00:00"/>
    <x v="2"/>
    <d v="2025-12-02T00:00:00"/>
    <m/>
    <d v="2025-12-11T00:00:00"/>
    <d v="2025-12-09T00:00:00"/>
    <d v="2025-12-18T00:00:00"/>
    <d v="2025-12-09T00:00:00"/>
    <m/>
  </r>
  <r>
    <n v="381"/>
    <x v="2"/>
    <x v="6"/>
    <x v="380"/>
    <x v="3"/>
    <s v="SECOND FLOOR DOOR DETAILS SHEET 1"/>
    <s v="Shivangee"/>
    <d v="2025-05-10T00:00:00"/>
    <d v="2025-05-10T00:00:00"/>
    <x v="46"/>
    <d v="2025-05-27T00:00:00"/>
    <m/>
    <d v="2025-06-05T00:00:00"/>
    <d v="2025-12-09T00:00:00"/>
    <d v="2025-06-12T00:00:00"/>
    <m/>
    <m/>
  </r>
  <r>
    <n v="382"/>
    <x v="2"/>
    <x v="6"/>
    <x v="381"/>
    <x v="3"/>
    <s v="SECOND FLOOR DOOR DETAILS SHEET 2"/>
    <s v="Shivangee"/>
    <d v="2025-05-10T00:00:00"/>
    <d v="2025-05-10T00:00:00"/>
    <x v="46"/>
    <d v="2025-05-27T00:00:00"/>
    <m/>
    <d v="2025-06-05T00:00:00"/>
    <d v="2025-12-09T00:00:00"/>
    <d v="2025-06-12T00:00:00"/>
    <m/>
    <m/>
  </r>
  <r>
    <n v="383"/>
    <x v="2"/>
    <x v="6"/>
    <x v="382"/>
    <x v="3"/>
    <s v="SECOND FLOOR RCP "/>
    <s v="Shivangee"/>
    <d v="2025-12-04T00:00:00"/>
    <d v="2025-05-24T00:00:00"/>
    <x v="47"/>
    <d v="2025-12-22T00:00:00"/>
    <m/>
    <d v="2025-12-31T00:00:00"/>
    <d v="2026-04-20T00:00:00"/>
    <d v="2026-01-07T00:00:00"/>
    <m/>
    <m/>
  </r>
  <r>
    <n v="384"/>
    <x v="2"/>
    <x v="6"/>
    <x v="383"/>
    <x v="3"/>
    <s v="SECOND FLOOR FLOORING LAYOUT-1"/>
    <s v="Shivangee"/>
    <d v="2025-12-19T00:00:00"/>
    <d v="2025-12-19T00:00:00"/>
    <x v="48"/>
    <d v="2026-01-06T00:00:00"/>
    <m/>
    <d v="2025-12-26T00:00:00"/>
    <d v="2025-11-12T00:00:00"/>
    <d v="2026-01-02T00:00:00"/>
    <m/>
    <m/>
  </r>
  <r>
    <n v="385"/>
    <x v="2"/>
    <x v="6"/>
    <x v="384"/>
    <x v="3"/>
    <s v="SECOND FLOOR FLOORING LAYOUT-2"/>
    <s v="Shivangee"/>
    <d v="2025-12-19T00:00:00"/>
    <d v="2025-12-19T00:00:00"/>
    <x v="48"/>
    <d v="2026-01-06T00:00:00"/>
    <m/>
    <d v="2025-12-26T00:00:00"/>
    <d v="2025-11-12T00:00:00"/>
    <d v="2026-01-02T00:00:00"/>
    <m/>
    <m/>
  </r>
  <r>
    <n v="386"/>
    <x v="2"/>
    <x v="6"/>
    <x v="385"/>
    <x v="4"/>
    <s v="3RD FLOOR PLAN"/>
    <s v="Shivangee"/>
    <d v="2025-10-15T00:00:00"/>
    <d v="2025-03-03T00:00:00"/>
    <x v="49"/>
    <d v="2025-10-31T00:00:00"/>
    <d v="2025-03-26T00:00:00"/>
    <d v="2025-11-15T00:00:00"/>
    <d v="2025-10-22T00:00:00"/>
    <d v="2025-11-22T00:00:00"/>
    <d v="2025-11-18T00:00:00"/>
    <m/>
  </r>
  <r>
    <n v="387"/>
    <x v="2"/>
    <x v="6"/>
    <x v="386"/>
    <x v="4"/>
    <s v="THIRD FLOOR FURNITURE LAYOUT"/>
    <s v="Shivangee"/>
    <d v="2025-10-15T00:00:00"/>
    <d v="2025-03-03T00:00:00"/>
    <x v="49"/>
    <d v="2025-10-31T00:00:00"/>
    <d v="2025-03-26T00:00:00"/>
    <d v="2025-11-15T00:00:00"/>
    <d v="2025-10-22T00:00:00"/>
    <d v="2025-11-22T00:00:00"/>
    <d v="2025-11-18T00:00:00"/>
    <m/>
  </r>
  <r>
    <n v="388"/>
    <x v="2"/>
    <x v="6"/>
    <x v="387"/>
    <x v="4"/>
    <s v="THIRD FLOOR TOILET-1  DETAIL"/>
    <s v="Shivangee"/>
    <d v="2025-11-15T00:00:00"/>
    <d v="2025-05-10T00:00:00"/>
    <x v="35"/>
    <d v="2025-12-02T00:00:00"/>
    <m/>
    <d v="2025-12-11T00:00:00"/>
    <d v="2025-12-02T00:00:00"/>
    <d v="2025-12-18T00:00:00"/>
    <d v="2025-12-09T00:00:00"/>
    <s v="MEP Coordinated Drawing wih design inputs of fixtures and duct layouts"/>
  </r>
  <r>
    <n v="389"/>
    <x v="2"/>
    <x v="6"/>
    <x v="388"/>
    <x v="4"/>
    <s v="THIRD FLOOR TOILET-2  DETAIL"/>
    <s v="Shivangee"/>
    <d v="2025-11-15T00:00:00"/>
    <d v="2025-05-10T00:00:00"/>
    <x v="35"/>
    <d v="2025-12-02T00:00:00"/>
    <m/>
    <d v="2025-12-11T00:00:00"/>
    <d v="2025-12-02T00:00:00"/>
    <d v="2025-12-18T00:00:00"/>
    <d v="2025-12-09T00:00:00"/>
    <s v="MEP Coordinated Drawing wih design inputs of fixtures and duct layouts"/>
  </r>
  <r>
    <n v="390"/>
    <x v="2"/>
    <x v="6"/>
    <x v="389"/>
    <x v="4"/>
    <s v="THIRD FLOOR DOOR DETAILS SHEET 1"/>
    <s v="Shivangee"/>
    <d v="2025-05-10T00:00:00"/>
    <d v="2025-05-10T00:00:00"/>
    <x v="46"/>
    <d v="2025-05-27T00:00:00"/>
    <m/>
    <d v="2025-06-05T00:00:00"/>
    <d v="2025-12-09T00:00:00"/>
    <d v="2025-06-12T00:00:00"/>
    <m/>
    <m/>
  </r>
  <r>
    <n v="391"/>
    <x v="2"/>
    <x v="6"/>
    <x v="390"/>
    <x v="4"/>
    <s v="THIRD FLOOR DOOR DETAILS SHEET 2"/>
    <s v="Shivangee"/>
    <d v="2025-05-10T00:00:00"/>
    <d v="2025-05-10T00:00:00"/>
    <x v="46"/>
    <d v="2025-05-27T00:00:00"/>
    <m/>
    <d v="2025-06-05T00:00:00"/>
    <d v="2025-12-09T00:00:00"/>
    <d v="2025-06-12T00:00:00"/>
    <m/>
    <m/>
  </r>
  <r>
    <n v="392"/>
    <x v="2"/>
    <x v="6"/>
    <x v="391"/>
    <x v="4"/>
    <s v="THIRD FLOOR FLOORING LAYOUT"/>
    <s v="Shivangee"/>
    <d v="2025-05-31T00:00:00"/>
    <d v="2025-05-31T00:00:00"/>
    <x v="10"/>
    <d v="2025-06-17T00:00:00"/>
    <m/>
    <d v="2025-06-26T00:00:00"/>
    <d v="2025-11-12T00:00:00"/>
    <d v="2025-07-03T00:00:00"/>
    <m/>
    <m/>
  </r>
  <r>
    <n v="393"/>
    <x v="2"/>
    <x v="6"/>
    <x v="392"/>
    <x v="4"/>
    <s v="Interior Elevations- Third Floor General ward"/>
    <s v="Shivangee"/>
    <d v="2025-12-03T00:00:00"/>
    <d v="2025-07-05T00:00:00"/>
    <x v="50"/>
    <d v="2025-12-19T00:00:00"/>
    <m/>
    <d v="2025-12-30T00:00:00"/>
    <d v="2025-12-05T00:00:00"/>
    <d v="2026-01-06T00:00:00"/>
    <m/>
    <m/>
  </r>
  <r>
    <n v="394"/>
    <x v="2"/>
    <x v="6"/>
    <x v="393"/>
    <x v="4"/>
    <s v="THIRD FLOOR RCP "/>
    <s v="Shivangee"/>
    <d v="2025-12-08T00:00:00"/>
    <d v="2025-05-24T00:00:00"/>
    <x v="51"/>
    <d v="2025-12-24T00:00:00"/>
    <m/>
    <d v="2025-11-15T00:00:00"/>
    <d v="2026-04-20T00:00:00"/>
    <d v="2025-11-22T00:00:00"/>
    <m/>
    <m/>
  </r>
  <r>
    <n v="395"/>
    <x v="2"/>
    <x v="6"/>
    <x v="394"/>
    <x v="13"/>
    <s v="SECURITY ROOM 02- DETAILS"/>
    <s v="Shivangee"/>
    <d v="2025-12-31T00:00:00"/>
    <d v="2025-07-05T00:00:00"/>
    <x v="52"/>
    <d v="2026-01-16T00:00:00"/>
    <m/>
    <d v="2026-01-27T00:00:00"/>
    <d v="2026-05-15T00:00:00"/>
    <d v="2026-02-03T00:00:00"/>
    <m/>
    <m/>
  </r>
  <r>
    <n v="396"/>
    <x v="2"/>
    <x v="6"/>
    <x v="395"/>
    <x v="5"/>
    <s v="4TH FLOOR PLAN"/>
    <s v="Shivangee"/>
    <d v="2025-03-03T00:00:00"/>
    <d v="2025-03-03T00:00:00"/>
    <x v="29"/>
    <d v="2025-03-19T00:00:00"/>
    <d v="2025-03-26T00:00:00"/>
    <d v="2025-03-31T00:00:00"/>
    <d v="2025-03-28T00:00:00"/>
    <d v="2025-04-07T00:00:00"/>
    <d v="2025-08-08T00:00:00"/>
    <m/>
  </r>
  <r>
    <n v="397"/>
    <x v="2"/>
    <x v="6"/>
    <x v="396"/>
    <x v="5"/>
    <s v="FOURTH FLOOR FURNITURE LAYOUT"/>
    <s v="Shivangee"/>
    <d v="2025-03-03T00:00:00"/>
    <d v="2025-03-03T00:00:00"/>
    <x v="29"/>
    <d v="2025-03-19T00:00:00"/>
    <d v="2025-03-26T00:00:00"/>
    <d v="2025-03-31T00:00:00"/>
    <d v="2025-03-28T00:00:00"/>
    <d v="2025-04-07T00:00:00"/>
    <d v="2025-08-08T00:00:00"/>
    <m/>
  </r>
  <r>
    <n v="398"/>
    <x v="2"/>
    <x v="6"/>
    <x v="397"/>
    <x v="5"/>
    <s v="FOURTH FLOOR TOILET-1  DETAIL"/>
    <s v="Shivangee"/>
    <d v="2025-11-26T00:00:00"/>
    <d v="2025-05-10T00:00:00"/>
    <x v="50"/>
    <d v="2025-12-12T00:00:00"/>
    <m/>
    <d v="2025-12-23T00:00:00"/>
    <d v="2025-12-09T00:00:00"/>
    <d v="2025-12-30T00:00:00"/>
    <d v="2026-12-15T00:00:00"/>
    <m/>
  </r>
  <r>
    <n v="399"/>
    <x v="2"/>
    <x v="6"/>
    <x v="398"/>
    <x v="5"/>
    <s v="FOURTH FLOOR TOILET-2  DETAIL"/>
    <s v="Shivangee"/>
    <d v="2025-11-26T00:00:00"/>
    <d v="2025-05-10T00:00:00"/>
    <x v="50"/>
    <d v="2025-12-12T00:00:00"/>
    <m/>
    <d v="2025-12-23T00:00:00"/>
    <d v="2025-12-09T00:00:00"/>
    <d v="2025-12-30T00:00:00"/>
    <d v="2026-12-15T00:00:00"/>
    <m/>
  </r>
  <r>
    <n v="400"/>
    <x v="2"/>
    <x v="6"/>
    <x v="399"/>
    <x v="5"/>
    <s v="FOURTH FLOOR DOOR DETAILS SHEET 1"/>
    <s v="Shivangee"/>
    <d v="2025-05-10T00:00:00"/>
    <d v="2025-05-10T00:00:00"/>
    <x v="53"/>
    <d v="2025-05-27T00:00:00"/>
    <m/>
    <d v="2025-06-05T00:00:00"/>
    <d v="2025-12-09T00:00:00"/>
    <d v="2025-06-12T00:00:00"/>
    <m/>
    <m/>
  </r>
  <r>
    <n v="401"/>
    <x v="2"/>
    <x v="6"/>
    <x v="400"/>
    <x v="5"/>
    <s v="FOURTH FLOOR DOOR DETAILS SHEET 2"/>
    <s v="Shivangee"/>
    <d v="2025-05-10T00:00:00"/>
    <d v="2025-05-10T00:00:00"/>
    <x v="53"/>
    <d v="2025-05-27T00:00:00"/>
    <m/>
    <d v="2025-06-05T00:00:00"/>
    <d v="2025-12-09T00:00:00"/>
    <d v="2025-06-12T00:00:00"/>
    <m/>
    <m/>
  </r>
  <r>
    <n v="402"/>
    <x v="2"/>
    <x v="6"/>
    <x v="401"/>
    <x v="5"/>
    <s v="FOURTH FLOOR FLOORING LAYOUT"/>
    <s v="Shivangee"/>
    <d v="2025-11-28T00:00:00"/>
    <d v="2025-06-07T00:00:00"/>
    <x v="50"/>
    <d v="2025-12-16T00:00:00"/>
    <m/>
    <d v="2025-12-25T00:00:00"/>
    <d v="2025-12-02T00:00:00"/>
    <d v="2026-01-01T00:00:00"/>
    <m/>
    <m/>
  </r>
  <r>
    <n v="403"/>
    <x v="2"/>
    <x v="6"/>
    <x v="402"/>
    <x v="5"/>
    <s v="FOURTH FLOOR RCP "/>
    <s v="Shivangee"/>
    <d v="2025-11-28T00:00:00"/>
    <d v="2025-06-07T00:00:00"/>
    <x v="35"/>
    <d v="2025-12-16T00:00:00"/>
    <m/>
    <d v="2025-12-25T00:00:00"/>
    <d v="2025-12-06T00:00:00"/>
    <d v="2026-01-01T00:00:00"/>
    <m/>
    <m/>
  </r>
  <r>
    <n v="404"/>
    <x v="2"/>
    <x v="6"/>
    <x v="403"/>
    <x v="5"/>
    <s v="Interior Elevations- 4th Floor Change room"/>
    <s v="Shivangee"/>
    <d v="2025-12-30T00:00:00"/>
    <d v="2025-06-28T00:00:00"/>
    <x v="50"/>
    <d v="2026-01-15T00:00:00"/>
    <m/>
    <d v="2026-01-26T00:00:00"/>
    <d v="2025-10-05T00:00:00"/>
    <d v="2026-02-02T00:00:00"/>
    <d v="2025-11-01T00:00:00"/>
    <m/>
  </r>
  <r>
    <n v="405"/>
    <x v="2"/>
    <x v="6"/>
    <x v="404"/>
    <x v="6"/>
    <s v="5TH FLOOR PLAN"/>
    <s v="Shivangee"/>
    <d v="2025-03-03T00:00:00"/>
    <d v="2025-03-03T00:00:00"/>
    <x v="29"/>
    <d v="2025-03-19T00:00:00"/>
    <d v="2025-03-26T00:00:00"/>
    <d v="2025-03-31T00:00:00"/>
    <d v="2025-03-28T00:00:00"/>
    <d v="2025-04-07T00:00:00"/>
    <d v="2025-09-19T00:00:00"/>
    <m/>
  </r>
  <r>
    <n v="406"/>
    <x v="2"/>
    <x v="6"/>
    <x v="405"/>
    <x v="6"/>
    <s v="FIFTH FLOOR FURNITURE LAYOUT"/>
    <s v="Shivangee"/>
    <d v="2025-03-03T00:00:00"/>
    <d v="2025-03-03T00:00:00"/>
    <x v="29"/>
    <d v="2025-03-19T00:00:00"/>
    <d v="2025-03-26T00:00:00"/>
    <d v="2025-03-31T00:00:00"/>
    <d v="2025-03-28T00:00:00"/>
    <d v="2025-04-07T00:00:00"/>
    <d v="2025-09-19T00:00:00"/>
    <m/>
  </r>
  <r>
    <n v="407"/>
    <x v="2"/>
    <x v="6"/>
    <x v="406"/>
    <x v="6"/>
    <s v="FIFTH FLOOR TOILET-1  DETAIL"/>
    <s v="Shivangee"/>
    <d v="2025-11-28T00:00:00"/>
    <d v="2025-05-17T00:00:00"/>
    <x v="45"/>
    <d v="2025-12-16T00:00:00"/>
    <m/>
    <d v="2025-12-25T00:00:00"/>
    <d v="2025-09-12T00:00:00"/>
    <d v="2026-01-01T00:00:00"/>
    <d v="2026-12-15T00:00:00"/>
    <m/>
  </r>
  <r>
    <n v="408"/>
    <x v="2"/>
    <x v="6"/>
    <x v="407"/>
    <x v="6"/>
    <s v="FIFTH FLOOR TOILET-2  DETAIL"/>
    <s v="Shivangee"/>
    <d v="2025-11-28T00:00:00"/>
    <d v="2025-05-17T00:00:00"/>
    <x v="45"/>
    <d v="2025-12-16T00:00:00"/>
    <m/>
    <d v="2025-12-25T00:00:00"/>
    <d v="2025-09-12T00:00:00"/>
    <d v="2026-01-01T00:00:00"/>
    <d v="2026-12-15T00:00:00"/>
    <m/>
  </r>
  <r>
    <n v="409"/>
    <x v="2"/>
    <x v="6"/>
    <x v="408"/>
    <x v="6"/>
    <s v="FIFTH FLOOR TOILET-3  DETAIL"/>
    <s v="Shivangee"/>
    <d v="2025-11-28T00:00:00"/>
    <d v="2025-05-17T00:00:00"/>
    <x v="45"/>
    <d v="2025-12-16T00:00:00"/>
    <m/>
    <d v="2025-12-25T00:00:00"/>
    <d v="2025-09-12T00:00:00"/>
    <d v="2026-01-01T00:00:00"/>
    <d v="2026-12-15T00:00:00"/>
    <m/>
  </r>
  <r>
    <n v="410"/>
    <x v="2"/>
    <x v="6"/>
    <x v="409"/>
    <x v="6"/>
    <s v="FIFTH FLOOR DOOR DETAILS SHEET 1"/>
    <s v="Shivangee"/>
    <d v="2025-05-17T00:00:00"/>
    <d v="2025-05-17T00:00:00"/>
    <x v="54"/>
    <d v="2025-06-03T00:00:00"/>
    <m/>
    <d v="2025-06-12T00:00:00"/>
    <d v="2025-09-12T00:00:00"/>
    <d v="2025-06-19T00:00:00"/>
    <m/>
    <m/>
  </r>
  <r>
    <n v="411"/>
    <x v="2"/>
    <x v="6"/>
    <x v="410"/>
    <x v="6"/>
    <s v="FIFTH FLOOR DOOR DETAILS SHEET 2"/>
    <s v="Shivangee"/>
    <d v="2025-05-17T00:00:00"/>
    <d v="2025-05-17T00:00:00"/>
    <x v="54"/>
    <d v="2025-06-03T00:00:00"/>
    <m/>
    <d v="2025-06-12T00:00:00"/>
    <d v="2025-09-12T00:00:00"/>
    <d v="2025-06-19T00:00:00"/>
    <m/>
    <m/>
  </r>
  <r>
    <n v="412"/>
    <x v="2"/>
    <x v="6"/>
    <x v="411"/>
    <x v="6"/>
    <s v="FIFTH FLOOR PANTRY DETAIL(6TH,8TH  &amp; 9TH FLOOR SIMILAR)"/>
    <s v="Shivangee"/>
    <d v="2025-12-03T00:00:00"/>
    <d v="2025-05-17T00:00:00"/>
    <x v="45"/>
    <d v="2025-12-19T00:00:00"/>
    <m/>
    <d v="2025-12-30T00:00:00"/>
    <d v="2025-12-02T00:00:00"/>
    <d v="2026-01-06T00:00:00"/>
    <d v="2025-12-09T00:00:00"/>
    <m/>
  </r>
  <r>
    <n v="413"/>
    <x v="2"/>
    <x v="6"/>
    <x v="412"/>
    <x v="9"/>
    <s v="EIGTH FLOOR TOILET-1  DETAIL"/>
    <s v="Shivangee"/>
    <d v="2025-05-24T00:00:00"/>
    <d v="2025-05-24T00:00:00"/>
    <x v="55"/>
    <d v="2025-06-10T00:00:00"/>
    <m/>
    <d v="2025-06-19T00:00:00"/>
    <d v="2025-12-15T00:00:00"/>
    <d v="2025-06-26T00:00:00"/>
    <d v="2025-12-19T00:00:00"/>
    <m/>
  </r>
  <r>
    <n v="414"/>
    <x v="2"/>
    <x v="6"/>
    <x v="413"/>
    <x v="9"/>
    <s v="EIGTH FLOOR TOILET-2  DETAIL"/>
    <s v="Shivangee"/>
    <d v="2025-05-24T00:00:00"/>
    <d v="2025-05-24T00:00:00"/>
    <x v="55"/>
    <d v="2025-06-10T00:00:00"/>
    <m/>
    <d v="2025-06-19T00:00:00"/>
    <d v="2025-12-15T00:00:00"/>
    <d v="2025-06-26T00:00:00"/>
    <d v="2025-12-19T00:00:00"/>
    <m/>
  </r>
  <r>
    <n v="415"/>
    <x v="2"/>
    <x v="6"/>
    <x v="414"/>
    <x v="6"/>
    <s v="FIFTH FLOOR FLOORING LAYOUT"/>
    <s v="Shivangee"/>
    <d v="2025-05-24T00:00:00"/>
    <d v="2025-05-24T00:00:00"/>
    <x v="55"/>
    <d v="2025-06-10T00:00:00"/>
    <m/>
    <d v="2025-06-19T00:00:00"/>
    <d v="2025-07-02T00:00:00"/>
    <d v="2025-06-26T00:00:00"/>
    <d v="2025-11-01T00:00:00"/>
    <m/>
  </r>
  <r>
    <n v="416"/>
    <x v="2"/>
    <x v="6"/>
    <x v="415"/>
    <x v="6"/>
    <s v="Interior Elevations- consultant room"/>
    <s v="Shivangee"/>
    <d v="2025-06-28T00:00:00"/>
    <d v="2025-06-28T00:00:00"/>
    <x v="56"/>
    <d v="2025-07-15T00:00:00"/>
    <m/>
    <d v="2025-07-24T00:00:00"/>
    <d v="2025-07-02T00:00:00"/>
    <d v="2025-07-31T00:00:00"/>
    <d v="2025-11-18T00:00:00"/>
    <m/>
  </r>
  <r>
    <n v="417"/>
    <x v="2"/>
    <x v="6"/>
    <x v="416"/>
    <x v="6"/>
    <s v="FIFTH FLOOR FLOORING LAYOUT"/>
    <s v="Shivangee"/>
    <d v="2025-06-07T00:00:00"/>
    <d v="2025-06-07T00:00:00"/>
    <x v="55"/>
    <d v="2025-06-24T00:00:00"/>
    <m/>
    <d v="2025-07-03T00:00:00"/>
    <d v="2025-07-02T00:00:00"/>
    <d v="2025-07-10T00:00:00"/>
    <d v="2025-11-01T00:00:00"/>
    <m/>
  </r>
  <r>
    <n v="418"/>
    <x v="2"/>
    <x v="6"/>
    <x v="417"/>
    <x v="6"/>
    <s v="FIFTH FLOOR RCP "/>
    <s v="Shivangee"/>
    <d v="2025-12-10T00:00:00"/>
    <d v="2025-06-07T00:00:00"/>
    <x v="47"/>
    <d v="2025-12-26T00:00:00"/>
    <m/>
    <d v="2026-01-06T00:00:00"/>
    <d v="2026-04-20T00:00:00"/>
    <d v="2026-01-13T00:00:00"/>
    <m/>
    <m/>
  </r>
  <r>
    <n v="419"/>
    <x v="2"/>
    <x v="6"/>
    <x v="418"/>
    <x v="6"/>
    <s v="FIFTH FLOOR - ICU SHEET 1"/>
    <s v="Shivangee"/>
    <d v="2025-12-03T00:00:00"/>
    <m/>
    <x v="40"/>
    <d v="2025-12-19T00:00:00"/>
    <m/>
    <d v="2025-12-30T00:00:00"/>
    <d v="2026-04-20T00:00:00"/>
    <d v="2026-01-06T00:00:00"/>
    <m/>
    <m/>
  </r>
  <r>
    <n v="420"/>
    <x v="2"/>
    <x v="6"/>
    <x v="419"/>
    <x v="6"/>
    <s v="FIFTH FLOOR - ICU SHEET 2"/>
    <s v="Shivangee"/>
    <d v="2025-12-03T00:00:00"/>
    <m/>
    <x v="40"/>
    <d v="2025-12-19T00:00:00"/>
    <m/>
    <d v="2025-12-30T00:00:00"/>
    <d v="2026-04-20T00:00:00"/>
    <d v="2026-01-06T00:00:00"/>
    <m/>
    <m/>
  </r>
  <r>
    <n v="421"/>
    <x v="2"/>
    <x v="6"/>
    <x v="420"/>
    <x v="7"/>
    <s v="6TH  FLOOR PLAN"/>
    <s v="Shivangee"/>
    <d v="2025-03-03T00:00:00"/>
    <d v="2025-03-03T00:00:00"/>
    <x v="29"/>
    <d v="2025-03-19T00:00:00"/>
    <d v="2025-03-26T00:00:00"/>
    <d v="2025-03-31T00:00:00"/>
    <d v="2025-03-28T00:00:00"/>
    <d v="2025-04-07T00:00:00"/>
    <d v="2025-08-02T00:00:00"/>
    <m/>
  </r>
  <r>
    <n v="422"/>
    <x v="2"/>
    <x v="6"/>
    <x v="421"/>
    <x v="7"/>
    <s v="SIXTH FLOOR FURNITURE LAYOUT"/>
    <s v="Shivangee"/>
    <d v="2025-03-03T00:00:00"/>
    <d v="2025-03-03T00:00:00"/>
    <x v="29"/>
    <d v="2025-03-19T00:00:00"/>
    <d v="2025-03-26T00:00:00"/>
    <d v="2025-03-31T00:00:00"/>
    <d v="2025-03-28T00:00:00"/>
    <d v="2025-04-07T00:00:00"/>
    <d v="2025-08-02T00:00:00"/>
    <m/>
  </r>
  <r>
    <n v="423"/>
    <x v="2"/>
    <x v="6"/>
    <x v="422"/>
    <x v="7"/>
    <s v="SIXTH FLOOR TOILET-1  DETAIL"/>
    <s v="Shivangee"/>
    <d v="2025-12-05T00:00:00"/>
    <d v="2025-05-17T00:00:00"/>
    <x v="57"/>
    <d v="2025-12-23T00:00:00"/>
    <m/>
    <d v="2026-01-01T00:00:00"/>
    <d v="2025-09-12T00:00:00"/>
    <d v="2026-01-08T00:00:00"/>
    <d v="2026-12-15T00:00:00"/>
    <m/>
  </r>
  <r>
    <n v="424"/>
    <x v="2"/>
    <x v="6"/>
    <x v="423"/>
    <x v="7"/>
    <s v="SIXTH FLOOR TOILET-2  DETAIL"/>
    <s v="Shivangee"/>
    <d v="2025-12-05T00:00:00"/>
    <d v="2025-05-17T00:00:00"/>
    <x v="57"/>
    <d v="2025-12-23T00:00:00"/>
    <m/>
    <d v="2026-01-01T00:00:00"/>
    <d v="2025-09-12T00:00:00"/>
    <d v="2026-01-08T00:00:00"/>
    <d v="2026-12-15T00:00:00"/>
    <m/>
  </r>
  <r>
    <n v="425"/>
    <x v="2"/>
    <x v="6"/>
    <x v="424"/>
    <x v="7"/>
    <s v="SIXTH FLOOR TOILET-3  DETAIL"/>
    <s v="Shivangee"/>
    <d v="2025-12-05T00:00:00"/>
    <d v="2025-05-17T00:00:00"/>
    <x v="57"/>
    <d v="2025-12-23T00:00:00"/>
    <m/>
    <d v="2026-01-01T00:00:00"/>
    <d v="2025-09-12T00:00:00"/>
    <d v="2026-01-08T00:00:00"/>
    <d v="2026-12-15T00:00:00"/>
    <m/>
  </r>
  <r>
    <n v="426"/>
    <x v="2"/>
    <x v="6"/>
    <x v="425"/>
    <x v="7"/>
    <s v="SIXTH FLOOR DOOR DETAILS SHEET 1"/>
    <s v="Shivangee"/>
    <d v="2025-05-17T00:00:00"/>
    <d v="2025-05-17T00:00:00"/>
    <x v="58"/>
    <d v="2025-06-03T00:00:00"/>
    <m/>
    <d v="2025-06-12T00:00:00"/>
    <d v="2025-09-12T00:00:00"/>
    <d v="2025-06-19T00:00:00"/>
    <m/>
    <m/>
  </r>
  <r>
    <n v="427"/>
    <x v="2"/>
    <x v="6"/>
    <x v="426"/>
    <x v="7"/>
    <s v="SIXTH FLOOR DOOR DETAILS SHEET 2"/>
    <s v="Shivangee"/>
    <d v="2025-05-17T00:00:00"/>
    <d v="2025-05-17T00:00:00"/>
    <x v="58"/>
    <d v="2025-06-03T00:00:00"/>
    <m/>
    <d v="2025-06-12T00:00:00"/>
    <d v="2025-09-12T00:00:00"/>
    <d v="2025-06-19T00:00:00"/>
    <m/>
    <m/>
  </r>
  <r>
    <n v="428"/>
    <x v="2"/>
    <x v="6"/>
    <x v="427"/>
    <x v="7"/>
    <s v="SIXTH FLOOR FLOORING LAYOUT-1"/>
    <s v="Shivangee"/>
    <d v="2025-11-28T00:00:00"/>
    <d v="2025-06-14T00:00:00"/>
    <x v="59"/>
    <d v="2025-12-16T00:00:00"/>
    <m/>
    <d v="2025-12-25T00:00:00"/>
    <d v="2025-07-08T00:00:00"/>
    <d v="2026-01-01T00:00:00"/>
    <d v="2025-11-01T00:00:00"/>
    <m/>
  </r>
  <r>
    <n v="429"/>
    <x v="2"/>
    <x v="6"/>
    <x v="428"/>
    <x v="7"/>
    <s v="SIXTH FLOOR RCP "/>
    <s v="Shivangee"/>
    <d v="2025-12-11T00:00:00"/>
    <d v="2025-06-07T00:00:00"/>
    <x v="51"/>
    <d v="2025-12-29T00:00:00"/>
    <m/>
    <d v="2026-01-07T00:00:00"/>
    <d v="2026-04-20T00:00:00"/>
    <d v="2026-01-14T00:00:00"/>
    <m/>
    <m/>
  </r>
  <r>
    <n v="430"/>
    <x v="2"/>
    <x v="6"/>
    <x v="429"/>
    <x v="7"/>
    <s v="Interior Elevations- Sixth Floor single gynac room"/>
    <s v="Shivangee"/>
    <d v="2025-12-05T00:00:00"/>
    <d v="2025-07-12T00:00:00"/>
    <x v="40"/>
    <d v="2025-12-23T00:00:00"/>
    <m/>
    <d v="2026-01-01T00:00:00"/>
    <d v="2025-12-09T00:00:00"/>
    <d v="2026-01-08T00:00:00"/>
    <m/>
    <m/>
  </r>
  <r>
    <n v="431"/>
    <x v="2"/>
    <x v="6"/>
    <x v="430"/>
    <x v="7"/>
    <s v="SIXTH FLOOR FLOORING LAYOUT-2"/>
    <s v="Shivangee"/>
    <d v="2025-11-28T00:00:00"/>
    <d v="2025-06-21T00:00:00"/>
    <x v="59"/>
    <d v="2025-12-16T00:00:00"/>
    <m/>
    <d v="2025-12-25T00:00:00"/>
    <d v="2025-07-08T00:00:00"/>
    <d v="2026-01-01T00:00:00"/>
    <d v="2025-11-01T00:00:00"/>
    <m/>
  </r>
  <r>
    <n v="432"/>
    <x v="2"/>
    <x v="6"/>
    <x v="431"/>
    <x v="7"/>
    <s v="Interior Elevation Sixth Floor Double Room"/>
    <s v="Shivangee"/>
    <d v="2025-12-05T00:00:00"/>
    <d v="2025-06-28T00:00:00"/>
    <x v="40"/>
    <d v="2025-12-23T00:00:00"/>
    <m/>
    <d v="2025-11-15T00:00:00"/>
    <d v="2025-12-09T00:00:00"/>
    <d v="2025-11-22T00:00:00"/>
    <m/>
    <m/>
  </r>
  <r>
    <n v="433"/>
    <x v="2"/>
    <x v="6"/>
    <x v="432"/>
    <x v="7"/>
    <s v="SIXTH FLOOR - PAEDIATRIC WARD"/>
    <m/>
    <d v="2025-12-05T00:00:00"/>
    <m/>
    <x v="40"/>
    <d v="2025-12-23T00:00:00"/>
    <m/>
    <d v="2026-01-01T00:00:00"/>
    <d v="2026-01-09T00:00:00"/>
    <d v="2026-01-08T00:00:00"/>
    <m/>
    <m/>
  </r>
  <r>
    <n v="434"/>
    <x v="2"/>
    <x v="6"/>
    <x v="433"/>
    <x v="8"/>
    <s v="7TH FLOOR PLAN "/>
    <s v="Shivangee"/>
    <d v="2025-03-03T00:00:00"/>
    <d v="2025-03-03T00:00:00"/>
    <x v="29"/>
    <d v="2025-03-19T00:00:00"/>
    <d v="2025-03-26T00:00:00"/>
    <d v="2025-03-31T00:00:00"/>
    <d v="2025-03-28T00:00:00"/>
    <d v="2025-04-07T00:00:00"/>
    <d v="2025-08-02T00:00:00"/>
    <m/>
  </r>
  <r>
    <n v="435"/>
    <x v="2"/>
    <x v="6"/>
    <x v="434"/>
    <x v="8"/>
    <s v="SEVENTH FLOOR FURNITURE LAYOUT"/>
    <s v="Shivangee"/>
    <d v="2025-03-03T00:00:00"/>
    <d v="2025-03-03T00:00:00"/>
    <x v="29"/>
    <d v="2025-03-19T00:00:00"/>
    <d v="2025-03-26T00:00:00"/>
    <d v="2025-03-31T00:00:00"/>
    <d v="2025-03-28T00:00:00"/>
    <d v="2025-04-07T00:00:00"/>
    <d v="2025-08-02T00:00:00"/>
    <m/>
  </r>
  <r>
    <n v="436"/>
    <x v="2"/>
    <x v="6"/>
    <x v="435"/>
    <x v="8"/>
    <s v="SEVENTH FLOOR TOILET-1  DETAIL"/>
    <s v="Shivangee"/>
    <d v="2025-12-10T00:00:00"/>
    <d v="2025-05-17T00:00:00"/>
    <x v="39"/>
    <d v="2025-12-26T00:00:00"/>
    <m/>
    <d v="2026-01-06T00:00:00"/>
    <d v="2026-01-09T00:00:00"/>
    <d v="2026-01-13T00:00:00"/>
    <d v="2026-12-27T00:00:00"/>
    <m/>
  </r>
  <r>
    <n v="437"/>
    <x v="2"/>
    <x v="6"/>
    <x v="436"/>
    <x v="8"/>
    <s v="SEVENTH FLOOR DOOR DETAILS SHEET 1"/>
    <s v="Shivangee"/>
    <d v="2025-12-10T00:00:00"/>
    <d v="2025-05-17T00:00:00"/>
    <x v="60"/>
    <d v="2025-12-26T00:00:00"/>
    <m/>
    <d v="2026-01-06T00:00:00"/>
    <d v="2025-09-12T00:00:00"/>
    <d v="2026-01-13T00:00:00"/>
    <m/>
    <m/>
  </r>
  <r>
    <n v="438"/>
    <x v="2"/>
    <x v="6"/>
    <x v="437"/>
    <x v="8"/>
    <s v="SEVENTH FLOOR DOOR DETAILS SHEET 2"/>
    <s v="Shivangee"/>
    <d v="2025-12-10T00:00:00"/>
    <d v="2025-05-17T00:00:00"/>
    <x v="60"/>
    <d v="2025-12-26T00:00:00"/>
    <m/>
    <d v="2026-01-06T00:00:00"/>
    <d v="2025-09-12T00:00:00"/>
    <d v="2026-01-13T00:00:00"/>
    <m/>
    <m/>
  </r>
  <r>
    <n v="439"/>
    <x v="2"/>
    <x v="6"/>
    <x v="438"/>
    <x v="8"/>
    <s v="7TH FLOOR PANTRY DETAIL"/>
    <s v="Shivangee"/>
    <d v="2025-12-10T00:00:00"/>
    <d v="2025-05-24T00:00:00"/>
    <x v="39"/>
    <d v="2025-12-26T00:00:00"/>
    <m/>
    <d v="2026-01-06T00:00:00"/>
    <d v="2025-12-09T00:00:00"/>
    <d v="2026-01-13T00:00:00"/>
    <d v="2026-12-15T00:00:00"/>
    <m/>
  </r>
  <r>
    <n v="440"/>
    <x v="2"/>
    <x v="6"/>
    <x v="439"/>
    <x v="8"/>
    <s v="Interior Elevations- Basement Consultant Room"/>
    <s v="Shivangee"/>
    <d v="2025-08-02T00:00:00"/>
    <d v="2025-06-07T00:00:00"/>
    <x v="61"/>
    <d v="2025-08-19T00:00:00"/>
    <m/>
    <d v="2025-08-28T00:00:00"/>
    <d v="2025-08-16T00:00:00"/>
    <d v="2025-09-04T00:00:00"/>
    <d v="2025-11-01T00:00:00"/>
    <m/>
  </r>
  <r>
    <n v="441"/>
    <x v="2"/>
    <x v="6"/>
    <x v="440"/>
    <x v="8"/>
    <s v="SEVENTH FLOOR FLOORING LAYOUT"/>
    <s v="Shivangee"/>
    <d v="2025-12-10T00:00:00"/>
    <d v="2025-06-14T00:00:00"/>
    <x v="62"/>
    <d v="2025-12-26T00:00:00"/>
    <m/>
    <d v="2026-01-06T00:00:00"/>
    <d v="2025-12-09T00:00:00"/>
    <d v="2026-01-13T00:00:00"/>
    <m/>
    <m/>
  </r>
  <r>
    <n v="442"/>
    <x v="2"/>
    <x v="6"/>
    <x v="441"/>
    <x v="8"/>
    <s v="SEVENTH FLOOR RCP "/>
    <s v="Shivangee"/>
    <d v="2025-12-12T00:00:00"/>
    <d v="2025-06-14T00:00:00"/>
    <x v="51"/>
    <d v="2025-12-30T00:00:00"/>
    <m/>
    <d v="2026-01-08T00:00:00"/>
    <d v="2026-04-20T00:00:00"/>
    <d v="2026-01-15T00:00:00"/>
    <m/>
    <m/>
  </r>
  <r>
    <n v="443"/>
    <x v="2"/>
    <x v="6"/>
    <x v="442"/>
    <x v="8"/>
    <s v="Interior Elevations- Seventh Floor Auditorium details"/>
    <s v="Shivangee"/>
    <d v="2025-12-09T00:00:00"/>
    <d v="2025-07-12T00:00:00"/>
    <x v="63"/>
    <d v="2025-12-25T00:00:00"/>
    <m/>
    <d v="2026-01-05T00:00:00"/>
    <d v="2025-12-09T00:00:00"/>
    <d v="2026-01-12T00:00:00"/>
    <m/>
    <m/>
  </r>
  <r>
    <n v="444"/>
    <x v="2"/>
    <x v="6"/>
    <x v="443"/>
    <x v="8"/>
    <s v="Interior Elevations- Seventh Floor Library details"/>
    <s v="Shivangee"/>
    <d v="2025-12-09T00:00:00"/>
    <d v="2025-07-12T00:00:00"/>
    <x v="62"/>
    <d v="2025-12-25T00:00:00"/>
    <m/>
    <d v="2026-01-05T00:00:00"/>
    <d v="2025-12-09T00:00:00"/>
    <d v="2026-01-12T00:00:00"/>
    <m/>
    <m/>
  </r>
  <r>
    <n v="445"/>
    <x v="2"/>
    <x v="6"/>
    <x v="444"/>
    <x v="8"/>
    <s v="SEVENTH FLOOR -STAFF DINING"/>
    <s v="Shivangee"/>
    <d v="2025-12-09T00:00:00"/>
    <m/>
    <x v="62"/>
    <d v="2025-12-25T00:00:00"/>
    <m/>
    <d v="2026-01-05T00:00:00"/>
    <d v="2026-01-09T00:00:00"/>
    <d v="2026-01-12T00:00:00"/>
    <m/>
    <m/>
  </r>
  <r>
    <n v="446"/>
    <x v="2"/>
    <x v="6"/>
    <x v="445"/>
    <x v="9"/>
    <s v="8TH FLOOR PLAN"/>
    <s v="Shivangee"/>
    <d v="2025-03-03T00:00:00"/>
    <d v="2025-03-03T00:00:00"/>
    <x v="29"/>
    <d v="2025-03-19T00:00:00"/>
    <d v="2025-03-26T00:00:00"/>
    <d v="2025-03-31T00:00:00"/>
    <d v="2025-03-28T00:00:00"/>
    <d v="2025-04-07T00:00:00"/>
    <m/>
    <m/>
  </r>
  <r>
    <n v="447"/>
    <x v="2"/>
    <x v="6"/>
    <x v="446"/>
    <x v="9"/>
    <s v="EIGTH FLOOR FURNITURE LAYOUT"/>
    <s v="Shivangee"/>
    <d v="2025-03-03T00:00:00"/>
    <d v="2025-03-03T00:00:00"/>
    <x v="29"/>
    <d v="2025-03-19T00:00:00"/>
    <d v="2025-03-26T00:00:00"/>
    <d v="2025-03-31T00:00:00"/>
    <d v="2025-03-28T00:00:00"/>
    <d v="2025-04-07T00:00:00"/>
    <m/>
    <m/>
  </r>
  <r>
    <n v="448"/>
    <x v="2"/>
    <x v="6"/>
    <x v="447"/>
    <x v="9"/>
    <s v="EIGHTH FLOOR DOOR DETAILS SHEET 1"/>
    <s v="Shivangee"/>
    <d v="2025-05-24T00:00:00"/>
    <d v="2025-05-24T00:00:00"/>
    <x v="26"/>
    <d v="2025-06-10T00:00:00"/>
    <m/>
    <d v="2025-06-19T00:00:00"/>
    <d v="2025-12-09T00:00:00"/>
    <d v="2025-06-26T00:00:00"/>
    <m/>
    <m/>
  </r>
  <r>
    <n v="449"/>
    <x v="2"/>
    <x v="6"/>
    <x v="448"/>
    <x v="9"/>
    <s v="EIGHTH FLOOR DOOR DETAILS SHEET 2"/>
    <s v="Shivangee"/>
    <d v="2025-05-24T00:00:00"/>
    <d v="2025-05-24T00:00:00"/>
    <x v="26"/>
    <d v="2025-06-10T00:00:00"/>
    <m/>
    <d v="2025-06-19T00:00:00"/>
    <d v="2025-12-09T00:00:00"/>
    <d v="2025-06-26T00:00:00"/>
    <m/>
    <m/>
  </r>
  <r>
    <n v="450"/>
    <x v="2"/>
    <x v="6"/>
    <x v="449"/>
    <x v="9"/>
    <s v="RAILING DETAILS"/>
    <s v="Shivangee"/>
    <d v="2025-06-14T00:00:00"/>
    <d v="2025-06-14T00:00:00"/>
    <x v="64"/>
    <d v="2025-07-01T00:00:00"/>
    <m/>
    <d v="2025-07-10T00:00:00"/>
    <d v="2025-08-16T00:00:00"/>
    <d v="2025-07-17T00:00:00"/>
    <m/>
    <m/>
  </r>
  <r>
    <n v="451"/>
    <x v="2"/>
    <x v="6"/>
    <x v="450"/>
    <x v="9"/>
    <s v="EIGTH FLOOR FLOORING LAYOUT"/>
    <s v="Shivangee"/>
    <d v="2025-12-16T00:00:00"/>
    <d v="2025-06-14T00:00:00"/>
    <x v="39"/>
    <d v="2026-01-01T00:00:00"/>
    <m/>
    <d v="2026-01-12T00:00:00"/>
    <d v="2025-12-09T00:00:00"/>
    <d v="2026-01-19T00:00:00"/>
    <d v="2025-12-15T00:00:00"/>
    <m/>
  </r>
  <r>
    <n v="452"/>
    <x v="2"/>
    <x v="6"/>
    <x v="451"/>
    <x v="9"/>
    <s v="EIGHTH FLOOR RCP"/>
    <s v="Shivangee"/>
    <d v="2025-12-17T00:00:00"/>
    <d v="2025-06-21T00:00:00"/>
    <x v="47"/>
    <d v="2026-01-02T00:00:00"/>
    <m/>
    <d v="2025-11-15T00:00:00"/>
    <d v="2026-04-20T00:00:00"/>
    <d v="2025-11-22T00:00:00"/>
    <m/>
    <m/>
  </r>
  <r>
    <n v="453"/>
    <x v="2"/>
    <x v="6"/>
    <x v="452"/>
    <x v="9"/>
    <s v="Interior Elevation Eight Floor Single Room"/>
    <s v="Shivangee"/>
    <d v="2025-12-16T00:00:00"/>
    <d v="2025-06-28T00:00:00"/>
    <x v="65"/>
    <d v="2026-01-01T00:00:00"/>
    <m/>
    <d v="2025-11-15T00:00:00"/>
    <d v="2025-12-15T00:00:00"/>
    <d v="2025-11-22T00:00:00"/>
    <d v="2025-12-19T00:00:00"/>
    <m/>
  </r>
  <r>
    <n v="454"/>
    <x v="2"/>
    <x v="6"/>
    <x v="453"/>
    <x v="9"/>
    <s v="Interior Elevation Eight Floor Junior Suite Room-1"/>
    <s v="Shivangee"/>
    <d v="2025-12-16T00:00:00"/>
    <d v="2025-06-28T00:00:00"/>
    <x v="65"/>
    <d v="2026-01-01T00:00:00"/>
    <m/>
    <d v="2025-11-15T00:00:00"/>
    <d v="2025-12-15T00:00:00"/>
    <d v="2025-11-22T00:00:00"/>
    <d v="2025-12-19T00:00:00"/>
    <m/>
  </r>
  <r>
    <n v="455"/>
    <x v="2"/>
    <x v="6"/>
    <x v="454"/>
    <x v="16"/>
    <s v="General Wall Fixing Detail"/>
    <s v="Shivangee"/>
    <d v="2025-12-16T00:00:00"/>
    <d v="2025-06-28T00:00:00"/>
    <x v="66"/>
    <d v="2026-01-01T00:00:00"/>
    <m/>
    <d v="2025-11-15T00:00:00"/>
    <d v="2025-12-15T00:00:00"/>
    <d v="2025-11-22T00:00:00"/>
    <m/>
    <m/>
  </r>
  <r>
    <n v="456"/>
    <x v="2"/>
    <x v="6"/>
    <x v="455"/>
    <x v="9"/>
    <s v="Interior Elevation Eight Floor Suite Room"/>
    <s v="Shivangee"/>
    <d v="2025-12-16T00:00:00"/>
    <d v="2025-06-28T00:00:00"/>
    <x v="67"/>
    <d v="2026-01-01T00:00:00"/>
    <m/>
    <d v="2026-01-12T00:00:00"/>
    <d v="2026-04-20T00:00:00"/>
    <d v="2026-01-19T00:00:00"/>
    <m/>
    <m/>
  </r>
  <r>
    <n v="457"/>
    <x v="2"/>
    <x v="6"/>
    <x v="456"/>
    <x v="9"/>
    <s v="EIGHTH FLOOR TOILET DETAIL SHEET 1"/>
    <s v="Shivangee"/>
    <d v="2025-12-16T00:00:00"/>
    <m/>
    <x v="39"/>
    <d v="2026-01-01T00:00:00"/>
    <m/>
    <d v="2026-01-12T00:00:00"/>
    <d v="2025-12-09T00:00:00"/>
    <d v="2026-01-19T00:00:00"/>
    <d v="2025-12-19T00:00:00"/>
    <m/>
  </r>
  <r>
    <n v="458"/>
    <x v="2"/>
    <x v="6"/>
    <x v="457"/>
    <x v="17"/>
    <s v="ABOVE ROOF PLAN &amp; PART SECTIONS"/>
    <s v="Shivangee"/>
    <d v="2025-12-16T00:00:00"/>
    <m/>
    <x v="68"/>
    <d v="2026-01-01T00:00:00"/>
    <m/>
    <d v="2026-01-12T00:00:00"/>
    <d v="2026-04-20T00:00:00"/>
    <d v="2026-01-19T00:00:00"/>
    <m/>
    <m/>
  </r>
  <r>
    <n v="459"/>
    <x v="2"/>
    <x v="6"/>
    <x v="458"/>
    <x v="10"/>
    <s v="9TH FLOOR PLAN"/>
    <s v="Shivangee"/>
    <d v="2025-03-03T00:00:00"/>
    <d v="2025-03-03T00:00:00"/>
    <x v="29"/>
    <d v="2025-03-19T00:00:00"/>
    <d v="2025-03-26T00:00:00"/>
    <d v="2025-03-31T00:00:00"/>
    <d v="2025-03-28T00:00:00"/>
    <d v="2025-04-07T00:00:00"/>
    <m/>
    <m/>
  </r>
  <r>
    <n v="460"/>
    <x v="2"/>
    <x v="6"/>
    <x v="459"/>
    <x v="10"/>
    <s v="NINTH FLOOR FURNITURE LAYOUT"/>
    <s v="Shivangee"/>
    <d v="2025-03-03T00:00:00"/>
    <d v="2025-03-03T00:00:00"/>
    <x v="29"/>
    <d v="2025-03-19T00:00:00"/>
    <d v="2025-03-26T00:00:00"/>
    <d v="2025-03-31T00:00:00"/>
    <d v="2025-03-28T00:00:00"/>
    <d v="2025-04-07T00:00:00"/>
    <m/>
    <m/>
  </r>
  <r>
    <n v="461"/>
    <x v="2"/>
    <x v="6"/>
    <x v="460"/>
    <x v="10"/>
    <s v="NINTH FLOOR TOILET-1  DETAIL"/>
    <s v="Shivangee"/>
    <d v="2025-12-19T00:00:00"/>
    <d v="2025-05-24T00:00:00"/>
    <x v="36"/>
    <d v="2026-01-06T00:00:00"/>
    <m/>
    <d v="2026-01-15T00:00:00"/>
    <d v="2025-12-18T00:00:00"/>
    <d v="2026-01-22T00:00:00"/>
    <d v="2025-12-19T00:00:00"/>
    <m/>
  </r>
  <r>
    <n v="462"/>
    <x v="1"/>
    <x v="6"/>
    <x v="461"/>
    <x v="10"/>
    <s v="NINTH FLOOR TOILET-2  DETAIL"/>
    <s v="Shivangee"/>
    <d v="2025-12-19T00:00:00"/>
    <d v="2025-05-24T00:00:00"/>
    <x v="65"/>
    <d v="2026-01-06T00:00:00"/>
    <m/>
    <d v="2026-01-15T00:00:00"/>
    <d v="2025-12-18T00:00:00"/>
    <d v="2026-01-22T00:00:00"/>
    <d v="2025-12-19T00:00:00"/>
    <s v="MEP Coordinated Drawing wih design inputs of fixtures and duct layouts"/>
  </r>
  <r>
    <n v="463"/>
    <x v="1"/>
    <x v="6"/>
    <x v="462"/>
    <x v="10"/>
    <s v="NINTH FLOOR DOOR DETAILS SHEET 1"/>
    <s v="Shivangee"/>
    <d v="2025-05-31T00:00:00"/>
    <d v="2025-05-31T00:00:00"/>
    <x v="6"/>
    <d v="2025-06-17T00:00:00"/>
    <m/>
    <d v="2025-06-26T00:00:00"/>
    <d v="2025-12-09T00:00:00"/>
    <d v="2025-07-03T00:00:00"/>
    <m/>
    <s v="MEP Coordinated Drawing wih design inputs of fixtures and duct layouts"/>
  </r>
  <r>
    <n v="464"/>
    <x v="1"/>
    <x v="6"/>
    <x v="463"/>
    <x v="10"/>
    <s v="NINTH FLOOR DOOR DETAILS SHEET 2"/>
    <s v="Shivangee"/>
    <d v="2025-05-31T00:00:00"/>
    <d v="2025-05-31T00:00:00"/>
    <x v="6"/>
    <d v="2025-06-17T00:00:00"/>
    <m/>
    <d v="2025-06-26T00:00:00"/>
    <d v="2025-12-09T00:00:00"/>
    <d v="2025-07-03T00:00:00"/>
    <m/>
    <s v="MEP Coordinated Drawing wih design inputs of fixtures and duct layouts"/>
  </r>
  <r>
    <n v="465"/>
    <x v="1"/>
    <x v="6"/>
    <x v="464"/>
    <x v="10"/>
    <s v="NINTH FLOOR RCP"/>
    <s v="Shivangee"/>
    <d v="2025-12-22T00:00:00"/>
    <d v="2025-06-21T00:00:00"/>
    <x v="69"/>
    <d v="2026-01-07T00:00:00"/>
    <m/>
    <d v="2025-11-15T00:00:00"/>
    <d v="2026-04-20T00:00:00"/>
    <d v="2025-11-22T00:00:00"/>
    <m/>
    <m/>
  </r>
  <r>
    <n v="466"/>
    <x v="1"/>
    <x v="6"/>
    <x v="465"/>
    <x v="10"/>
    <s v="NINTH FLOOR FLOORING LAYOUT"/>
    <m/>
    <d v="2025-12-19T00:00:00"/>
    <m/>
    <x v="65"/>
    <d v="2026-01-06T00:00:00"/>
    <m/>
    <d v="2026-01-15T00:00:00"/>
    <d v="2025-12-15T00:00:00"/>
    <d v="2026-01-22T00:00:00"/>
    <d v="2025-12-19T00:00:00"/>
    <m/>
  </r>
  <r>
    <n v="467"/>
    <x v="1"/>
    <x v="6"/>
    <x v="466"/>
    <x v="11"/>
    <s v="10TH FLOOR PLAN"/>
    <s v="Shivangee"/>
    <d v="2025-12-21T00:00:00"/>
    <d v="2025-03-03T00:00:00"/>
    <x v="29"/>
    <d v="2026-01-06T00:00:00"/>
    <d v="2025-03-26T00:00:00"/>
    <d v="2025-03-31T00:00:00"/>
    <d v="2025-03-28T00:00:00"/>
    <d v="2025-04-07T00:00:00"/>
    <m/>
    <m/>
  </r>
  <r>
    <n v="468"/>
    <x v="1"/>
    <x v="6"/>
    <x v="467"/>
    <x v="11"/>
    <s v="TENTH FLOOR FURNITURE LAYOUT"/>
    <s v="Shivangee"/>
    <d v="2025-03-03T00:00:00"/>
    <d v="2025-03-03T00:00:00"/>
    <x v="29"/>
    <d v="2025-03-19T00:00:00"/>
    <d v="2025-03-26T00:00:00"/>
    <d v="2025-03-31T00:00:00"/>
    <d v="2025-03-28T00:00:00"/>
    <d v="2025-04-07T00:00:00"/>
    <m/>
    <m/>
  </r>
  <r>
    <n v="469"/>
    <x v="1"/>
    <x v="6"/>
    <x v="468"/>
    <x v="11"/>
    <s v="10TH FLOOR PANTRY-1  DETAIL"/>
    <s v="Shivangee"/>
    <d v="2025-12-29T00:00:00"/>
    <d v="2025-06-21T00:00:00"/>
    <x v="65"/>
    <d v="2026-01-14T00:00:00"/>
    <m/>
    <d v="2026-01-23T00:00:00"/>
    <d v="2025-12-15T00:00:00"/>
    <d v="2026-01-30T00:00:00"/>
    <d v="2025-12-27T00:00:00"/>
    <m/>
  </r>
  <r>
    <n v="470"/>
    <x v="1"/>
    <x v="6"/>
    <x v="469"/>
    <x v="11"/>
    <s v="TENTH FLOOR TOILET-1 DETAIL"/>
    <s v="Shivangee"/>
    <d v="2025-12-29T00:00:00"/>
    <d v="2025-06-21T00:00:00"/>
    <x v="65"/>
    <d v="2026-01-14T00:00:00"/>
    <m/>
    <d v="2026-01-23T00:00:00"/>
    <d v="2025-12-15T00:00:00"/>
    <d v="2026-01-30T00:00:00"/>
    <d v="2025-12-27T00:00:00"/>
    <m/>
  </r>
  <r>
    <n v="471"/>
    <x v="1"/>
    <x v="6"/>
    <x v="470"/>
    <x v="11"/>
    <s v="TENTH FLOOR TOILET-2 DETAIL"/>
    <s v="Shivangee"/>
    <d v="2025-12-29T00:00:00"/>
    <d v="2025-06-21T00:00:00"/>
    <x v="65"/>
    <d v="2026-01-14T00:00:00"/>
    <m/>
    <d v="2026-01-23T00:00:00"/>
    <d v="2025-12-15T00:00:00"/>
    <d v="2026-01-30T00:00:00"/>
    <d v="2025-12-27T00:00:00"/>
    <m/>
  </r>
  <r>
    <n v="472"/>
    <x v="1"/>
    <x v="6"/>
    <x v="471"/>
    <x v="11"/>
    <s v="TENTH FLOOR DOOR DETAILS SHEET 1"/>
    <s v="Shivangee"/>
    <d v="2025-06-21T00:00:00"/>
    <d v="2025-06-21T00:00:00"/>
    <x v="70"/>
    <d v="2025-07-08T00:00:00"/>
    <m/>
    <d v="2025-07-17T00:00:00"/>
    <d v="2025-12-09T00:00:00"/>
    <d v="2025-07-24T00:00:00"/>
    <m/>
    <m/>
  </r>
  <r>
    <n v="473"/>
    <x v="1"/>
    <x v="6"/>
    <x v="472"/>
    <x v="11"/>
    <s v="TENTH FLOOR DOOR DETAILS SHEET 2"/>
    <s v="Shivangee"/>
    <d v="2025-06-21T00:00:00"/>
    <d v="2025-06-21T00:00:00"/>
    <x v="70"/>
    <d v="2025-07-08T00:00:00"/>
    <m/>
    <d v="2025-07-17T00:00:00"/>
    <d v="2025-12-09T00:00:00"/>
    <d v="2025-07-24T00:00:00"/>
    <m/>
    <m/>
  </r>
  <r>
    <n v="474"/>
    <x v="1"/>
    <x v="6"/>
    <x v="473"/>
    <x v="11"/>
    <s v="TENTH FLOOR RCP"/>
    <s v="Shivangee"/>
    <d v="2025-12-29T00:00:00"/>
    <d v="2025-06-21T00:00:00"/>
    <x v="47"/>
    <d v="2026-01-14T00:00:00"/>
    <m/>
    <d v="2026-01-23T00:00:00"/>
    <d v="2026-04-20T00:00:00"/>
    <d v="2026-01-30T00:00:00"/>
    <m/>
    <s v="MEP Coordinated Drawing wih design inputs of fixtures and duct layouts"/>
  </r>
  <r>
    <n v="475"/>
    <x v="1"/>
    <x v="6"/>
    <x v="474"/>
    <x v="11"/>
    <s v="TENTH FLOOR FLOORING LAYOUT"/>
    <s v="Shivangee"/>
    <d v="2025-12-29T00:00:00"/>
    <d v="2025-06-21T00:00:00"/>
    <x v="71"/>
    <d v="2026-01-14T00:00:00"/>
    <m/>
    <d v="2026-01-23T00:00:00"/>
    <d v="2025-12-09T00:00:00"/>
    <d v="2026-01-30T00:00:00"/>
    <d v="2025-12-27T00:00:00"/>
    <m/>
  </r>
  <r>
    <n v="476"/>
    <x v="1"/>
    <x v="6"/>
    <x v="475"/>
    <x v="11"/>
    <s v="TENTH FLOOR TOILET-3 DETAIL"/>
    <m/>
    <d v="2025-12-29T00:00:00"/>
    <m/>
    <x v="65"/>
    <d v="2026-01-14T00:00:00"/>
    <m/>
    <d v="2026-01-23T00:00:00"/>
    <d v="2025-12-15T00:00:00"/>
    <d v="2026-01-30T00:00:00"/>
    <d v="2025-12-27T00:00:00"/>
    <m/>
  </r>
  <r>
    <n v="477"/>
    <x v="1"/>
    <x v="6"/>
    <x v="476"/>
    <x v="11"/>
    <s v="TENTH FLOOR TOILET-4 DETAIL"/>
    <m/>
    <d v="2025-12-29T00:00:00"/>
    <m/>
    <x v="65"/>
    <d v="2026-01-14T00:00:00"/>
    <m/>
    <d v="2026-01-23T00:00:00"/>
    <d v="2025-12-15T00:00:00"/>
    <d v="2026-01-30T00:00:00"/>
    <d v="2025-12-27T00:00:00"/>
    <m/>
  </r>
  <r>
    <n v="478"/>
    <x v="1"/>
    <x v="6"/>
    <x v="477"/>
    <x v="16"/>
    <s v="STP DETAIL"/>
    <s v="Shivangee"/>
    <d v="2025-03-03T00:00:00"/>
    <d v="2025-03-03T00:00:00"/>
    <x v="29"/>
    <d v="2025-03-19T00:00:00"/>
    <d v="2025-03-19T00:00:00"/>
    <d v="2025-03-28T00:00:00"/>
    <d v="2025-03-28T00:00:00"/>
    <d v="2025-04-04T00:00:00"/>
    <d v="2025-04-05T00:00:00"/>
    <m/>
  </r>
  <r>
    <n v="479"/>
    <x v="1"/>
    <x v="6"/>
    <x v="478"/>
    <x v="16"/>
    <s v="STAIRCASE-2 DETAILS (SHEET 1)"/>
    <s v="Shivangee"/>
    <d v="2025-03-03T00:00:00"/>
    <d v="2025-03-03T00:00:00"/>
    <x v="29"/>
    <d v="2025-03-19T00:00:00"/>
    <d v="2025-03-19T00:00:00"/>
    <d v="2025-03-28T00:00:00"/>
    <d v="2025-03-28T00:00:00"/>
    <d v="2025-04-04T00:00:00"/>
    <d v="2025-04-05T00:00:00"/>
    <m/>
  </r>
  <r>
    <n v="480"/>
    <x v="1"/>
    <x v="6"/>
    <x v="479"/>
    <x v="16"/>
    <s v="STAIRCASE-2 DETAILS (SHEET 2)"/>
    <s v="Shivangee"/>
    <d v="2025-03-03T00:00:00"/>
    <d v="2025-03-03T00:00:00"/>
    <x v="29"/>
    <d v="2025-03-19T00:00:00"/>
    <d v="2025-03-19T00:00:00"/>
    <d v="2025-03-28T00:00:00"/>
    <d v="2025-03-28T00:00:00"/>
    <d v="2025-04-04T00:00:00"/>
    <d v="2025-04-05T00:00:00"/>
    <m/>
  </r>
  <r>
    <n v="481"/>
    <x v="1"/>
    <x v="6"/>
    <x v="480"/>
    <x v="16"/>
    <s v="STAIRCASE-3 DETAILS (SHEET 1)"/>
    <s v="Shivangee"/>
    <d v="2025-03-03T00:00:00"/>
    <d v="2025-03-03T00:00:00"/>
    <x v="29"/>
    <d v="2025-03-19T00:00:00"/>
    <d v="2025-03-19T00:00:00"/>
    <d v="2025-03-28T00:00:00"/>
    <d v="2025-03-28T00:00:00"/>
    <d v="2025-04-04T00:00:00"/>
    <d v="2025-04-05T00:00:00"/>
    <m/>
  </r>
  <r>
    <n v="482"/>
    <x v="1"/>
    <x v="6"/>
    <x v="481"/>
    <x v="16"/>
    <s v="STAIRCASE-3 DETAILS (SHEET 2)"/>
    <s v="Shivangee"/>
    <d v="2025-03-03T00:00:00"/>
    <d v="2025-03-03T00:00:00"/>
    <x v="29"/>
    <d v="2025-03-19T00:00:00"/>
    <d v="2025-03-19T00:00:00"/>
    <d v="2025-03-28T00:00:00"/>
    <d v="2025-03-28T00:00:00"/>
    <d v="2025-04-04T00:00:00"/>
    <d v="2025-04-05T00:00:00"/>
    <m/>
  </r>
  <r>
    <n v="483"/>
    <x v="1"/>
    <x v="6"/>
    <x v="482"/>
    <x v="16"/>
    <s v="STAIRCASE-4 (pump room) DETAILS "/>
    <s v="Shivangee"/>
    <d v="2025-03-03T00:00:00"/>
    <d v="2025-03-03T00:00:00"/>
    <x v="29"/>
    <d v="2025-03-31T00:00:00"/>
    <d v="2025-03-31T00:00:00"/>
    <d v="2025-04-09T00:00:00"/>
    <d v="2025-04-24T00:00:00"/>
    <d v="2025-04-16T00:00:00"/>
    <d v="2025-09-19T00:00:00"/>
    <m/>
  </r>
  <r>
    <n v="484"/>
    <x v="1"/>
    <x v="6"/>
    <x v="483"/>
    <x v="16"/>
    <s v="VISITORS LIFT DETAILS"/>
    <s v="Shivangee"/>
    <d v="2025-03-03T00:00:00"/>
    <d v="2025-03-03T00:00:00"/>
    <x v="29"/>
    <d v="2025-03-19T00:00:00"/>
    <d v="2025-03-19T00:00:00"/>
    <d v="2025-03-28T00:00:00"/>
    <d v="2025-04-24T00:00:00"/>
    <d v="2025-04-04T00:00:00"/>
    <d v="2025-04-05T00:00:00"/>
    <m/>
  </r>
  <r>
    <n v="485"/>
    <x v="1"/>
    <x v="6"/>
    <x v="484"/>
    <x v="16"/>
    <s v="PATIENT LIFT DETAILS"/>
    <s v="Shivangee"/>
    <d v="2025-03-03T00:00:00"/>
    <d v="2025-03-03T00:00:00"/>
    <x v="29"/>
    <d v="2025-03-19T00:00:00"/>
    <d v="2025-03-19T00:00:00"/>
    <d v="2025-03-28T00:00:00"/>
    <d v="2025-04-24T00:00:00"/>
    <d v="2025-04-04T00:00:00"/>
    <d v="2025-04-05T00:00:00"/>
    <m/>
  </r>
  <r>
    <n v="486"/>
    <x v="1"/>
    <x v="6"/>
    <x v="485"/>
    <x v="16"/>
    <s v="LINAC DETAILS"/>
    <s v="Shivangee"/>
    <d v="2025-03-03T00:00:00"/>
    <d v="2025-03-03T00:00:00"/>
    <x v="29"/>
    <d v="2025-03-19T00:00:00"/>
    <d v="2025-03-19T00:00:00"/>
    <d v="2025-03-28T00:00:00"/>
    <d v="2025-03-28T00:00:00"/>
    <d v="2025-04-04T00:00:00"/>
    <d v="2025-05-28T00:00:00"/>
    <m/>
  </r>
  <r>
    <n v="487"/>
    <x v="1"/>
    <x v="6"/>
    <x v="486"/>
    <x v="16"/>
    <s v="SERVICE LIFT DETAILS"/>
    <s v="Shivangee"/>
    <d v="2025-03-28T00:00:00"/>
    <d v="2025-03-28T00:00:00"/>
    <x v="72"/>
    <d v="2025-04-15T00:00:00"/>
    <m/>
    <d v="2025-04-24T00:00:00"/>
    <d v="2025-03-28T00:00:00"/>
    <d v="2025-05-01T00:00:00"/>
    <m/>
    <m/>
  </r>
  <r>
    <n v="488"/>
    <x v="1"/>
    <x v="6"/>
    <x v="487"/>
    <x v="16"/>
    <s v="DOOR &amp; WINDOW SCHEDULE SHEET"/>
    <s v="Shivangee"/>
    <d v="2025-04-05T00:00:00"/>
    <d v="2025-04-05T00:00:00"/>
    <x v="73"/>
    <d v="2025-04-22T00:00:00"/>
    <m/>
    <d v="2025-05-01T00:00:00"/>
    <d v="2025-12-09T00:00:00"/>
    <d v="2025-05-08T00:00:00"/>
    <m/>
    <m/>
  </r>
  <r>
    <n v="489"/>
    <x v="1"/>
    <x v="6"/>
    <x v="488"/>
    <x v="16"/>
    <s v="DOOR DETAILS SHEET 1"/>
    <s v="Shivangee"/>
    <d v="2025-04-05T00:00:00"/>
    <d v="2025-04-05T00:00:00"/>
    <x v="73"/>
    <d v="2025-04-22T00:00:00"/>
    <m/>
    <d v="2025-05-01T00:00:00"/>
    <d v="2025-12-09T00:00:00"/>
    <d v="2025-05-08T00:00:00"/>
    <m/>
    <m/>
  </r>
  <r>
    <n v="490"/>
    <x v="1"/>
    <x v="6"/>
    <x v="489"/>
    <x v="16"/>
    <s v="DOOR DETAILS SHEET 2"/>
    <s v="Shivangee"/>
    <d v="2025-04-05T00:00:00"/>
    <d v="2025-04-05T00:00:00"/>
    <x v="31"/>
    <d v="2025-04-22T00:00:00"/>
    <m/>
    <d v="2025-05-01T00:00:00"/>
    <d v="2025-12-09T00:00:00"/>
    <d v="2025-05-08T00:00:00"/>
    <m/>
    <m/>
  </r>
  <r>
    <n v="491"/>
    <x v="1"/>
    <x v="6"/>
    <x v="490"/>
    <x v="16"/>
    <s v="TOILET FIXING DETAILS SHEET 1"/>
    <s v="Shivangee"/>
    <d v="2025-04-05T00:00:00"/>
    <d v="2025-04-05T00:00:00"/>
    <x v="74"/>
    <d v="2025-04-22T00:00:00"/>
    <m/>
    <d v="2025-05-01T00:00:00"/>
    <d v="2026-04-20T00:00:00"/>
    <d v="2025-05-08T00:00:00"/>
    <m/>
    <m/>
  </r>
  <r>
    <n v="492"/>
    <x v="1"/>
    <x v="6"/>
    <x v="491"/>
    <x v="16"/>
    <s v="WINDOW DETAILS SHEET 1"/>
    <s v="Shivangee"/>
    <d v="2025-04-12T00:00:00"/>
    <d v="2025-04-12T00:00:00"/>
    <x v="33"/>
    <d v="2025-04-29T00:00:00"/>
    <m/>
    <d v="2025-05-08T00:00:00"/>
    <d v="2025-12-09T00:00:00"/>
    <d v="2025-05-15T00:00:00"/>
    <m/>
    <m/>
  </r>
  <r>
    <n v="493"/>
    <x v="1"/>
    <x v="6"/>
    <x v="492"/>
    <x v="16"/>
    <s v="PUMP ROOM  &amp; UGR DETAILS"/>
    <s v="Shivangee"/>
    <d v="2025-03-03T00:00:00"/>
    <d v="2025-03-03T00:00:00"/>
    <x v="29"/>
    <d v="2025-03-19T00:00:00"/>
    <m/>
    <d v="2025-03-28T00:00:00"/>
    <d v="2025-05-16T00:00:00"/>
    <d v="2025-04-04T00:00:00"/>
    <d v="2025-05-28T00:00:00"/>
    <m/>
  </r>
  <r>
    <n v="494"/>
    <x v="1"/>
    <x v="6"/>
    <x v="493"/>
    <x v="16"/>
    <s v="HT ROOM DETAILS"/>
    <s v="Shivangee"/>
    <d v="2025-11-24T00:00:00"/>
    <d v="2025-07-05T00:00:00"/>
    <x v="75"/>
    <d v="2025-12-10T00:00:00"/>
    <m/>
    <d v="2025-12-19T00:00:00"/>
    <m/>
    <d v="2025-12-26T00:00:00"/>
    <m/>
    <m/>
  </r>
  <r>
    <n v="495"/>
    <x v="1"/>
    <x v="6"/>
    <x v="494"/>
    <x v="16"/>
    <s v="BWS ROOM DETAILS"/>
    <s v="Shivangee"/>
    <d v="2025-11-26T00:00:00"/>
    <d v="2025-07-05T00:00:00"/>
    <x v="52"/>
    <d v="2025-12-12T00:00:00"/>
    <m/>
    <d v="2025-12-23T00:00:00"/>
    <d v="2026-05-15T00:00:00"/>
    <d v="2025-12-30T00:00:00"/>
    <m/>
    <m/>
  </r>
  <r>
    <n v="496"/>
    <x v="1"/>
    <x v="6"/>
    <x v="495"/>
    <x v="16"/>
    <s v="SECURITY ROOM 01- DETAILS"/>
    <s v="Shivangee"/>
    <d v="2025-11-28T00:00:00"/>
    <d v="2025-07-05T00:00:00"/>
    <x v="52"/>
    <d v="2025-12-16T00:00:00"/>
    <m/>
    <d v="2025-12-25T00:00:00"/>
    <d v="2026-05-15T00:00:00"/>
    <d v="2026-01-01T00:00:00"/>
    <m/>
    <m/>
  </r>
  <r>
    <n v="497"/>
    <x v="1"/>
    <x v="6"/>
    <x v="496"/>
    <x v="13"/>
    <s v="MASTER PLAN WITH ROAD LAYOUT"/>
    <s v="Shivangee"/>
    <d v="2025-12-31T00:00:00"/>
    <d v="2025-06-28T00:00:00"/>
    <x v="76"/>
    <d v="2026-01-16T00:00:00"/>
    <m/>
    <d v="2026-01-27T00:00:00"/>
    <d v="2026-05-15T00:00:00"/>
    <d v="2026-02-03T00:00:00"/>
    <m/>
    <m/>
  </r>
  <r>
    <n v="498"/>
    <x v="1"/>
    <x v="6"/>
    <x v="497"/>
    <x v="13"/>
    <s v="COORDINATED MASTER PLAN  "/>
    <s v="Shivangee"/>
    <d v="2025-12-31T00:00:00"/>
    <d v="2025-06-28T00:00:00"/>
    <x v="77"/>
    <d v="2026-01-16T00:00:00"/>
    <m/>
    <d v="2026-01-27T00:00:00"/>
    <d v="2026-05-15T00:00:00"/>
    <d v="2026-02-03T00:00:00"/>
    <m/>
    <m/>
  </r>
  <r>
    <n v="499"/>
    <x v="1"/>
    <x v="6"/>
    <x v="498"/>
    <x v="13"/>
    <s v="ROAD SECTIONS"/>
    <s v="Shivangee"/>
    <d v="2025-12-31T00:00:00"/>
    <d v="2025-07-05T00:00:00"/>
    <x v="77"/>
    <d v="2026-01-16T00:00:00"/>
    <m/>
    <d v="2026-01-27T00:00:00"/>
    <d v="2026-05-15T00:00:00"/>
    <d v="2026-02-03T00:00:00"/>
    <m/>
    <m/>
  </r>
  <r>
    <n v="500"/>
    <x v="1"/>
    <x v="6"/>
    <x v="499"/>
    <x v="13"/>
    <s v="BOUNDARY WALL DETAILS"/>
    <s v="Shivangee"/>
    <d v="2025-12-08T00:00:00"/>
    <d v="2025-07-05T00:00:00"/>
    <x v="78"/>
    <d v="2025-12-24T00:00:00"/>
    <m/>
    <d v="2026-01-02T00:00:00"/>
    <d v="2026-05-15T00:00:00"/>
    <d v="2026-01-09T00:00:00"/>
    <m/>
    <m/>
  </r>
  <r>
    <n v="501"/>
    <x v="1"/>
    <x v="6"/>
    <x v="500"/>
    <x v="13"/>
    <s v="GATE 01 DETAILS"/>
    <s v="Shivangee"/>
    <d v="2025-12-10T00:00:00"/>
    <d v="2025-07-05T00:00:00"/>
    <x v="52"/>
    <d v="2025-12-26T00:00:00"/>
    <m/>
    <d v="2026-01-06T00:00:00"/>
    <d v="2026-05-15T00:00:00"/>
    <d v="2026-01-13T00:00:00"/>
    <m/>
    <m/>
  </r>
  <r>
    <n v="502"/>
    <x v="1"/>
    <x v="6"/>
    <x v="501"/>
    <x v="17"/>
    <s v="ROOF PLAN"/>
    <s v="Shivangee"/>
    <d v="2025-12-31T00:00:00"/>
    <d v="2025-03-03T00:00:00"/>
    <x v="18"/>
    <d v="2026-01-16T00:00:00"/>
    <m/>
    <d v="2025-10-17T00:00:00"/>
    <d v="2026-04-20T00:00:00"/>
    <d v="2025-10-24T00:00:00"/>
    <m/>
    <m/>
  </r>
  <r>
    <n v="503"/>
    <x v="1"/>
    <x v="6"/>
    <x v="502"/>
    <x v="17"/>
    <s v="ROOF FURNITURE LAYOUT"/>
    <s v="Shivangee"/>
    <d v="2025-10-10T00:00:00"/>
    <d v="2025-03-03T00:00:00"/>
    <x v="18"/>
    <d v="2025-03-31T00:00:00"/>
    <m/>
    <d v="2025-10-17T00:00:00"/>
    <d v="2026-04-20T00:00:00"/>
    <d v="2025-10-24T00:00:00"/>
    <m/>
    <m/>
  </r>
  <r>
    <n v="504"/>
    <x v="1"/>
    <x v="6"/>
    <x v="503"/>
    <x v="17"/>
    <s v="ROOF RCP"/>
    <s v="Shivangee"/>
    <d v="2025-12-31T00:00:00"/>
    <d v="2025-06-28T00:00:00"/>
    <x v="38"/>
    <d v="2026-01-16T00:00:00"/>
    <m/>
    <d v="2026-01-27T00:00:00"/>
    <d v="2026-05-15T00:00:00"/>
    <d v="2026-02-03T00:00:00"/>
    <m/>
    <s v="MEP Coordinated Drawing wih design inputs of fixtures and duct layouts"/>
  </r>
  <r>
    <n v="505"/>
    <x v="1"/>
    <x v="6"/>
    <x v="504"/>
    <x v="17"/>
    <s v="ROOF FLOORING"/>
    <s v="Shivangee"/>
    <d v="2025-12-31T00:00:00"/>
    <d v="2025-06-21T00:00:00"/>
    <x v="79"/>
    <d v="2026-01-16T00:00:00"/>
    <m/>
    <d v="2026-01-27T00:00:00"/>
    <d v="2026-01-09T00:00:00"/>
    <d v="2026-02-03T00:00:00"/>
    <m/>
    <m/>
  </r>
  <r>
    <n v="506"/>
    <x v="1"/>
    <x v="6"/>
    <x v="505"/>
    <x v="17"/>
    <s v="ROOF FLOOR TOILET-1 DETAIL"/>
    <s v="Shivangee"/>
    <d v="2025-06-28T00:00:00"/>
    <d v="2025-06-28T00:00:00"/>
    <x v="56"/>
    <d v="2025-07-15T00:00:00"/>
    <m/>
    <d v="2025-07-24T00:00:00"/>
    <d v="2025-07-02T00:00:00"/>
    <d v="2025-07-31T00:00:00"/>
    <d v="2025-12-19T00:00:00"/>
    <m/>
  </r>
  <r>
    <n v="507"/>
    <x v="1"/>
    <x v="6"/>
    <x v="506"/>
    <x v="17"/>
    <s v="ROOF FLOOR DOOR DETAILS SHEET 1"/>
    <s v="Shivangee"/>
    <d v="2025-06-28T00:00:00"/>
    <d v="2025-06-28T00:00:00"/>
    <x v="70"/>
    <d v="2025-07-15T00:00:00"/>
    <m/>
    <d v="2025-07-24T00:00:00"/>
    <d v="2025-09-12T00:00:00"/>
    <d v="2025-07-31T00:00:00"/>
    <m/>
    <m/>
  </r>
  <r>
    <n v="508"/>
    <x v="1"/>
    <x v="6"/>
    <x v="507"/>
    <x v="17"/>
    <s v="ROOF FLOOR DOOR DETAILS SHEET 2"/>
    <s v="Shivangee"/>
    <d v="2025-06-28T00:00:00"/>
    <d v="2025-06-28T00:00:00"/>
    <x v="70"/>
    <d v="2025-07-15T00:00:00"/>
    <m/>
    <d v="2025-07-24T00:00:00"/>
    <d v="2025-09-12T00:00:00"/>
    <d v="2025-07-31T00:00:00"/>
    <m/>
    <m/>
  </r>
  <r>
    <n v="509"/>
    <x v="1"/>
    <x v="6"/>
    <x v="508"/>
    <x v="18"/>
    <s v="BLOCK LAYOUT PLAN"/>
    <s v="Shivangee"/>
    <d v="2025-03-03T00:00:00"/>
    <d v="2025-03-03T00:00:00"/>
    <x v="29"/>
    <d v="2025-03-19T00:00:00"/>
    <d v="2025-03-19T00:00:00"/>
    <d v="2025-03-28T00:00:00"/>
    <d v="2025-03-28T00:00:00"/>
    <d v="2025-04-04T00:00:00"/>
    <d v="2025-04-03T00:00:00"/>
    <m/>
  </r>
  <r>
    <n v="510"/>
    <x v="1"/>
    <x v="6"/>
    <x v="509"/>
    <x v="18"/>
    <s v="COLUMN AND GRID SETTING OUT PLAN"/>
    <s v="Shivangee"/>
    <d v="2025-03-03T00:00:00"/>
    <d v="2025-03-03T00:00:00"/>
    <x v="29"/>
    <d v="2025-03-19T00:00:00"/>
    <d v="2025-03-19T00:00:00"/>
    <d v="2025-03-28T00:00:00"/>
    <d v="2025-03-28T00:00:00"/>
    <d v="2025-04-04T00:00:00"/>
    <d v="2025-04-03T00:00:00"/>
    <m/>
  </r>
  <r>
    <n v="511"/>
    <x v="1"/>
    <x v="6"/>
    <x v="510"/>
    <x v="18"/>
    <s v="ELEVATION A"/>
    <s v="Shivangee"/>
    <d v="2025-03-26T00:00:00"/>
    <d v="2025-03-26T00:00:00"/>
    <x v="72"/>
    <d v="2025-04-11T00:00:00"/>
    <m/>
    <d v="2025-04-22T00:00:00"/>
    <d v="2025-09-12T00:00:00"/>
    <d v="2025-04-29T00:00:00"/>
    <m/>
    <m/>
  </r>
  <r>
    <n v="512"/>
    <x v="1"/>
    <x v="6"/>
    <x v="511"/>
    <x v="18"/>
    <s v="ELEVATION B &amp; C"/>
    <s v="Shivangee"/>
    <d v="2025-03-26T00:00:00"/>
    <d v="2025-03-26T00:00:00"/>
    <x v="72"/>
    <d v="2025-04-11T00:00:00"/>
    <m/>
    <d v="2025-04-22T00:00:00"/>
    <d v="2025-09-12T00:00:00"/>
    <d v="2025-04-29T00:00:00"/>
    <m/>
    <m/>
  </r>
  <r>
    <n v="513"/>
    <x v="1"/>
    <x v="6"/>
    <x v="512"/>
    <x v="18"/>
    <s v="ELEVATION D"/>
    <s v="Shivangee"/>
    <d v="2025-03-26T00:00:00"/>
    <d v="2025-03-26T00:00:00"/>
    <x v="72"/>
    <d v="2025-04-11T00:00:00"/>
    <m/>
    <d v="2025-04-22T00:00:00"/>
    <d v="2025-09-12T00:00:00"/>
    <d v="2025-04-29T00:00:00"/>
    <m/>
    <m/>
  </r>
  <r>
    <n v="514"/>
    <x v="1"/>
    <x v="6"/>
    <x v="513"/>
    <x v="18"/>
    <s v="SECTION A-A"/>
    <s v="Shivangee"/>
    <d v="2025-12-31T00:00:00"/>
    <d v="2025-03-28T00:00:00"/>
    <x v="36"/>
    <d v="2026-01-16T00:00:00"/>
    <m/>
    <d v="2026-01-27T00:00:00"/>
    <d v="2025-12-18T00:00:00"/>
    <d v="2026-02-03T00:00:00"/>
    <m/>
    <m/>
  </r>
  <r>
    <n v="515"/>
    <x v="1"/>
    <x v="6"/>
    <x v="514"/>
    <x v="18"/>
    <s v="SECTION B-B"/>
    <s v="Shivangee"/>
    <d v="2025-12-31T00:00:00"/>
    <d v="2025-03-28T00:00:00"/>
    <x v="36"/>
    <d v="2026-01-16T00:00:00"/>
    <m/>
    <d v="2026-01-27T00:00:00"/>
    <d v="2025-12-18T00:00:00"/>
    <d v="2026-02-03T00:00:00"/>
    <m/>
    <m/>
  </r>
  <r>
    <n v="516"/>
    <x v="1"/>
    <x v="6"/>
    <x v="515"/>
    <x v="18"/>
    <s v="SECTION C-C"/>
    <s v="Shivangee"/>
    <d v="2025-12-31T00:00:00"/>
    <d v="2025-03-28T00:00:00"/>
    <x v="36"/>
    <d v="2026-01-16T00:00:00"/>
    <m/>
    <d v="2026-01-27T00:00:00"/>
    <d v="2025-12-18T00:00:00"/>
    <d v="2026-02-03T00:00:00"/>
    <m/>
    <m/>
  </r>
  <r>
    <n v="517"/>
    <x v="1"/>
    <x v="6"/>
    <x v="516"/>
    <x v="18"/>
    <s v="SECTION D-D"/>
    <s v="Shivangee"/>
    <d v="2025-12-31T00:00:00"/>
    <d v="2025-03-28T00:00:00"/>
    <x v="36"/>
    <d v="2026-01-16T00:00:00"/>
    <m/>
    <d v="2026-01-27T00:00:00"/>
    <d v="2025-12-18T00:00:00"/>
    <d v="2026-02-03T00:00:00"/>
    <m/>
    <m/>
  </r>
  <r>
    <n v="518"/>
    <x v="1"/>
    <x v="6"/>
    <x v="517"/>
    <x v="16"/>
    <s v="GENERAL NOTES"/>
    <s v="Shivangee"/>
    <d v="2025-03-03T00:00:00"/>
    <d v="2025-03-03T00:00:00"/>
    <x v="29"/>
    <d v="2025-03-13T00:00:00"/>
    <d v="2025-03-13T00:00:00"/>
    <d v="2025-03-24T00:00:00"/>
    <d v="2025-12-04T00:00:00"/>
    <d v="2025-03-31T00:00:00"/>
    <d v="2025-04-06T00:00:00"/>
    <m/>
  </r>
  <r>
    <n v="519"/>
    <x v="1"/>
    <x v="7"/>
    <x v="518"/>
    <x v="19"/>
    <s v="GROUND FLOOR FLOORING LAYOUT"/>
    <s v="Shivangee"/>
    <d v="2026-02-24T00:00:00"/>
    <m/>
    <x v="80"/>
    <d v="2026-03-12T00:00:00"/>
    <m/>
    <d v="2026-03-23T00:00:00"/>
    <d v="2026-04-20T00:00:00"/>
    <d v="2026-03-30T00:00:00"/>
    <m/>
    <m/>
  </r>
  <r>
    <n v="520"/>
    <x v="1"/>
    <x v="7"/>
    <x v="519"/>
    <x v="19"/>
    <s v="GROUND FLOOR RCP LAYOUT"/>
    <s v="Shivangee"/>
    <d v="2026-02-28T00:00:00"/>
    <m/>
    <x v="75"/>
    <d v="2026-03-17T00:00:00"/>
    <m/>
    <d v="2026-03-27T00:00:00"/>
    <m/>
    <d v="2026-04-03T00:00:00"/>
    <m/>
    <m/>
  </r>
  <r>
    <n v="521"/>
    <x v="1"/>
    <x v="7"/>
    <x v="520"/>
    <x v="19"/>
    <s v="GROUND FLOOR PLAN"/>
    <s v="Shivangee"/>
    <d v="2026-02-03T00:00:00"/>
    <m/>
    <x v="81"/>
    <d v="2026-02-19T00:00:00"/>
    <m/>
    <d v="2026-03-02T00:00:00"/>
    <d v="2026-02-21T00:00:00"/>
    <d v="2026-03-09T00:00:00"/>
    <m/>
    <m/>
  </r>
  <r>
    <n v="522"/>
    <x v="1"/>
    <x v="7"/>
    <x v="521"/>
    <x v="19"/>
    <s v="GROUND FLOOR FURNITURE LAYOUT"/>
    <s v="Shivangee"/>
    <d v="2026-02-03T00:00:00"/>
    <m/>
    <x v="81"/>
    <d v="2026-02-19T00:00:00"/>
    <m/>
    <d v="2026-03-02T00:00:00"/>
    <d v="2026-02-21T00:00:00"/>
    <d v="2026-03-09T00:00:00"/>
    <m/>
    <m/>
  </r>
  <r>
    <n v="523"/>
    <x v="1"/>
    <x v="7"/>
    <x v="522"/>
    <x v="19"/>
    <s v="FIRST FLOOR FLOORING LAYOUT"/>
    <s v="Shivangee"/>
    <d v="2026-02-24T00:00:00"/>
    <m/>
    <x v="80"/>
    <d v="2026-03-12T00:00:00"/>
    <m/>
    <d v="2026-03-23T00:00:00"/>
    <d v="2026-04-20T00:00:00"/>
    <d v="2026-03-30T00:00:00"/>
    <m/>
    <m/>
  </r>
  <r>
    <n v="524"/>
    <x v="1"/>
    <x v="7"/>
    <x v="523"/>
    <x v="19"/>
    <s v="FIRST FLOOR RCP LAYOUT"/>
    <s v="Shivangee"/>
    <d v="2026-02-28T00:00:00"/>
    <m/>
    <x v="75"/>
    <d v="2026-03-17T00:00:00"/>
    <m/>
    <d v="2026-03-27T00:00:00"/>
    <m/>
    <d v="2026-04-03T00:00:00"/>
    <m/>
    <m/>
  </r>
  <r>
    <n v="525"/>
    <x v="1"/>
    <x v="7"/>
    <x v="524"/>
    <x v="19"/>
    <s v="FIRST FLOOR PLAN"/>
    <s v="Shivangee"/>
    <d v="2026-02-03T00:00:00"/>
    <m/>
    <x v="81"/>
    <d v="2026-02-19T00:00:00"/>
    <m/>
    <d v="2026-03-02T00:00:00"/>
    <d v="2026-02-21T00:00:00"/>
    <d v="2026-03-09T00:00:00"/>
    <m/>
    <m/>
  </r>
  <r>
    <n v="526"/>
    <x v="1"/>
    <x v="7"/>
    <x v="525"/>
    <x v="19"/>
    <s v="FIRST FLOOR FURNITURE LAYOUT"/>
    <s v="Shivangee"/>
    <d v="2026-02-03T00:00:00"/>
    <m/>
    <x v="81"/>
    <d v="2026-02-19T00:00:00"/>
    <m/>
    <d v="2026-03-02T00:00:00"/>
    <d v="2026-02-21T00:00:00"/>
    <d v="2026-03-09T00:00:00"/>
    <m/>
    <m/>
  </r>
  <r>
    <n v="527"/>
    <x v="1"/>
    <x v="7"/>
    <x v="526"/>
    <x v="19"/>
    <s v="SECOND FLOOR FLOORING LAYOUT"/>
    <s v="Shivangee"/>
    <d v="2026-02-24T00:00:00"/>
    <m/>
    <x v="80"/>
    <d v="2026-03-12T00:00:00"/>
    <m/>
    <d v="2026-03-23T00:00:00"/>
    <d v="2026-04-20T00:00:00"/>
    <d v="2026-03-30T00:00:00"/>
    <m/>
    <m/>
  </r>
  <r>
    <n v="528"/>
    <x v="1"/>
    <x v="7"/>
    <x v="527"/>
    <x v="19"/>
    <s v="SECOND FLOOR RCP LAYOUT"/>
    <s v="Shivangee"/>
    <d v="2026-02-28T00:00:00"/>
    <m/>
    <x v="75"/>
    <d v="2026-03-17T00:00:00"/>
    <m/>
    <d v="2026-03-27T00:00:00"/>
    <m/>
    <d v="2026-04-03T00:00:00"/>
    <m/>
    <m/>
  </r>
  <r>
    <n v="529"/>
    <x v="1"/>
    <x v="7"/>
    <x v="528"/>
    <x v="19"/>
    <s v="SECOND FLOOR PLAN"/>
    <s v="Shivangee"/>
    <d v="2026-02-03T00:00:00"/>
    <m/>
    <x v="81"/>
    <d v="2026-02-19T00:00:00"/>
    <m/>
    <d v="2026-03-02T00:00:00"/>
    <d v="2026-02-21T00:00:00"/>
    <d v="2026-03-09T00:00:00"/>
    <m/>
    <m/>
  </r>
  <r>
    <n v="530"/>
    <x v="1"/>
    <x v="7"/>
    <x v="529"/>
    <x v="19"/>
    <s v="SECOND FLOOR FURNITURE LAYOUT"/>
    <s v="Shivangee"/>
    <d v="2026-02-03T00:00:00"/>
    <m/>
    <x v="81"/>
    <d v="2026-02-19T00:00:00"/>
    <m/>
    <d v="2026-03-02T00:00:00"/>
    <d v="2026-02-21T00:00:00"/>
    <d v="2026-03-09T00:00:00"/>
    <m/>
    <m/>
  </r>
  <r>
    <n v="531"/>
    <x v="1"/>
    <x v="7"/>
    <x v="530"/>
    <x v="19"/>
    <s v="THIRD FLOOR FLOORING LAYOUT"/>
    <s v="Shivangee"/>
    <d v="2026-02-24T00:00:00"/>
    <m/>
    <x v="82"/>
    <d v="2026-03-12T00:00:00"/>
    <m/>
    <d v="2026-03-23T00:00:00"/>
    <d v="2026-04-20T00:00:00"/>
    <d v="2026-03-30T00:00:00"/>
    <m/>
    <m/>
  </r>
  <r>
    <n v="532"/>
    <x v="1"/>
    <x v="7"/>
    <x v="531"/>
    <x v="19"/>
    <s v="THIRD FLOOR RCP LAYOUT"/>
    <s v="Shivangee"/>
    <d v="2026-02-28T00:00:00"/>
    <m/>
    <x v="75"/>
    <d v="2026-03-17T00:00:00"/>
    <m/>
    <d v="2026-03-27T00:00:00"/>
    <m/>
    <d v="2026-04-03T00:00:00"/>
    <m/>
    <m/>
  </r>
  <r>
    <n v="533"/>
    <x v="1"/>
    <x v="7"/>
    <x v="532"/>
    <x v="19"/>
    <s v="THIRD FLOOR PLAN"/>
    <s v="Shivangee"/>
    <d v="2026-02-03T00:00:00"/>
    <m/>
    <x v="81"/>
    <d v="2026-02-19T00:00:00"/>
    <m/>
    <d v="2026-03-02T00:00:00"/>
    <d v="2026-02-21T00:00:00"/>
    <d v="2026-03-09T00:00:00"/>
    <m/>
    <m/>
  </r>
  <r>
    <n v="534"/>
    <x v="1"/>
    <x v="7"/>
    <x v="533"/>
    <x v="19"/>
    <s v="THIRD FLOOR FURNITURE LAYOUT"/>
    <s v="Shivangee"/>
    <d v="2026-02-03T00:00:00"/>
    <m/>
    <x v="81"/>
    <d v="2026-02-19T00:00:00"/>
    <m/>
    <d v="2026-03-02T00:00:00"/>
    <d v="2026-02-21T00:00:00"/>
    <d v="2026-03-09T00:00:00"/>
    <m/>
    <m/>
  </r>
  <r>
    <n v="535"/>
    <x v="1"/>
    <x v="7"/>
    <x v="534"/>
    <x v="19"/>
    <s v="FOURTH FLOOR FLOORING LAYOUT"/>
    <s v="Shivangee"/>
    <d v="2026-02-24T00:00:00"/>
    <m/>
    <x v="80"/>
    <d v="2026-03-12T00:00:00"/>
    <m/>
    <d v="2026-03-23T00:00:00"/>
    <d v="2026-04-20T00:00:00"/>
    <d v="2026-03-30T00:00:00"/>
    <m/>
    <m/>
  </r>
  <r>
    <n v="536"/>
    <x v="1"/>
    <x v="7"/>
    <x v="535"/>
    <x v="19"/>
    <s v="FOURTH FLOOR RCP LAYOUT"/>
    <s v="Shivangee"/>
    <d v="2026-02-28T00:00:00"/>
    <m/>
    <x v="75"/>
    <d v="2026-03-17T00:00:00"/>
    <m/>
    <d v="2026-03-27T00:00:00"/>
    <m/>
    <d v="2026-04-03T00:00:00"/>
    <m/>
    <m/>
  </r>
  <r>
    <n v="537"/>
    <x v="1"/>
    <x v="7"/>
    <x v="536"/>
    <x v="19"/>
    <s v="FOURTH FLOOR PLAN"/>
    <s v="Shivangee"/>
    <d v="2026-02-03T00:00:00"/>
    <m/>
    <x v="81"/>
    <d v="2026-02-19T00:00:00"/>
    <m/>
    <d v="2026-03-02T00:00:00"/>
    <d v="2026-02-21T00:00:00"/>
    <d v="2026-03-09T00:00:00"/>
    <m/>
    <m/>
  </r>
  <r>
    <n v="538"/>
    <x v="1"/>
    <x v="7"/>
    <x v="537"/>
    <x v="19"/>
    <s v="FOURTH FLOOR FURNITURE LAYOUT"/>
    <s v="Shivangee"/>
    <d v="2026-02-03T00:00:00"/>
    <m/>
    <x v="81"/>
    <d v="2026-02-19T00:00:00"/>
    <m/>
    <d v="2026-03-02T00:00:00"/>
    <d v="2026-02-21T00:00:00"/>
    <d v="2026-03-09T00:00:00"/>
    <m/>
    <m/>
  </r>
  <r>
    <n v="539"/>
    <x v="1"/>
    <x v="7"/>
    <x v="538"/>
    <x v="19"/>
    <s v="FIFTH FLOOR FLOORING LAYOUT"/>
    <s v="Shivangee"/>
    <d v="2026-02-24T00:00:00"/>
    <m/>
    <x v="83"/>
    <d v="2026-03-12T00:00:00"/>
    <m/>
    <d v="2026-03-23T00:00:00"/>
    <d v="2026-04-20T00:00:00"/>
    <d v="2026-03-30T00:00:00"/>
    <m/>
    <m/>
  </r>
  <r>
    <n v="540"/>
    <x v="1"/>
    <x v="7"/>
    <x v="539"/>
    <x v="19"/>
    <s v="FIFTH FLOOR RCP LAYOUT"/>
    <s v="Shivangee"/>
    <d v="2026-02-28T00:00:00"/>
    <m/>
    <x v="75"/>
    <d v="2026-03-17T00:00:00"/>
    <m/>
    <d v="2026-03-27T00:00:00"/>
    <m/>
    <d v="2026-04-03T00:00:00"/>
    <m/>
    <m/>
  </r>
  <r>
    <n v="541"/>
    <x v="1"/>
    <x v="7"/>
    <x v="540"/>
    <x v="19"/>
    <s v="FIFTH FLOOR PLAN"/>
    <s v="Shivangee"/>
    <d v="2026-02-03T00:00:00"/>
    <m/>
    <x v="81"/>
    <d v="2026-02-19T00:00:00"/>
    <m/>
    <d v="2026-03-02T00:00:00"/>
    <d v="2026-04-20T00:00:00"/>
    <d v="2026-03-09T00:00:00"/>
    <m/>
    <m/>
  </r>
  <r>
    <n v="542"/>
    <x v="1"/>
    <x v="7"/>
    <x v="541"/>
    <x v="19"/>
    <s v="FIFTH FLOOR FURNITURE LAYOUT"/>
    <s v="Shivangee"/>
    <d v="2026-02-03T00:00:00"/>
    <m/>
    <x v="81"/>
    <d v="2026-02-19T00:00:00"/>
    <m/>
    <d v="2026-03-02T00:00:00"/>
    <d v="2026-04-20T00:00:00"/>
    <d v="2026-03-09T00:00:00"/>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
  <r>
    <x v="0"/>
    <n v="0"/>
    <n v="0"/>
    <n v="0"/>
    <n v="0"/>
  </r>
  <r>
    <x v="1"/>
    <n v="0"/>
    <n v="0"/>
    <n v="0"/>
    <n v="0"/>
  </r>
  <r>
    <x v="2"/>
    <n v="0"/>
    <n v="0"/>
    <n v="0"/>
    <n v="0"/>
  </r>
  <r>
    <x v="3"/>
    <n v="0"/>
    <n v="0"/>
    <n v="0"/>
    <n v="0"/>
  </r>
  <r>
    <x v="4"/>
    <n v="0"/>
    <n v="0"/>
    <n v="0"/>
    <n v="0"/>
  </r>
  <r>
    <x v="5"/>
    <n v="0"/>
    <n v="0"/>
    <n v="0"/>
    <n v="0"/>
  </r>
  <r>
    <x v="6"/>
    <n v="0"/>
    <n v="0"/>
    <n v="0"/>
    <n v="0"/>
  </r>
  <r>
    <x v="7"/>
    <n v="0"/>
    <n v="0"/>
    <n v="0"/>
    <n v="0"/>
  </r>
  <r>
    <x v="8"/>
    <n v="7.650273224043716E-2"/>
    <n v="8.1967213114754092E-2"/>
    <n v="0"/>
    <n v="0"/>
  </r>
  <r>
    <x v="9"/>
    <n v="1.6393442622950821E-2"/>
    <n v="2.185792349726776E-2"/>
    <n v="0"/>
    <n v="2.185792349726776E-2"/>
  </r>
  <r>
    <x v="10"/>
    <n v="0"/>
    <n v="0"/>
    <n v="0"/>
    <n v="0"/>
  </r>
  <r>
    <x v="11"/>
    <n v="2.185792349726776E-2"/>
    <n v="4.3715846994535519E-2"/>
    <n v="7.1038251366120214E-2"/>
    <n v="6.0109289617486336E-2"/>
  </r>
  <r>
    <x v="12"/>
    <n v="0.10928961748633879"/>
    <n v="6.0109289617486336E-2"/>
    <n v="1.092896174863388E-2"/>
    <n v="0"/>
  </r>
  <r>
    <x v="13"/>
    <n v="5.4644808743169399E-3"/>
    <n v="4.3715846994535519E-2"/>
    <n v="2.185792349726776E-2"/>
    <n v="0"/>
  </r>
  <r>
    <x v="14"/>
    <n v="0"/>
    <n v="5.4644808743169399E-3"/>
    <n v="8.7431693989071038E-2"/>
    <n v="0"/>
  </r>
  <r>
    <x v="15"/>
    <n v="0"/>
    <n v="0"/>
    <n v="2.185792349726776E-2"/>
    <n v="1.6393442622950821E-2"/>
  </r>
  <r>
    <x v="16"/>
    <n v="0"/>
    <n v="5.4644808743169399E-3"/>
    <n v="2.185792349726776E-2"/>
    <n v="0"/>
  </r>
  <r>
    <x v="17"/>
    <n v="0"/>
    <n v="0"/>
    <n v="5.4644808743169399E-3"/>
    <n v="0"/>
  </r>
  <r>
    <x v="18"/>
    <n v="3.825136612021858E-2"/>
    <n v="0"/>
    <n v="0"/>
    <n v="5.4644808743169399E-3"/>
  </r>
  <r>
    <x v="19"/>
    <n v="0"/>
    <n v="1.092896174863388E-2"/>
    <n v="0"/>
    <n v="0"/>
  </r>
  <r>
    <x v="20"/>
    <n v="4.9180327868852458E-2"/>
    <n v="0"/>
    <n v="3.825136612021858E-2"/>
    <n v="4.9180327868852458E-2"/>
  </r>
  <r>
    <x v="21"/>
    <n v="0"/>
    <n v="0"/>
    <n v="0"/>
    <n v="7.650273224043716E-2"/>
  </r>
  <r>
    <x v="22"/>
    <n v="3.825136612021858E-2"/>
    <n v="2.7322404371584699E-2"/>
    <n v="3.825136612021858E-2"/>
    <n v="0"/>
  </r>
  <r>
    <x v="23"/>
    <n v="1.092896174863388E-2"/>
    <n v="3.825136612021858E-2"/>
    <n v="0"/>
    <n v="0"/>
  </r>
  <r>
    <x v="24"/>
    <n v="9.2896174863387984E-2"/>
    <n v="5.4644808743169399E-3"/>
    <n v="1.092896174863388E-2"/>
    <n v="0"/>
  </r>
  <r>
    <x v="25"/>
    <n v="0"/>
    <n v="7.1038251366120214E-2"/>
    <n v="3.825136612021858E-2"/>
    <n v="5.4644808743169399E-3"/>
  </r>
  <r>
    <x v="26"/>
    <n v="7.650273224043716E-2"/>
    <n v="3.825136612021858E-2"/>
    <n v="0"/>
    <n v="3.825136612021858E-2"/>
  </r>
  <r>
    <x v="27"/>
    <n v="0"/>
    <n v="0"/>
    <n v="8.7431693989071038E-2"/>
    <n v="0"/>
  </r>
  <r>
    <x v="28"/>
    <n v="3.825136612021858E-2"/>
    <n v="0"/>
    <n v="1.6393442622950821E-2"/>
    <n v="0"/>
  </r>
  <r>
    <x v="29"/>
    <n v="0"/>
    <n v="0"/>
    <n v="7.650273224043716E-2"/>
    <n v="0"/>
  </r>
  <r>
    <x v="30"/>
    <n v="0"/>
    <n v="0"/>
    <n v="0"/>
    <n v="0"/>
  </r>
  <r>
    <x v="31"/>
    <n v="0"/>
    <n v="0"/>
    <n v="3.2786885245901641E-2"/>
    <n v="0"/>
  </r>
  <r>
    <x v="32"/>
    <n v="0"/>
    <n v="0"/>
    <n v="2.7322404371584699E-2"/>
    <n v="0"/>
  </r>
  <r>
    <x v="33"/>
    <n v="0"/>
    <n v="0.10928961748633879"/>
    <n v="0"/>
    <n v="3.2786885245901641E-2"/>
  </r>
  <r>
    <x v="34"/>
    <n v="0"/>
    <n v="0"/>
    <n v="0"/>
    <n v="0"/>
  </r>
  <r>
    <x v="35"/>
    <n v="0"/>
    <n v="3.825136612021858E-2"/>
    <n v="0"/>
    <n v="6.0109289617486336E-2"/>
  </r>
  <r>
    <x v="36"/>
    <n v="0"/>
    <n v="0"/>
    <n v="0"/>
    <n v="0"/>
  </r>
  <r>
    <x v="37"/>
    <n v="0"/>
    <n v="0"/>
    <n v="0"/>
    <n v="0"/>
  </r>
  <r>
    <x v="38"/>
    <n v="0"/>
    <n v="0"/>
    <n v="0"/>
    <n v="0"/>
  </r>
  <r>
    <x v="39"/>
    <n v="5.4644808743169399E-3"/>
    <n v="1.092896174863388E-2"/>
    <n v="0"/>
    <n v="0"/>
  </r>
  <r>
    <x v="40"/>
    <n v="0"/>
    <n v="0"/>
    <n v="1.092896174863388E-2"/>
    <n v="0.12021857923497267"/>
  </r>
  <r>
    <x v="41"/>
    <n v="3.825136612021858E-2"/>
    <n v="0"/>
    <n v="0"/>
    <n v="0"/>
  </r>
  <r>
    <x v="42"/>
    <n v="3.825136612021858E-2"/>
    <n v="3.825136612021858E-2"/>
    <n v="0"/>
    <n v="3.825136612021858E-2"/>
  </r>
  <r>
    <x v="43"/>
    <n v="0"/>
    <n v="3.825136612021858E-2"/>
    <n v="3.825136612021858E-2"/>
    <n v="0"/>
  </r>
  <r>
    <x v="44"/>
    <n v="6.5573770491803282E-2"/>
    <n v="5.4644808743169397E-2"/>
    <n v="4.3715846994535519E-2"/>
    <n v="0"/>
  </r>
  <r>
    <x v="45"/>
    <n v="0"/>
    <n v="5.4644808743169399E-3"/>
    <n v="0"/>
    <n v="0"/>
  </r>
  <r>
    <x v="46"/>
    <n v="2.185792349726776E-2"/>
    <n v="5.4644808743169399E-3"/>
    <n v="3.825136612021858E-2"/>
    <n v="0"/>
  </r>
  <r>
    <x v="47"/>
    <n v="0"/>
    <n v="5.4644808743169399E-3"/>
    <n v="0"/>
    <n v="0.12021857923497267"/>
  </r>
  <r>
    <x v="48"/>
    <n v="1.092896174863388E-2"/>
    <n v="3.825136612021858E-2"/>
    <n v="0"/>
    <n v="4.9180327868852458E-2"/>
  </r>
  <r>
    <x v="49"/>
    <n v="1.6393442622950821E-2"/>
    <n v="2.185792349726776E-2"/>
    <n v="5.4644808743169399E-3"/>
    <n v="6.0109289617486336E-2"/>
  </r>
  <r>
    <x v="50"/>
    <n v="5.4644808743169399E-3"/>
    <n v="0"/>
    <n v="1.6393442622950821E-2"/>
    <n v="0"/>
  </r>
  <r>
    <x v="51"/>
    <n v="9.2896174863387984E-2"/>
    <n v="5.4644808743169399E-3"/>
    <n v="5.4644808743169399E-3"/>
    <n v="0"/>
  </r>
  <r>
    <x v="52"/>
    <n v="0"/>
    <n v="0"/>
    <n v="5.4644808743169399E-3"/>
    <n v="5.4644808743169399E-3"/>
  </r>
  <r>
    <x v="53"/>
    <n v="0"/>
    <n v="1.092896174863388E-2"/>
    <n v="1.092896174863388E-2"/>
    <n v="0"/>
  </r>
  <r>
    <x v="54"/>
    <n v="0"/>
    <n v="2.185792349726776E-2"/>
    <n v="3.825136612021858E-2"/>
    <n v="0"/>
  </r>
  <r>
    <x v="55"/>
    <n v="0"/>
    <n v="0"/>
    <n v="4.9180327868852458E-2"/>
    <n v="0"/>
  </r>
  <r>
    <x v="56"/>
    <n v="6.5573770491803282E-2"/>
    <n v="6.5573770491803282E-2"/>
    <n v="0"/>
    <n v="0"/>
  </r>
  <r>
    <x v="57"/>
    <n v="0"/>
    <n v="1.092896174863388E-2"/>
    <n v="0"/>
    <n v="0"/>
  </r>
  <r>
    <x v="58"/>
    <n v="0"/>
    <n v="0"/>
    <n v="0"/>
    <n v="8.1967213114754092E-2"/>
  </r>
  <r>
    <x v="59"/>
    <n v="6.5573770491803282E-2"/>
    <n v="0"/>
    <n v="0"/>
    <n v="0"/>
  </r>
  <r>
    <x v="60"/>
    <n v="0"/>
    <n v="0"/>
    <n v="6.5573770491803282E-2"/>
    <n v="0"/>
  </r>
  <r>
    <x v="61"/>
    <n v="0"/>
    <n v="5.4644808743169399E-3"/>
    <n v="0"/>
    <n v="0"/>
  </r>
  <r>
    <x v="62"/>
    <n v="0"/>
    <n v="0"/>
    <n v="0"/>
    <n v="0"/>
  </r>
  <r>
    <x v="63"/>
    <n v="0"/>
    <n v="5.4644808743169399E-3"/>
    <n v="6.5573770491803282E-2"/>
    <n v="0"/>
  </r>
  <r>
    <x v="64"/>
    <n v="0"/>
    <n v="5.4644808743169399E-3"/>
    <n v="0"/>
    <n v="0"/>
  </r>
  <r>
    <x v="65"/>
    <n v="0"/>
    <n v="5.4644808743169399E-3"/>
    <n v="0"/>
    <n v="0"/>
  </r>
  <r>
    <x v="66"/>
    <n v="0"/>
    <n v="0"/>
    <n v="0"/>
    <n v="0"/>
  </r>
  <r>
    <x v="67"/>
    <n v="0"/>
    <n v="5.4644808743169399E-3"/>
    <n v="0"/>
    <n v="7.1038251366120214E-2"/>
  </r>
  <r>
    <x v="68"/>
    <n v="0"/>
    <n v="0"/>
    <n v="0"/>
    <n v="0"/>
  </r>
  <r>
    <x v="69"/>
    <n v="0"/>
    <n v="0"/>
    <n v="0"/>
    <n v="0"/>
  </r>
  <r>
    <x v="70"/>
    <n v="0"/>
    <n v="0"/>
    <n v="0"/>
    <n v="4.3715846994535519E-2"/>
  </r>
  <r>
    <x v="71"/>
    <n v="0"/>
    <n v="0"/>
    <n v="0"/>
    <n v="0"/>
  </r>
  <r>
    <x v="72"/>
    <n v="0"/>
    <n v="0"/>
    <n v="0"/>
    <n v="0"/>
  </r>
  <r>
    <x v="73"/>
    <n v="0"/>
    <n v="0"/>
    <n v="0"/>
    <n v="0"/>
  </r>
  <r>
    <x v="74"/>
    <n v="0"/>
    <n v="0"/>
    <n v="0"/>
    <n v="0"/>
  </r>
  <r>
    <x v="75"/>
    <n v="0"/>
    <n v="0"/>
    <n v="0"/>
    <n v="0"/>
  </r>
  <r>
    <x v="76"/>
    <n v="0"/>
    <n v="0"/>
    <n v="0"/>
    <n v="0"/>
  </r>
  <r>
    <x v="77"/>
    <n v="0"/>
    <n v="0"/>
    <n v="0"/>
    <n v="0"/>
  </r>
  <r>
    <x v="78"/>
    <n v="0"/>
    <n v="0"/>
    <n v="0"/>
    <n v="0"/>
  </r>
  <r>
    <x v="79"/>
    <n v="0"/>
    <n v="0"/>
    <n v="0"/>
    <n v="0"/>
  </r>
  <r>
    <x v="80"/>
    <n v="0"/>
    <n v="0"/>
    <n v="0"/>
    <n v="0"/>
  </r>
  <r>
    <x v="81"/>
    <n v="0"/>
    <n v="0"/>
    <n v="0"/>
    <n v="0"/>
  </r>
  <r>
    <x v="82"/>
    <n v="0"/>
    <n v="0"/>
    <n v="0"/>
    <n v="0"/>
  </r>
  <r>
    <x v="83"/>
    <n v="0"/>
    <n v="0"/>
    <n v="0"/>
    <n v="0"/>
  </r>
  <r>
    <x v="84"/>
    <n v="0"/>
    <n v="0"/>
    <n v="0"/>
    <n v="0"/>
  </r>
  <r>
    <x v="85"/>
    <n v="0"/>
    <n v="0"/>
    <n v="0"/>
    <n v="0"/>
  </r>
  <r>
    <x v="86"/>
    <n v="0"/>
    <n v="0"/>
    <n v="0"/>
    <n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3">
  <r>
    <s v="WLH/KEC/SIEC/SEWAGE/BASEMENT/00"/>
    <x v="0"/>
    <d v="2025-03-31T00:00:00"/>
    <d v="2025-03-31T00:00:00"/>
    <d v="2025-04-14T00:00:00"/>
    <d v="2025-05-26T00:00:00"/>
    <d v="2025-03-01T00:00:00"/>
    <d v="2025-04-01T00:00:00"/>
    <d v="2025-04-01T00:00:00"/>
    <d v="2025-05-01T00:00:00"/>
  </r>
  <r>
    <s v="WLH/KEC/SIEC/DRAINAGE/BASEMENT/00"/>
    <x v="0"/>
    <d v="2025-03-31T00:00:00"/>
    <d v="2025-03-31T00:00:00"/>
    <d v="2025-04-14T00:00:00"/>
    <d v="2025-05-26T00:00:00"/>
    <d v="2025-03-01T00:00:00"/>
    <d v="2025-04-01T00:00:00"/>
    <d v="2025-04-01T00:00:00"/>
    <d v="2025-05-01T00:00:00"/>
  </r>
  <r>
    <s v="WLH/KEC/SIEC/WATER SUPPLY/GF FL/00"/>
    <x v="0"/>
    <d v="2025-03-31T00:00:00"/>
    <d v="2025-04-07T00:00:00"/>
    <d v="2025-04-14T00:00:00"/>
    <d v="2025-06-02T00:00:00"/>
    <d v="2025-03-01T00:00:00"/>
    <d v="2025-04-01T00:00:00"/>
    <d v="2025-04-01T00:00:00"/>
    <d v="2025-06-01T00:00:00"/>
  </r>
  <r>
    <s v="WLH/KEC/SIEC/DRAINAGE/GF FL/00"/>
    <x v="0"/>
    <d v="2025-03-31T00:00:00"/>
    <d v="2025-04-07T00:00:00"/>
    <d v="2025-04-14T00:00:00"/>
    <d v="2025-06-02T00:00:00"/>
    <d v="2025-03-01T00:00:00"/>
    <d v="2025-04-01T00:00:00"/>
    <d v="2025-04-01T00:00:00"/>
    <d v="2025-06-01T00:00:00"/>
  </r>
  <r>
    <s v="WLH/KEC/SIEC/WATER SUPPLY/1ST FL/00"/>
    <x v="0"/>
    <d v="2025-11-10T00:00:00"/>
    <d v="2025-11-10T00:00:00"/>
    <d v="2025-11-24T00:00:00"/>
    <d v="2025-12-01T00:00:00"/>
    <d v="2025-11-01T00:00:00"/>
    <d v="2025-11-01T00:00:00"/>
    <d v="2025-11-01T00:00:00"/>
    <d v="2025-12-01T00:00:00"/>
  </r>
  <r>
    <s v="WLH/KEC/SIEC/DRAINAGE/1ST FL/00"/>
    <x v="0"/>
    <d v="2025-11-10T00:00:00"/>
    <d v="2025-11-10T00:00:00"/>
    <d v="2025-11-24T00:00:00"/>
    <d v="2025-12-01T00:00:00"/>
    <d v="2025-11-01T00:00:00"/>
    <d v="2025-11-01T00:00:00"/>
    <d v="2025-11-01T00:00:00"/>
    <d v="2025-12-01T00:00:00"/>
  </r>
  <r>
    <s v="WLH/KEC/SIEC/WATER SUPPLY/2ND FL/00"/>
    <x v="0"/>
    <d v="2025-10-27T00:00:00"/>
    <d v="2025-11-03T00:00:00"/>
    <d v="2025-11-10T00:00:00"/>
    <d v="2025-12-01T00:00:00"/>
    <d v="2025-10-01T00:00:00"/>
    <d v="2025-11-01T00:00:00"/>
    <d v="2025-11-01T00:00:00"/>
    <d v="2025-12-01T00:00:00"/>
  </r>
  <r>
    <s v="WLH/KEC/SIEC/DRAINAGE/2ND FL/00"/>
    <x v="0"/>
    <d v="2025-10-27T00:00:00"/>
    <d v="2025-11-03T00:00:00"/>
    <d v="2025-11-10T00:00:00"/>
    <d v="2025-12-01T00:00:00"/>
    <d v="2025-10-01T00:00:00"/>
    <d v="2025-11-01T00:00:00"/>
    <d v="2025-11-01T00:00:00"/>
    <d v="2025-12-01T00:00:00"/>
  </r>
  <r>
    <s v="WLH/KEC/SIEC/WATER SUPPLY/3RD FL/00"/>
    <x v="0"/>
    <d v="2025-10-20T00:00:00"/>
    <d v="2025-10-27T00:00:00"/>
    <d v="2025-11-03T00:00:00"/>
    <d v="2025-12-01T00:00:00"/>
    <d v="2025-10-01T00:00:00"/>
    <d v="2025-10-01T00:00:00"/>
    <d v="2025-11-01T00:00:00"/>
    <d v="2025-12-01T00:00:00"/>
  </r>
  <r>
    <s v="WLH/KEC/SIEC/DRAINAGE/3RD FL/00"/>
    <x v="0"/>
    <d v="2025-10-20T00:00:00"/>
    <d v="2025-10-27T00:00:00"/>
    <d v="2025-11-03T00:00:00"/>
    <d v="2025-12-01T00:00:00"/>
    <d v="2025-10-01T00:00:00"/>
    <d v="2025-10-01T00:00:00"/>
    <d v="2025-11-01T00:00:00"/>
    <d v="2025-12-01T00:00:00"/>
  </r>
  <r>
    <s v="WLH/KEC/SIEC/WATER SUPPLY/4TH FL/00"/>
    <x v="0"/>
    <d v="2025-05-12T00:00:00"/>
    <d v="2025-05-19T00:00:00"/>
    <d v="2025-05-26T00:00:00"/>
    <d v="2025-06-02T00:00:00"/>
    <d v="2025-05-01T00:00:00"/>
    <d v="2025-05-01T00:00:00"/>
    <d v="2025-05-01T00:00:00"/>
    <d v="2025-06-01T00:00:00"/>
  </r>
  <r>
    <s v="WLH/KEC/SIEC/DRAINAGE/4TH FL/00"/>
    <x v="0"/>
    <d v="2025-05-12T00:00:00"/>
    <d v="2025-05-19T00:00:00"/>
    <d v="2025-05-26T00:00:00"/>
    <d v="2025-06-02T00:00:00"/>
    <d v="2025-05-01T00:00:00"/>
    <d v="2025-05-01T00:00:00"/>
    <d v="2025-06-01T00:00:00"/>
    <d v="2025-06-01T00:00:00"/>
  </r>
  <r>
    <s v="WLH/KEC/SIEC/WATER SUPPLY/5TH FL/00"/>
    <x v="0"/>
    <d v="2025-05-26T00:00:00"/>
    <d v="2025-06-30T00:00:00"/>
    <d v="2025-06-16T00:00:00"/>
    <d v="2025-10-13T00:00:00"/>
    <d v="2025-05-01T00:00:00"/>
    <d v="2025-07-01T00:00:00"/>
    <d v="2025-06-01T00:00:00"/>
    <d v="2025-10-01T00:00:00"/>
  </r>
  <r>
    <s v="WLH/KEC/SIEC/DRAINAGE/5TH FL/00"/>
    <x v="0"/>
    <d v="2025-05-26T00:00:00"/>
    <d v="2025-06-30T00:00:00"/>
    <d v="2025-06-16T00:00:00"/>
    <d v="2025-10-13T00:00:00"/>
    <d v="2025-05-01T00:00:00"/>
    <d v="2025-07-01T00:00:00"/>
    <d v="2025-06-01T00:00:00"/>
    <d v="2025-10-01T00:00:00"/>
  </r>
  <r>
    <s v="WLH/KEC/SIEC/WATER SUPPLY/6TH FL/00"/>
    <x v="0"/>
    <d v="2025-06-09T00:00:00"/>
    <d v="2025-07-07T00:00:00"/>
    <d v="2025-06-30T00:00:00"/>
    <d v="2025-10-13T00:00:00"/>
    <d v="2025-06-01T00:00:00"/>
    <d v="2025-07-01T00:00:00"/>
    <d v="2025-07-01T00:00:00"/>
    <d v="2025-10-01T00:00:00"/>
  </r>
  <r>
    <s v="WLH/KEC/SIEC/DRAINAGE/6TH FL/00"/>
    <x v="0"/>
    <d v="2025-06-09T00:00:00"/>
    <d v="2025-07-07T00:00:00"/>
    <d v="2025-06-30T00:00:00"/>
    <d v="2025-10-13T00:00:00"/>
    <d v="2025-06-01T00:00:00"/>
    <d v="2025-07-01T00:00:00"/>
    <d v="2025-07-01T00:00:00"/>
    <d v="2025-10-01T00:00:00"/>
  </r>
  <r>
    <s v="WLH/KEC/SIEC/WATER SUPPLY/7TH FL/00"/>
    <x v="0"/>
    <d v="2025-06-23T00:00:00"/>
    <d v="2025-08-25T00:00:00"/>
    <d v="2025-07-14T00:00:00"/>
    <d v="2025-10-13T00:00:00"/>
    <d v="2025-06-01T00:00:00"/>
    <d v="2025-08-01T00:00:00"/>
    <d v="2025-07-01T00:00:00"/>
    <d v="2025-10-01T00:00:00"/>
  </r>
  <r>
    <s v="WLH/KEC/SIEC/DRAINAGE/7TH FL/00"/>
    <x v="0"/>
    <d v="2025-06-23T00:00:00"/>
    <d v="2025-08-25T00:00:00"/>
    <d v="2025-07-14T00:00:00"/>
    <d v="2025-10-13T00:00:00"/>
    <d v="2025-06-01T00:00:00"/>
    <d v="2025-08-01T00:00:00"/>
    <d v="2025-07-01T00:00:00"/>
    <d v="2025-10-01T00:00:00"/>
  </r>
  <r>
    <s v="WLH/KEC/SIEC/WATER SUPPLY/8TH FL/00"/>
    <x v="0"/>
    <d v="2025-06-23T00:00:00"/>
    <d v="2025-08-25T00:00:00"/>
    <d v="2025-07-14T00:00:00"/>
    <d v="2025-10-27T00:00:00"/>
    <d v="2025-06-01T00:00:00"/>
    <d v="2025-08-01T00:00:00"/>
    <d v="2025-07-01T00:00:00"/>
    <d v="2025-10-01T00:00:00"/>
  </r>
  <r>
    <s v="WLH/KEC/SIEC/DRAINAGE/8TH FL/00"/>
    <x v="0"/>
    <d v="2025-06-23T00:00:00"/>
    <d v="2025-08-25T00:00:00"/>
    <d v="2025-07-14T00:00:00"/>
    <d v="2025-10-27T00:00:00"/>
    <d v="2025-06-01T00:00:00"/>
    <d v="2025-08-01T00:00:00"/>
    <d v="2025-07-01T00:00:00"/>
    <d v="2025-10-01T00:00:00"/>
  </r>
  <r>
    <s v="WLH/KEC/SIEC/WATER SUPPLY/9TH FL/00"/>
    <x v="0"/>
    <d v="2025-07-07T00:00:00"/>
    <d v="2025-06-16T00:00:00"/>
    <d v="2025-07-28T00:00:00"/>
    <d v="2025-07-07T00:00:00"/>
    <d v="2025-07-01T00:00:00"/>
    <d v="2025-06-01T00:00:00"/>
    <d v="2025-08-01T00:00:00"/>
    <d v="2025-07-01T00:00:00"/>
  </r>
  <r>
    <s v="WLH/KEC/SIEC/DRAINAGE/9TH FL/00"/>
    <x v="0"/>
    <d v="2025-07-07T00:00:00"/>
    <d v="2025-06-16T00:00:00"/>
    <d v="2025-07-28T00:00:00"/>
    <d v="2025-07-07T00:00:00"/>
    <d v="2025-07-01T00:00:00"/>
    <d v="2025-06-01T00:00:00"/>
    <d v="2025-08-01T00:00:00"/>
    <d v="2025-07-01T00:00:00"/>
  </r>
  <r>
    <s v="WLH/KEC/SIEC/WATER SUPPLY/10TH FL/00"/>
    <x v="0"/>
    <d v="2025-07-07T00:00:00"/>
    <d v="2025-09-08T00:00:00"/>
    <d v="2025-07-28T00:00:00"/>
    <d v="2025-10-13T00:00:00"/>
    <d v="2025-07-01T00:00:00"/>
    <d v="2025-09-01T00:00:00"/>
    <d v="2025-08-01T00:00:00"/>
    <d v="2025-10-01T00:00:00"/>
  </r>
  <r>
    <s v="WLH/KEC/SIEC/DRAINAGE/10TH FL/00"/>
    <x v="0"/>
    <d v="2025-07-07T00:00:00"/>
    <d v="2025-09-08T00:00:00"/>
    <d v="2025-07-28T00:00:00"/>
    <d v="2025-10-13T00:00:00"/>
    <d v="2025-07-01T00:00:00"/>
    <d v="2025-09-01T00:00:00"/>
    <d v="2025-08-01T00:00:00"/>
    <d v="2025-10-01T00:00:00"/>
  </r>
  <r>
    <s v="WLH/KEC/SIEC/WATER SUPPLY/TERRACE FL/00"/>
    <x v="0"/>
    <d v="2025-11-10T00:00:00"/>
    <d v="2025-11-10T00:00:00"/>
    <d v="2025-08-11T00:00:00"/>
    <d v="2026-02-16T00:00:00"/>
    <d v="2025-11-01T00:00:00"/>
    <d v="2025-11-01T00:00:00"/>
    <d v="2025-08-01T00:00:00"/>
    <d v="2026-02-01T00:00:00"/>
  </r>
  <r>
    <s v="WLH/KEC/SIEC/DRAINAGE/TRRRACE FL/00"/>
    <x v="0"/>
    <d v="2025-11-10T00:00:00"/>
    <d v="2025-11-10T00:00:00"/>
    <d v="2025-08-11T00:00:00"/>
    <d v="2026-02-16T00:00:00"/>
    <d v="2025-11-01T00:00:00"/>
    <d v="2025-11-01T00:00:00"/>
    <d v="2025-08-01T00:00:00"/>
    <d v="2026-02-01T00:00:00"/>
  </r>
  <r>
    <s v="WLH/KEC/SIEC/DRAINAGE/MUMTY TERRACE FL/00"/>
    <x v="0"/>
    <d v="2025-11-10T00:00:00"/>
    <d v="2025-11-24T00:00:00"/>
    <d v="2025-08-11T00:00:00"/>
    <d v="2026-02-16T00:00:00"/>
    <d v="2025-11-01T00:00:00"/>
    <d v="2025-11-01T00:00:00"/>
    <d v="2025-08-01T00:00:00"/>
    <d v="2026-02-01T00:00:00"/>
  </r>
  <r>
    <s v="WLH/KEC/SIEC/PHE/INFRA/EXTSEWERAGE/00"/>
    <x v="0"/>
    <d v="2025-03-10T00:00:00"/>
    <d v="2025-11-03T00:00:00"/>
    <d v="2025-05-26T00:00:00"/>
    <d v="2026-02-16T00:00:00"/>
    <d v="2025-03-01T00:00:00"/>
    <d v="2025-11-01T00:00:00"/>
    <d v="2025-05-01T00:00:00"/>
    <d v="2026-02-01T00:00:00"/>
  </r>
  <r>
    <s v="WLH/KEC/SIEC/PHE/INFRA/00"/>
    <x v="0"/>
    <d v="2025-03-10T00:00:00"/>
    <d v="2025-11-03T00:00:00"/>
    <d v="2025-05-26T00:00:00"/>
    <d v="2026-02-16T00:00:00"/>
    <d v="2025-03-01T00:00:00"/>
    <d v="2025-11-01T00:00:00"/>
    <d v="2025-05-01T00:00:00"/>
    <d v="2026-02-01T00:00:00"/>
  </r>
  <r>
    <s v="WLH/KEC/SIEC/PHE/INFRA WATER SUPPLY/00"/>
    <x v="0"/>
    <d v="2025-03-10T00:00:00"/>
    <d v="2025-11-03T00:00:00"/>
    <d v="2025-05-26T00:00:00"/>
    <d v="2026-02-16T00:00:00"/>
    <d v="2025-03-01T00:00:00"/>
    <d v="2025-11-01T00:00:00"/>
    <d v="2025-05-01T00:00:00"/>
    <d v="2026-02-01T00:00:00"/>
  </r>
  <r>
    <s v="WLH/KEC/SIEC/PHE/INFRA/EXTSTORMWATER/00"/>
    <x v="0"/>
    <d v="2025-03-10T00:00:00"/>
    <d v="2025-11-03T00:00:00"/>
    <d v="2025-05-26T00:00:00"/>
    <d v="2026-02-16T00:00:00"/>
    <d v="2025-03-01T00:00:00"/>
    <d v="2025-11-01T00:00:00"/>
    <d v="2025-05-01T00:00:00"/>
    <d v="2026-02-01T00:00:00"/>
  </r>
  <r>
    <s v="WLH/KEC/SIEC/PHE/INFRA/RECHARGE BOREWELL00"/>
    <x v="0"/>
    <d v="2025-03-10T00:00:00"/>
    <d v="2025-11-03T00:00:00"/>
    <d v="2025-05-26T00:00:00"/>
    <d v="2026-02-16T00:00:00"/>
    <d v="2025-03-01T00:00:00"/>
    <d v="2025-11-01T00:00:00"/>
    <d v="2025-05-01T00:00:00"/>
    <d v="2026-02-01T00:00:00"/>
  </r>
  <r>
    <s v="WLH/KEC/SIEC/WATER SUPPLY SLD/00"/>
    <x v="0"/>
    <d v="2025-03-10T00:00:00"/>
    <d v="2025-03-10T00:00:00"/>
    <d v="2025-05-26T00:00:00"/>
    <d v="2026-02-23T00:00:00"/>
    <d v="2025-03-01T00:00:00"/>
    <d v="2025-03-01T00:00:00"/>
    <d v="2025-05-01T00:00:00"/>
    <d v="2026-02-01T00:00:00"/>
  </r>
  <r>
    <s v="WLH/KEC/SIEC/SANITARY DRAINAGE/SLD/00"/>
    <x v="0"/>
    <d v="2025-06-16T00:00:00"/>
    <d v="2025-08-25T00:00:00"/>
    <d v="2025-06-23T00:00:00"/>
    <d v="2025-08-25T00:00:00"/>
    <d v="2025-06-01T00:00:00"/>
    <d v="2025-08-01T00:00:00"/>
    <d v="2025-06-01T00:00:00"/>
    <d v="2025-08-01T00:00:00"/>
  </r>
  <r>
    <s v="WLH/KEC/SIEC/RAIN WATER DRAINAGE/SLD/00"/>
    <x v="0"/>
    <d v="2025-06-16T00:00:00"/>
    <d v="2025-08-25T00:00:00"/>
    <d v="2025-06-23T00:00:00"/>
    <d v="2025-08-25T00:00:00"/>
    <d v="2025-06-01T00:00:00"/>
    <d v="2025-08-01T00:00:00"/>
    <d v="2025-06-01T00:00:00"/>
    <d v="2025-08-01T00:00:00"/>
  </r>
  <r>
    <s v="WLH/KEC/SIEC/OWT/PHE/00"/>
    <x v="0"/>
    <d v="2025-06-16T00:00:00"/>
    <d v="2025-11-24T00:00:00"/>
    <d v="2025-06-23T00:00:00"/>
    <s v=""/>
    <d v="2025-06-01T00:00:00"/>
    <d v="2025-11-01T00:00:00"/>
    <d v="2025-06-01T00:00:00"/>
    <s v=""/>
  </r>
  <r>
    <s v="WLH/KEC/SIEC/DRAINAGE/BASEMENT/DEWATERING/00"/>
    <x v="0"/>
    <d v="2025-03-10T00:00:00"/>
    <d v="2025-03-10T00:00:00"/>
    <d v="2025-05-26T00:00:00"/>
    <d v="2025-05-26T00:00:00"/>
    <d v="2025-03-01T00:00:00"/>
    <d v="2025-03-01T00:00:00"/>
    <d v="2025-05-01T00:00:00"/>
    <d v="2025-05-01T00:00:00"/>
  </r>
  <r>
    <s v="WLH/KEC/SIEC/PHE/CONST. DETAILS/00"/>
    <x v="0"/>
    <d v="2025-03-10T00:00:00"/>
    <d v="2025-08-25T00:00:00"/>
    <d v="2025-05-26T00:00:00"/>
    <d v="2025-08-25T00:00:00"/>
    <d v="2025-03-01T00:00:00"/>
    <d v="2025-08-01T00:00:00"/>
    <d v="2025-05-01T00:00:00"/>
    <d v="2025-08-01T00:00:00"/>
  </r>
  <r>
    <s v="WLH/KEC/SIEC/WATER SUPPLY/EXTERNAL/00"/>
    <x v="0"/>
    <d v="2025-03-10T00:00:00"/>
    <d v="2025-03-10T00:00:00"/>
    <d v="2025-05-26T00:00:00"/>
    <d v="2026-02-16T00:00:00"/>
    <d v="2025-03-01T00:00:00"/>
    <d v="2025-03-01T00:00:00"/>
    <d v="2025-05-01T00:00:00"/>
    <d v="2026-02-01T00:00:00"/>
  </r>
  <r>
    <s v="WLH/KEC/SIEC/PHE/BASEMENT TOILET/00"/>
    <x v="0"/>
    <d v="2025-03-10T00:00:00"/>
    <d v="2025-03-10T00:00:00"/>
    <d v="2025-05-26T00:00:00"/>
    <d v="2025-05-26T00:00:00"/>
    <d v="2025-03-01T00:00:00"/>
    <d v="2025-03-01T00:00:00"/>
    <d v="2025-05-01T00:00:00"/>
    <d v="2025-05-01T00:00:00"/>
  </r>
  <r>
    <s v="WLH/KEC/SIEC/DRAINAGE/SUMP DETAIL/00"/>
    <x v="0"/>
    <d v="2025-03-10T00:00:00"/>
    <d v="2025-03-10T00:00:00"/>
    <d v="2025-05-26T00:00:00"/>
    <d v="2025-05-26T00:00:00"/>
    <d v="2025-03-01T00:00:00"/>
    <d v="2025-03-01T00:00:00"/>
    <d v="2025-05-01T00:00:00"/>
    <d v="2025-05-01T00:00:00"/>
  </r>
  <r>
    <s v="WLH/KEC/STP/BASEMENT/00"/>
    <x v="0"/>
    <d v="2025-03-10T00:00:00"/>
    <d v="2025-03-10T00:00:00"/>
    <d v="2025-04-14T00:00:00"/>
    <d v="2025-04-14T00:00:00"/>
    <d v="2025-03-01T00:00:00"/>
    <d v="2025-03-01T00:00:00"/>
    <d v="2025-04-01T00:00:00"/>
    <d v="2025-04-01T00:00:00"/>
  </r>
  <r>
    <s v="WLH/KEC/STP/SCHEMATIC"/>
    <x v="0"/>
    <d v="2025-03-10T00:00:00"/>
    <d v="2025-03-10T00:00:00"/>
    <d v="2025-04-07T00:00:00"/>
    <d v="2025-04-07T00:00:00"/>
    <d v="2025-03-01T00:00:00"/>
    <d v="2025-03-01T00:00:00"/>
    <d v="2025-04-01T00:00:00"/>
    <d v="2025-04-01T00:00:00"/>
  </r>
  <r>
    <s v="WLH/KEC/ETP/SCHEMATIC"/>
    <x v="0"/>
    <d v="2025-03-10T00:00:00"/>
    <d v="2025-03-10T00:00:00"/>
    <d v="2025-04-07T00:00:00"/>
    <d v="2025-04-07T00:00:00"/>
    <d v="2025-03-01T00:00:00"/>
    <d v="2025-03-01T00:00:00"/>
    <d v="2025-04-01T00:00:00"/>
    <d v="2025-04-01T00:00:00"/>
  </r>
  <r>
    <s v="WLH/KEC/ETP/BASEMENT/00"/>
    <x v="0"/>
    <d v="2025-03-10T00:00:00"/>
    <d v="2025-03-10T00:00:00"/>
    <d v="2025-04-07T00:00:00"/>
    <d v="2025-04-07T00:00:00"/>
    <d v="2025-03-01T00:00:00"/>
    <d v="2025-03-01T00:00:00"/>
    <d v="2025-04-01T00:00:00"/>
    <d v="2025-04-01T00:00:00"/>
  </r>
  <r>
    <s v="WLH/KEC/SIEC/PHE/IRRIGATION/00"/>
    <x v="0"/>
    <d v="2025-03-10T00:00:00"/>
    <d v="2025-11-03T00:00:00"/>
    <d v="2025-05-26T00:00:00"/>
    <d v="2026-02-16T00:00:00"/>
    <d v="2025-03-01T00:00:00"/>
    <d v="2025-11-01T00:00:00"/>
    <d v="2025-05-01T00:00:00"/>
    <d v="2026-02-01T00:00:00"/>
  </r>
  <r>
    <s v="WLH/KEC/SIEC/ELEC/INFRA/00"/>
    <x v="0"/>
    <d v="2025-03-10T00:00:00"/>
    <d v="2025-11-03T00:00:00"/>
    <d v="2025-06-02T00:00:00"/>
    <d v="2026-03-02T00:00:00"/>
    <d v="2025-03-01T00:00:00"/>
    <d v="2025-11-01T00:00:00"/>
    <d v="2025-06-01T00:00:00"/>
    <d v="2026-03-01T00:00:00"/>
  </r>
  <r>
    <s v="WLH/KEC/SIEC/ELEC/DG/00"/>
    <x v="0"/>
    <d v="2025-12-29T00:00:00"/>
    <d v="2026-02-02T00:00:00"/>
    <d v="2025-06-02T00:00:00"/>
    <d v="2026-03-02T00:00:00"/>
    <d v="2025-12-01T00:00:00"/>
    <d v="2026-02-01T00:00:00"/>
    <d v="2025-06-01T00:00:00"/>
    <d v="2026-03-01T00:00:00"/>
  </r>
  <r>
    <s v="WLH/KEC/SIEC/ELEC/EXTERNAL LIGHTING/00"/>
    <x v="0"/>
    <d v="2025-07-14T00:00:00"/>
    <d v="2025-11-10T00:00:00"/>
    <d v="2025-08-11T00:00:00"/>
    <s v=""/>
    <d v="2025-07-01T00:00:00"/>
    <d v="2025-11-01T00:00:00"/>
    <d v="2025-08-01T00:00:00"/>
    <s v=""/>
  </r>
  <r>
    <s v="WLH/KEC/SIEC/ELEC/SUBSTATION/00"/>
    <x v="0"/>
    <d v="2025-06-09T00:00:00"/>
    <d v="2025-11-03T00:00:00"/>
    <d v="2025-07-07T00:00:00"/>
    <d v="2026-03-02T00:00:00"/>
    <d v="2025-06-01T00:00:00"/>
    <d v="2025-11-01T00:00:00"/>
    <d v="2025-07-01T00:00:00"/>
    <d v="2026-03-01T00:00:00"/>
  </r>
  <r>
    <s v="WLH/KEC/SIEC/ELEC/EARTHING GRID SCHEMATIC/00"/>
    <x v="0"/>
    <d v="2025-03-10T00:00:00"/>
    <d v="2025-03-10T00:00:00"/>
    <d v="2025-06-02T00:00:00"/>
    <s v=""/>
    <d v="2025-03-01T00:00:00"/>
    <d v="2025-03-01T00:00:00"/>
    <d v="2025-06-01T00:00:00"/>
    <s v=""/>
  </r>
  <r>
    <s v="WLH/KEC/SIEC/ELECTRICAL/DBR/00"/>
    <x v="0"/>
    <d v="2025-03-10T00:00:00"/>
    <d v="2025-03-10T00:00:00"/>
    <d v="2025-06-02T00:00:00"/>
    <d v="2025-05-26T00:00:00"/>
    <d v="2025-03-01T00:00:00"/>
    <d v="2025-03-01T00:00:00"/>
    <d v="2025-06-01T00:00:00"/>
    <d v="2025-05-01T00:00:00"/>
  </r>
  <r>
    <s v="WLH/KEC/SIEC/ELEC/MUMTY TERRACE SOLAR/00"/>
    <x v="0"/>
    <d v="2025-07-14T00:00:00"/>
    <d v="2025-11-10T00:00:00"/>
    <d v="2025-08-11T00:00:00"/>
    <d v="2026-02-02T00:00:00"/>
    <d v="2025-07-01T00:00:00"/>
    <d v="2025-11-01T00:00:00"/>
    <d v="2025-08-01T00:00:00"/>
    <d v="2026-02-01T00:00:00"/>
  </r>
  <r>
    <s v="WLH/KEC/SIEC/ELEC/EQUIPMENT &amp; EARTHING/00"/>
    <x v="0"/>
    <d v="2025-03-10T00:00:00"/>
    <d v="2025-03-10T00:00:00"/>
    <d v="2025-06-02T00:00:00"/>
    <d v="2026-02-23T00:00:00"/>
    <d v="2025-03-01T00:00:00"/>
    <d v="2025-03-01T00:00:00"/>
    <d v="2025-06-01T00:00:00"/>
    <d v="2026-02-01T00:00:00"/>
  </r>
  <r>
    <s v="WLH/KEC/SIEC/ELEC/HEIGHT SCHEDULE/00"/>
    <x v="0"/>
    <d v="2025-07-14T00:00:00"/>
    <d v="2025-03-10T00:00:00"/>
    <d v="2025-08-11T00:00:00"/>
    <d v="2025-05-26T00:00:00"/>
    <d v="2025-07-01T00:00:00"/>
    <d v="2025-03-01T00:00:00"/>
    <d v="2025-08-01T00:00:00"/>
    <d v="2025-05-01T00:00:00"/>
  </r>
  <r>
    <s v="WLH/KEC/SIEC/ELEC/EXTCT/00"/>
    <x v="0"/>
    <d v="2025-03-10T00:00:00"/>
    <d v="2025-03-10T00:00:00"/>
    <d v="2025-06-02T00:00:00"/>
    <d v="2026-02-23T00:00:00"/>
    <d v="2025-03-01T00:00:00"/>
    <d v="2025-03-01T00:00:00"/>
    <d v="2025-06-01T00:00:00"/>
    <d v="2026-02-01T00:00:00"/>
  </r>
  <r>
    <s v="WLH/KEC/SIEC/ELEC/MAIN ROOM DETAILED LAYOUT/00"/>
    <x v="0"/>
    <d v="2025-03-10T00:00:00"/>
    <d v="2025-03-10T00:00:00"/>
    <d v="2025-06-02T00:00:00"/>
    <d v="2026-02-23T00:00:00"/>
    <d v="2025-03-01T00:00:00"/>
    <d v="2025-03-01T00:00:00"/>
    <d v="2025-06-01T00:00:00"/>
    <d v="2026-02-01T00:00:00"/>
  </r>
  <r>
    <s v="WLH/KEC/SIEC/ELEC/UPS/00"/>
    <x v="0"/>
    <d v="2025-12-29T00:00:00"/>
    <d v="2026-02-02T00:00:00"/>
    <d v="2026-01-26T00:00:00"/>
    <d v="2026-02-23T00:00:00"/>
    <d v="2025-12-01T00:00:00"/>
    <d v="2026-02-01T00:00:00"/>
    <d v="2026-01-01T00:00:00"/>
    <d v="2026-02-01T00:00:00"/>
  </r>
  <r>
    <s v="WLH/KEC/SIEC/ELEC/POWER CONDUIT/BASEMENT/01"/>
    <x v="0"/>
    <d v="2025-03-31T00:00:00"/>
    <d v="2025-03-31T00:00:00"/>
    <d v="2025-04-14T00:00:00"/>
    <d v="2025-05-26T00:00:00"/>
    <d v="2025-03-01T00:00:00"/>
    <d v="2025-04-01T00:00:00"/>
    <d v="2025-04-01T00:00:00"/>
    <d v="2025-05-01T00:00:00"/>
  </r>
  <r>
    <s v="WLH/KEC/SIEC/ELEC/POWER CONDUIT/BASEMENT/02"/>
    <x v="0"/>
    <d v="2025-03-31T00:00:00"/>
    <d v="2025-03-31T00:00:00"/>
    <d v="2025-04-14T00:00:00"/>
    <d v="2025-05-26T00:00:00"/>
    <d v="2025-03-01T00:00:00"/>
    <d v="2025-04-01T00:00:00"/>
    <d v="2025-04-01T00:00:00"/>
    <d v="2025-05-01T00:00:00"/>
  </r>
  <r>
    <s v="WLH/KEC/SIEC/ELEC/POWER CONDUIT/BASEMENT/03"/>
    <x v="0"/>
    <d v="2025-03-31T00:00:00"/>
    <d v="2025-03-31T00:00:00"/>
    <d v="2025-04-14T00:00:00"/>
    <d v="2025-05-26T00:00:00"/>
    <d v="2025-03-01T00:00:00"/>
    <d v="2025-04-01T00:00:00"/>
    <d v="2025-04-01T00:00:00"/>
    <d v="2025-05-01T00:00:00"/>
  </r>
  <r>
    <s v="WLH/KEC/SIEC/ELEC/LIGHTING CONDUIT/BASEMENT/00"/>
    <x v="0"/>
    <d v="2025-03-31T00:00:00"/>
    <d v="2025-03-31T00:00:00"/>
    <d v="2025-04-14T00:00:00"/>
    <d v="2025-05-26T00:00:00"/>
    <d v="2025-03-01T00:00:00"/>
    <d v="2025-04-01T00:00:00"/>
    <d v="2025-04-01T00:00:00"/>
    <d v="2025-05-01T00:00:00"/>
  </r>
  <r>
    <s v="WLH/KEC/SIEC/ELEC/BASEMENT/00"/>
    <x v="0"/>
    <d v="2025-03-31T00:00:00"/>
    <d v="2025-04-07T00:00:00"/>
    <d v="2025-04-14T00:00:00"/>
    <d v="2025-05-26T00:00:00"/>
    <d v="2025-03-01T00:00:00"/>
    <d v="2025-04-01T00:00:00"/>
    <d v="2025-04-01T00:00:00"/>
    <d v="2025-05-01T00:00:00"/>
  </r>
  <r>
    <s v="WLH/KEC/SIEC/ELEC/POWER CONDUIT/GR FL/01"/>
    <x v="0"/>
    <d v="2025-03-31T00:00:00"/>
    <d v="2025-04-07T00:00:00"/>
    <d v="2025-04-14T00:00:00"/>
    <d v="2025-06-02T00:00:00"/>
    <d v="2025-03-01T00:00:00"/>
    <d v="2025-04-01T00:00:00"/>
    <d v="2025-04-01T00:00:00"/>
    <d v="2025-06-01T00:00:00"/>
  </r>
  <r>
    <s v="WLH/KEC/SIEC/ELEC/POWER CONDUIT/GR FL/02"/>
    <x v="0"/>
    <d v="2025-03-31T00:00:00"/>
    <d v="2025-04-07T00:00:00"/>
    <d v="2025-04-14T00:00:00"/>
    <d v="2025-06-02T00:00:00"/>
    <d v="2025-03-01T00:00:00"/>
    <d v="2025-04-01T00:00:00"/>
    <d v="2025-04-01T00:00:00"/>
    <d v="2025-06-01T00:00:00"/>
  </r>
  <r>
    <s v="WLH/KEC/SIEC/ELEC/POWER CONDUIT/GR FL/03"/>
    <x v="0"/>
    <d v="2025-03-31T00:00:00"/>
    <d v="2025-04-07T00:00:00"/>
    <d v="2025-04-14T00:00:00"/>
    <d v="2025-06-02T00:00:00"/>
    <d v="2025-03-01T00:00:00"/>
    <d v="2025-04-01T00:00:00"/>
    <d v="2025-04-01T00:00:00"/>
    <d v="2025-06-01T00:00:00"/>
  </r>
  <r>
    <s v="WLH/KEC/SIEC/ELEC/LIGHTING CONDUIT/GR FL/00"/>
    <x v="0"/>
    <d v="2025-03-31T00:00:00"/>
    <d v="2025-04-07T00:00:00"/>
    <d v="2025-04-14T00:00:00"/>
    <d v="2025-06-02T00:00:00"/>
    <d v="2025-03-01T00:00:00"/>
    <d v="2025-04-01T00:00:00"/>
    <d v="2025-04-01T00:00:00"/>
    <d v="2025-06-01T00:00:00"/>
  </r>
  <r>
    <s v="WLH/KEC/SIEC/ELEC/GFCT/00"/>
    <x v="0"/>
    <d v="2025-03-31T00:00:00"/>
    <d v="2025-04-07T00:00:00"/>
    <d v="2025-04-14T00:00:00"/>
    <d v="2025-06-02T00:00:00"/>
    <d v="2025-03-01T00:00:00"/>
    <d v="2025-04-01T00:00:00"/>
    <d v="2025-04-01T00:00:00"/>
    <d v="2025-06-01T00:00:00"/>
  </r>
  <r>
    <s v="WLH/KEC/SIEC/ELEC/POWER CONDUIT/1ST FL/01"/>
    <x v="0"/>
    <d v="2025-11-10T00:00:00"/>
    <d v="2025-11-10T00:00:00"/>
    <d v="2025-11-24T00:00:00"/>
    <d v="2025-12-01T00:00:00"/>
    <d v="2025-11-01T00:00:00"/>
    <d v="2025-11-01T00:00:00"/>
    <d v="2025-11-01T00:00:00"/>
    <d v="2025-12-01T00:00:00"/>
  </r>
  <r>
    <s v="WLH/KEC/SIEC/ELEC/POWER CONDUIT/1ST FL/02"/>
    <x v="0"/>
    <d v="2025-11-10T00:00:00"/>
    <d v="2025-11-10T00:00:00"/>
    <d v="2025-11-24T00:00:00"/>
    <d v="2025-12-01T00:00:00"/>
    <d v="2025-11-01T00:00:00"/>
    <d v="2025-11-01T00:00:00"/>
    <d v="2025-11-01T00:00:00"/>
    <d v="2025-12-01T00:00:00"/>
  </r>
  <r>
    <s v="WLH/KEC/SIEC/ELEC/POWER CONDUIT/1ST FL/03"/>
    <x v="0"/>
    <d v="2025-11-10T00:00:00"/>
    <d v="2025-11-10T00:00:00"/>
    <d v="2025-11-24T00:00:00"/>
    <d v="2025-12-01T00:00:00"/>
    <d v="2025-11-01T00:00:00"/>
    <d v="2025-11-01T00:00:00"/>
    <d v="2025-11-01T00:00:00"/>
    <d v="2025-12-01T00:00:00"/>
  </r>
  <r>
    <s v="WLH/KEC/SIEC/ELEC/LIGHTING CONDUIT/1ST FL/00"/>
    <x v="0"/>
    <d v="2025-11-10T00:00:00"/>
    <d v="2025-11-10T00:00:00"/>
    <d v="2025-11-24T00:00:00"/>
    <d v="2025-12-01T00:00:00"/>
    <d v="2025-11-01T00:00:00"/>
    <d v="2025-11-01T00:00:00"/>
    <d v="2025-11-01T00:00:00"/>
    <d v="2025-12-01T00:00:00"/>
  </r>
  <r>
    <s v="WLH/KEC/SIEC/ELEC/POWERCONDUIT/2ND FL/01"/>
    <x v="0"/>
    <d v="2025-10-27T00:00:00"/>
    <d v="2025-11-03T00:00:00"/>
    <d v="2025-11-10T00:00:00"/>
    <d v="2025-12-01T00:00:00"/>
    <d v="2025-10-01T00:00:00"/>
    <d v="2025-11-01T00:00:00"/>
    <d v="2025-11-01T00:00:00"/>
    <d v="2025-12-01T00:00:00"/>
  </r>
  <r>
    <s v="WLH/KEC/SIEC/ELEC/POWERCONDUIT/2ND FL/02"/>
    <x v="0"/>
    <d v="2025-10-27T00:00:00"/>
    <d v="2025-11-03T00:00:00"/>
    <d v="2025-11-10T00:00:00"/>
    <d v="2025-12-01T00:00:00"/>
    <d v="2025-10-01T00:00:00"/>
    <d v="2025-11-01T00:00:00"/>
    <d v="2025-11-01T00:00:00"/>
    <d v="2025-12-01T00:00:00"/>
  </r>
  <r>
    <s v="WLH/KEC/SIEC/ELEC/POWERCONDUIT/2ND FL/03"/>
    <x v="0"/>
    <d v="2025-10-27T00:00:00"/>
    <d v="2025-11-03T00:00:00"/>
    <d v="2025-11-10T00:00:00"/>
    <d v="2025-12-01T00:00:00"/>
    <d v="2025-10-01T00:00:00"/>
    <d v="2025-11-01T00:00:00"/>
    <d v="2025-11-01T00:00:00"/>
    <d v="2025-12-01T00:00:00"/>
  </r>
  <r>
    <s v="WLH/KEC/SIEC/ELEC/LIGHTING CONDUIT/2ND FL/00"/>
    <x v="0"/>
    <d v="2025-10-27T00:00:00"/>
    <d v="2025-11-03T00:00:00"/>
    <d v="2025-11-10T00:00:00"/>
    <d v="2025-12-01T00:00:00"/>
    <d v="2025-10-01T00:00:00"/>
    <d v="2025-11-01T00:00:00"/>
    <d v="2025-11-01T00:00:00"/>
    <d v="2025-12-01T00:00:00"/>
  </r>
  <r>
    <s v="WLH/KEC/SIEC/ELEC/2NDCT/00"/>
    <x v="0"/>
    <d v="2025-10-27T00:00:00"/>
    <d v="2025-11-03T00:00:00"/>
    <d v="2025-11-10T00:00:00"/>
    <d v="2025-12-01T00:00:00"/>
    <d v="2025-10-01T00:00:00"/>
    <d v="2025-11-01T00:00:00"/>
    <d v="2025-11-01T00:00:00"/>
    <d v="2025-12-01T00:00:00"/>
  </r>
  <r>
    <s v="WLH/KEC/SIEC/ELEC/POWER CONDUIT/3RD FL/01"/>
    <x v="0"/>
    <d v="2025-10-20T00:00:00"/>
    <d v="2025-10-27T00:00:00"/>
    <d v="2025-11-03T00:00:00"/>
    <d v="2025-12-01T00:00:00"/>
    <d v="2025-10-01T00:00:00"/>
    <d v="2025-10-01T00:00:00"/>
    <d v="2025-11-01T00:00:00"/>
    <d v="2025-12-01T00:00:00"/>
  </r>
  <r>
    <s v="WLH/KEC/SIEC/ELEC/POWER CONDUIT/3RD FL/02"/>
    <x v="0"/>
    <d v="2025-10-20T00:00:00"/>
    <d v="2025-10-27T00:00:00"/>
    <d v="2025-11-03T00:00:00"/>
    <d v="2025-12-01T00:00:00"/>
    <d v="2025-10-01T00:00:00"/>
    <d v="2025-10-01T00:00:00"/>
    <d v="2025-11-01T00:00:00"/>
    <d v="2025-12-01T00:00:00"/>
  </r>
  <r>
    <s v="WLH/KEC/SIEC/ELEC/POWER CONDUIT/3RD FL/03"/>
    <x v="0"/>
    <d v="2025-10-20T00:00:00"/>
    <d v="2025-10-27T00:00:00"/>
    <d v="2025-11-03T00:00:00"/>
    <d v="2025-12-01T00:00:00"/>
    <d v="2025-10-01T00:00:00"/>
    <d v="2025-10-01T00:00:00"/>
    <d v="2025-11-01T00:00:00"/>
    <d v="2025-12-01T00:00:00"/>
  </r>
  <r>
    <s v="WLH/KEC/SIEC/ELEC/LIGHTING CONDUIT/3RD FL/00"/>
    <x v="0"/>
    <d v="2025-10-20T00:00:00"/>
    <d v="2025-10-27T00:00:00"/>
    <d v="2025-11-03T00:00:00"/>
    <d v="2025-12-01T00:00:00"/>
    <d v="2025-10-01T00:00:00"/>
    <d v="2025-10-01T00:00:00"/>
    <d v="2025-11-01T00:00:00"/>
    <d v="2025-12-01T00:00:00"/>
  </r>
  <r>
    <s v="WLH/KEC/SIEC/ELEC/3RDCT/00"/>
    <x v="0"/>
    <d v="2025-10-20T00:00:00"/>
    <d v="2025-10-27T00:00:00"/>
    <d v="2025-11-03T00:00:00"/>
    <d v="2025-12-01T00:00:00"/>
    <d v="2025-10-01T00:00:00"/>
    <d v="2025-10-01T00:00:00"/>
    <d v="2025-11-01T00:00:00"/>
    <d v="2025-12-01T00:00:00"/>
  </r>
  <r>
    <s v="WLH/KEC/SIEC/ELEC/POWER CONDUIT/4TH FL/01"/>
    <x v="0"/>
    <d v="2025-05-12T00:00:00"/>
    <d v="2025-05-19T00:00:00"/>
    <d v="2025-05-26T00:00:00"/>
    <d v="2025-06-02T00:00:00"/>
    <d v="2025-05-01T00:00:00"/>
    <d v="2025-05-01T00:00:00"/>
    <d v="2025-06-01T00:00:00"/>
    <d v="2025-06-01T00:00:00"/>
  </r>
  <r>
    <s v="WLH/KEC/SIEC/ELEC/POWER CONDUIT/4TH FL/02"/>
    <x v="0"/>
    <d v="2025-05-12T00:00:00"/>
    <d v="2025-05-19T00:00:00"/>
    <d v="2025-05-26T00:00:00"/>
    <d v="2025-06-02T00:00:00"/>
    <d v="2025-05-01T00:00:00"/>
    <d v="2025-05-01T00:00:00"/>
    <d v="2025-06-01T00:00:00"/>
    <d v="2025-06-01T00:00:00"/>
  </r>
  <r>
    <s v="WLH/KEC/SIEC/ELEC/POWER CONDUIT/4TH FL/03"/>
    <x v="0"/>
    <d v="2025-05-12T00:00:00"/>
    <d v="2025-05-19T00:00:00"/>
    <d v="2025-05-26T00:00:00"/>
    <d v="2025-06-02T00:00:00"/>
    <d v="2025-05-01T00:00:00"/>
    <d v="2025-05-01T00:00:00"/>
    <d v="2025-06-01T00:00:00"/>
    <d v="2025-06-01T00:00:00"/>
  </r>
  <r>
    <s v="WLH/KEC/SIEC/ELEC/LIGHTING CONDUIT/4TH FL/00"/>
    <x v="0"/>
    <d v="2025-05-12T00:00:00"/>
    <d v="2025-05-19T00:00:00"/>
    <d v="2025-05-26T00:00:00"/>
    <d v="2025-06-02T00:00:00"/>
    <d v="2025-05-01T00:00:00"/>
    <d v="2025-05-01T00:00:00"/>
    <d v="2025-06-01T00:00:00"/>
    <d v="2025-06-01T00:00:00"/>
  </r>
  <r>
    <s v="WLH/KEC/SIEC/ELEC/4THCT/00"/>
    <x v="0"/>
    <d v="2025-05-12T00:00:00"/>
    <d v="2025-05-19T00:00:00"/>
    <d v="2025-05-26T00:00:00"/>
    <d v="2025-06-02T00:00:00"/>
    <d v="2025-05-01T00:00:00"/>
    <d v="2025-05-01T00:00:00"/>
    <d v="2025-06-01T00:00:00"/>
    <d v="2025-06-01T00:00:00"/>
  </r>
  <r>
    <s v="WLH/KEC/SIEC/ELEC/POWER CONDUIT/5TH FL/01"/>
    <x v="0"/>
    <d v="2025-05-26T00:00:00"/>
    <d v="2025-06-30T00:00:00"/>
    <d v="2025-06-09T00:00:00"/>
    <d v="2025-10-13T00:00:00"/>
    <d v="2025-05-01T00:00:00"/>
    <d v="2025-07-01T00:00:00"/>
    <d v="2025-06-01T00:00:00"/>
    <d v="2025-10-01T00:00:00"/>
  </r>
  <r>
    <s v="WLH/KEC/SIEC/ELEC/POWER CONDUIT/5TH FL/02"/>
    <x v="0"/>
    <d v="2025-05-26T00:00:00"/>
    <d v="2025-06-30T00:00:00"/>
    <d v="2025-06-09T00:00:00"/>
    <d v="2025-10-13T00:00:00"/>
    <d v="2025-05-01T00:00:00"/>
    <d v="2025-07-01T00:00:00"/>
    <d v="2025-06-01T00:00:00"/>
    <d v="2025-10-01T00:00:00"/>
  </r>
  <r>
    <s v="WLH/KEC/SIEC/ELEC/POWER CONDUIT/5TH FL/03"/>
    <x v="0"/>
    <d v="2025-05-26T00:00:00"/>
    <d v="2025-06-30T00:00:00"/>
    <d v="2025-06-09T00:00:00"/>
    <d v="2025-10-13T00:00:00"/>
    <d v="2025-05-01T00:00:00"/>
    <d v="2025-07-01T00:00:00"/>
    <d v="2025-06-01T00:00:00"/>
    <d v="2025-10-01T00:00:00"/>
  </r>
  <r>
    <s v="WLH/KEC/SIEC/ELEC/LIGHTING CONDUIT/5TH FL/00"/>
    <x v="0"/>
    <d v="2025-05-26T00:00:00"/>
    <d v="2025-06-30T00:00:00"/>
    <d v="2025-06-09T00:00:00"/>
    <d v="2025-10-13T00:00:00"/>
    <d v="2025-05-01T00:00:00"/>
    <d v="2025-07-01T00:00:00"/>
    <d v="2025-06-01T00:00:00"/>
    <d v="2025-10-01T00:00:00"/>
  </r>
  <r>
    <s v="WLH/KEC/SIEC/ELEC/5THCT/00"/>
    <x v="0"/>
    <d v="2025-05-26T00:00:00"/>
    <d v="2025-06-30T00:00:00"/>
    <d v="2025-06-09T00:00:00"/>
    <d v="2025-10-13T00:00:00"/>
    <d v="2025-05-01T00:00:00"/>
    <d v="2025-07-01T00:00:00"/>
    <d v="2025-06-01T00:00:00"/>
    <d v="2025-10-01T00:00:00"/>
  </r>
  <r>
    <s v="WLH/KEC/SIEC/ELEC/POWER CONDUIT/6TH FL/01"/>
    <x v="0"/>
    <d v="2025-06-09T00:00:00"/>
    <d v="2025-07-07T00:00:00"/>
    <d v="2025-06-30T00:00:00"/>
    <d v="2025-10-13T00:00:00"/>
    <d v="2025-06-01T00:00:00"/>
    <d v="2025-07-01T00:00:00"/>
    <d v="2025-07-01T00:00:00"/>
    <d v="2025-10-01T00:00:00"/>
  </r>
  <r>
    <s v="WLH/KEC/SIEC/ELEC/POWER CONDUIT/6TH FL/02"/>
    <x v="0"/>
    <d v="2025-06-09T00:00:00"/>
    <d v="2025-07-07T00:00:00"/>
    <d v="2025-06-30T00:00:00"/>
    <d v="2025-10-13T00:00:00"/>
    <d v="2025-06-01T00:00:00"/>
    <d v="2025-07-01T00:00:00"/>
    <d v="2025-07-01T00:00:00"/>
    <d v="2025-10-01T00:00:00"/>
  </r>
  <r>
    <s v="WLH/KEC/SIEC/ELEC/POWER CONDUIT/6TH FL/03"/>
    <x v="0"/>
    <d v="2025-06-09T00:00:00"/>
    <d v="2025-07-07T00:00:00"/>
    <d v="2025-06-30T00:00:00"/>
    <d v="2025-10-13T00:00:00"/>
    <d v="2025-06-01T00:00:00"/>
    <d v="2025-07-01T00:00:00"/>
    <d v="2025-07-01T00:00:00"/>
    <d v="2025-10-01T00:00:00"/>
  </r>
  <r>
    <s v="WLH/KEC/SIEC/ELEC/LIGHTING CONDUIT/6TH FL/00"/>
    <x v="0"/>
    <d v="2025-06-09T00:00:00"/>
    <d v="2025-07-07T00:00:00"/>
    <d v="2025-06-30T00:00:00"/>
    <d v="2025-10-13T00:00:00"/>
    <d v="2025-06-01T00:00:00"/>
    <d v="2025-07-01T00:00:00"/>
    <d v="2025-07-01T00:00:00"/>
    <d v="2025-10-01T00:00:00"/>
  </r>
  <r>
    <s v="WLH/KEC/SIEC/ELEC/6THCT/00"/>
    <x v="0"/>
    <d v="2025-06-09T00:00:00"/>
    <d v="2025-07-07T00:00:00"/>
    <d v="2025-06-30T00:00:00"/>
    <d v="2025-10-13T00:00:00"/>
    <d v="2025-06-01T00:00:00"/>
    <d v="2025-07-01T00:00:00"/>
    <d v="2025-07-01T00:00:00"/>
    <d v="2025-10-01T00:00:00"/>
  </r>
  <r>
    <s v="WLH/KEC/SIEC/ELEC/POWER CONDUIT/7TH FL/01"/>
    <x v="0"/>
    <d v="2025-06-23T00:00:00"/>
    <d v="2025-08-25T00:00:00"/>
    <d v="2025-07-14T00:00:00"/>
    <d v="2025-10-13T00:00:00"/>
    <d v="2025-06-01T00:00:00"/>
    <d v="2025-08-01T00:00:00"/>
    <d v="2025-07-01T00:00:00"/>
    <d v="2025-10-01T00:00:00"/>
  </r>
  <r>
    <s v="WLH/KEC/SIEC/ELEC/POWER CONDUIT/7TH FL/02"/>
    <x v="0"/>
    <d v="2025-06-23T00:00:00"/>
    <d v="2025-08-25T00:00:00"/>
    <d v="2025-07-14T00:00:00"/>
    <d v="2025-10-13T00:00:00"/>
    <d v="2025-06-01T00:00:00"/>
    <d v="2025-08-01T00:00:00"/>
    <d v="2025-07-01T00:00:00"/>
    <d v="2025-10-01T00:00:00"/>
  </r>
  <r>
    <s v="WLH/KEC/SIEC/ELEC/POWER CONDUIT/7TH FL/03"/>
    <x v="0"/>
    <d v="2025-06-23T00:00:00"/>
    <d v="2025-08-25T00:00:00"/>
    <d v="2025-07-14T00:00:00"/>
    <d v="2025-10-13T00:00:00"/>
    <d v="2025-06-01T00:00:00"/>
    <d v="2025-08-01T00:00:00"/>
    <d v="2025-07-01T00:00:00"/>
    <d v="2025-10-01T00:00:00"/>
  </r>
  <r>
    <s v="WLH/KEC/SIEC/ELEC/LIGHTING CONDUIT/7TH FL/00"/>
    <x v="0"/>
    <d v="2025-06-23T00:00:00"/>
    <d v="2025-08-25T00:00:00"/>
    <d v="2025-07-14T00:00:00"/>
    <d v="2025-10-13T00:00:00"/>
    <d v="2025-06-01T00:00:00"/>
    <d v="2025-08-01T00:00:00"/>
    <d v="2025-07-01T00:00:00"/>
    <d v="2025-10-01T00:00:00"/>
  </r>
  <r>
    <s v="WLH/KEC/SIEC/ELEC/7THCT/00"/>
    <x v="0"/>
    <d v="2025-06-23T00:00:00"/>
    <d v="2025-08-25T00:00:00"/>
    <d v="2025-07-14T00:00:00"/>
    <d v="2025-10-13T00:00:00"/>
    <d v="2025-06-01T00:00:00"/>
    <d v="2025-08-01T00:00:00"/>
    <d v="2025-07-01T00:00:00"/>
    <d v="2025-10-01T00:00:00"/>
  </r>
  <r>
    <s v="WLH/KEC/SIEC/ELEC/POWER CONDUIT/8TH FL/01"/>
    <x v="0"/>
    <d v="2025-06-23T00:00:00"/>
    <d v="2025-08-25T00:00:00"/>
    <d v="2025-07-14T00:00:00"/>
    <d v="2025-10-27T00:00:00"/>
    <d v="2025-06-01T00:00:00"/>
    <d v="2025-08-01T00:00:00"/>
    <d v="2025-07-01T00:00:00"/>
    <d v="2025-10-01T00:00:00"/>
  </r>
  <r>
    <s v="WLH/KEC/SIEC/ELEC/POWER CONDUIT/8TH FL/02"/>
    <x v="0"/>
    <d v="2025-06-23T00:00:00"/>
    <d v="2025-08-25T00:00:00"/>
    <d v="2025-07-14T00:00:00"/>
    <d v="2025-10-27T00:00:00"/>
    <d v="2025-06-01T00:00:00"/>
    <d v="2025-08-01T00:00:00"/>
    <d v="2025-07-01T00:00:00"/>
    <d v="2025-10-01T00:00:00"/>
  </r>
  <r>
    <s v="WLH/KEC/SIEC/ELEC/POWER CONDUIT/8TH FL/03"/>
    <x v="0"/>
    <d v="2025-06-23T00:00:00"/>
    <d v="2025-08-25T00:00:00"/>
    <d v="2025-07-14T00:00:00"/>
    <d v="2025-10-27T00:00:00"/>
    <d v="2025-06-01T00:00:00"/>
    <d v="2025-08-01T00:00:00"/>
    <d v="2025-07-01T00:00:00"/>
    <d v="2025-10-01T00:00:00"/>
  </r>
  <r>
    <s v="WLH/KEC/SIEC/ELEC/LIGHTING CONDUIT/8TH FL/00"/>
    <x v="0"/>
    <d v="2025-06-23T00:00:00"/>
    <d v="2025-08-25T00:00:00"/>
    <d v="2025-07-14T00:00:00"/>
    <d v="2025-10-27T00:00:00"/>
    <d v="2025-06-01T00:00:00"/>
    <d v="2025-08-01T00:00:00"/>
    <d v="2025-07-01T00:00:00"/>
    <d v="2025-10-01T00:00:00"/>
  </r>
  <r>
    <s v="WLH/KEC/SIEC/ELEC/8THCT/00"/>
    <x v="0"/>
    <d v="2025-06-23T00:00:00"/>
    <d v="2025-08-25T00:00:00"/>
    <d v="2025-07-14T00:00:00"/>
    <d v="2025-10-27T00:00:00"/>
    <d v="2025-06-01T00:00:00"/>
    <d v="2025-08-01T00:00:00"/>
    <d v="2025-07-01T00:00:00"/>
    <d v="2025-10-01T00:00:00"/>
  </r>
  <r>
    <s v="WLH/KEC/SIEC/ELEC/POWER CONDUIT/9TH FL/01"/>
    <x v="0"/>
    <d v="2025-07-07T00:00:00"/>
    <d v="2025-06-16T00:00:00"/>
    <d v="2025-07-28T00:00:00"/>
    <d v="2025-07-07T00:00:00"/>
    <d v="2025-07-01T00:00:00"/>
    <d v="2025-06-01T00:00:00"/>
    <d v="2025-08-01T00:00:00"/>
    <d v="2025-07-01T00:00:00"/>
  </r>
  <r>
    <s v="WLH/KEC/SIEC/ELEC/POWER CONDUIT/9TH FL/02"/>
    <x v="0"/>
    <d v="2025-07-07T00:00:00"/>
    <d v="2025-06-16T00:00:00"/>
    <d v="2025-07-28T00:00:00"/>
    <d v="2025-07-07T00:00:00"/>
    <d v="2025-07-01T00:00:00"/>
    <d v="2025-06-01T00:00:00"/>
    <d v="2025-08-01T00:00:00"/>
    <d v="2025-07-01T00:00:00"/>
  </r>
  <r>
    <s v="WLH/KEC/SIEC/ELEC/POWER CONDUIT/9TH FL/03"/>
    <x v="0"/>
    <d v="2025-07-07T00:00:00"/>
    <d v="2025-06-16T00:00:00"/>
    <d v="2025-07-28T00:00:00"/>
    <d v="2025-07-07T00:00:00"/>
    <d v="2025-07-01T00:00:00"/>
    <d v="2025-06-01T00:00:00"/>
    <d v="2025-08-01T00:00:00"/>
    <d v="2025-07-01T00:00:00"/>
  </r>
  <r>
    <s v="WLH/KEC/SIEC/ELEC/LIGHTING CONDUIT/9TH FL/00"/>
    <x v="0"/>
    <d v="2025-07-07T00:00:00"/>
    <d v="2025-06-16T00:00:00"/>
    <d v="2025-07-28T00:00:00"/>
    <d v="2025-07-07T00:00:00"/>
    <d v="2025-07-01T00:00:00"/>
    <d v="2025-06-01T00:00:00"/>
    <d v="2025-08-01T00:00:00"/>
    <d v="2025-07-01T00:00:00"/>
  </r>
  <r>
    <s v="WLH/KEC/SIEC/ELEC/9TH CT/00"/>
    <x v="0"/>
    <d v="2025-07-07T00:00:00"/>
    <d v="2025-06-16T00:00:00"/>
    <d v="2025-07-28T00:00:00"/>
    <d v="2025-07-07T00:00:00"/>
    <d v="2025-07-01T00:00:00"/>
    <d v="2025-06-01T00:00:00"/>
    <d v="2025-08-01T00:00:00"/>
    <d v="2025-07-01T00:00:00"/>
  </r>
  <r>
    <s v="WLH/KEC/SIEC/ELEC/POWER CONDUIT/10TH FL/01"/>
    <x v="0"/>
    <d v="2025-07-07T00:00:00"/>
    <d v="2025-09-08T00:00:00"/>
    <d v="2025-07-28T00:00:00"/>
    <d v="2025-10-13T00:00:00"/>
    <d v="2025-07-01T00:00:00"/>
    <d v="2025-09-01T00:00:00"/>
    <d v="2025-08-01T00:00:00"/>
    <d v="2025-10-01T00:00:00"/>
  </r>
  <r>
    <s v="WLH/KEC/SIEC/ELEC/POWER CONDUIT/10TH FL/02"/>
    <x v="0"/>
    <d v="2025-07-07T00:00:00"/>
    <d v="2025-09-08T00:00:00"/>
    <d v="2025-07-28T00:00:00"/>
    <d v="2025-10-13T00:00:00"/>
    <d v="2025-07-01T00:00:00"/>
    <d v="2025-09-01T00:00:00"/>
    <d v="2025-08-01T00:00:00"/>
    <d v="2025-10-01T00:00:00"/>
  </r>
  <r>
    <s v="WLH/KEC/SIEC/ELEC/POWER CONDUIT/10TH FL/03"/>
    <x v="0"/>
    <d v="2025-07-07T00:00:00"/>
    <d v="2025-09-08T00:00:00"/>
    <d v="2025-07-28T00:00:00"/>
    <d v="2025-10-13T00:00:00"/>
    <d v="2025-07-01T00:00:00"/>
    <d v="2025-09-01T00:00:00"/>
    <d v="2025-08-01T00:00:00"/>
    <d v="2025-10-01T00:00:00"/>
  </r>
  <r>
    <s v="WLH/KEC/SIEC/ELEC/LIGHTING CONDUIT/10TH FL/00"/>
    <x v="0"/>
    <d v="2025-07-07T00:00:00"/>
    <d v="2025-09-08T00:00:00"/>
    <d v="2025-07-28T00:00:00"/>
    <d v="2025-10-13T00:00:00"/>
    <d v="2025-07-01T00:00:00"/>
    <d v="2025-09-01T00:00:00"/>
    <d v="2025-08-01T00:00:00"/>
    <d v="2025-10-01T00:00:00"/>
  </r>
  <r>
    <s v="WLH/KEC/SIEC/ELEC/10THCT/00"/>
    <x v="0"/>
    <d v="2025-07-07T00:00:00"/>
    <d v="2025-09-08T00:00:00"/>
    <d v="2025-07-28T00:00:00"/>
    <d v="2025-10-13T00:00:00"/>
    <d v="2025-07-01T00:00:00"/>
    <d v="2025-09-01T00:00:00"/>
    <d v="2025-08-01T00:00:00"/>
    <d v="2025-10-01T00:00:00"/>
  </r>
  <r>
    <s v="WLH/KEC/SIEC/ELEC/POWER/TERRACE/00"/>
    <x v="0"/>
    <d v="2025-11-10T00:00:00"/>
    <d v="2025-11-10T00:00:00"/>
    <d v="2025-08-11T00:00:00"/>
    <d v="2026-02-16T00:00:00"/>
    <d v="2025-11-01T00:00:00"/>
    <d v="2025-11-01T00:00:00"/>
    <d v="2025-08-01T00:00:00"/>
    <d v="2026-02-01T00:00:00"/>
  </r>
  <r>
    <s v="WLH/KEC/SIEC/ELEC/POWER CONDUIT/TERRACE FL/00"/>
    <x v="0"/>
    <d v="2025-11-10T00:00:00"/>
    <d v="2025-11-10T00:00:00"/>
    <d v="2025-08-11T00:00:00"/>
    <d v="2026-02-16T00:00:00"/>
    <d v="2025-11-01T00:00:00"/>
    <d v="2025-11-01T00:00:00"/>
    <d v="2025-08-01T00:00:00"/>
    <d v="2026-02-01T00:00:00"/>
  </r>
  <r>
    <s v="WLH/KEC/SIEC/ELEC/LIGHTING CONDUIT/TERRACE FL/00"/>
    <x v="0"/>
    <d v="2025-11-10T00:00:00"/>
    <d v="2025-11-10T00:00:00"/>
    <d v="2025-08-11T00:00:00"/>
    <d v="2026-02-16T00:00:00"/>
    <d v="2025-11-01T00:00:00"/>
    <d v="2025-11-01T00:00:00"/>
    <d v="2025-08-01T00:00:00"/>
    <d v="2026-02-01T00:00:00"/>
  </r>
  <r>
    <s v="WLH/KEC/SIEC/ELEC/TERRACECT/00"/>
    <x v="0"/>
    <d v="2025-11-10T00:00:00"/>
    <d v="2025-11-10T00:00:00"/>
    <d v="2025-08-11T00:00:00"/>
    <d v="2026-02-16T00:00:00"/>
    <d v="2025-11-01T00:00:00"/>
    <d v="2025-11-01T00:00:00"/>
    <d v="2025-08-01T00:00:00"/>
    <d v="2026-02-01T00:00:00"/>
  </r>
  <r>
    <s v="WLH/KEC/SIEC/ELEC/SCHEMATIC DIAGRAM/00"/>
    <x v="0"/>
    <d v="2025-04-14T00:00:00"/>
    <d v="2025-04-14T00:00:00"/>
    <d v="2025-05-05T00:00:00"/>
    <d v="2025-05-26T00:00:00"/>
    <d v="2025-04-01T00:00:00"/>
    <d v="2025-04-01T00:00:00"/>
    <d v="2025-05-01T00:00:00"/>
    <d v="2025-05-01T00:00:00"/>
  </r>
  <r>
    <s v="WLH/KEC/SIEC/ELEC/LT ARRESTOR/00"/>
    <x v="0"/>
    <d v="2025-07-21T00:00:00"/>
    <d v="2025-10-06T00:00:00"/>
    <d v="2025-08-11T00:00:00"/>
    <d v="2026-02-16T00:00:00"/>
    <d v="2025-07-01T00:00:00"/>
    <d v="2025-10-01T00:00:00"/>
    <d v="2025-08-01T00:00:00"/>
    <d v="2026-02-01T00:00:00"/>
  </r>
  <r>
    <s v="WLH/KEC/SIEC/ELEC/AVIATION/00"/>
    <x v="0"/>
    <d v="2025-07-21T00:00:00"/>
    <d v="2025-10-06T00:00:00"/>
    <d v="2025-08-11T00:00:00"/>
    <d v="2026-02-16T00:00:00"/>
    <d v="2025-07-01T00:00:00"/>
    <d v="2025-10-01T00:00:00"/>
    <d v="2025-08-01T00:00:00"/>
    <d v="2026-02-01T00:00:00"/>
  </r>
  <r>
    <s v="WLH/KEC/SIEC/ELEC/EXTPOWER/00"/>
    <x v="0"/>
    <d v="2025-07-21T00:00:00"/>
    <d v="2025-11-10T00:00:00"/>
    <d v="2025-08-11T00:00:00"/>
    <s v=""/>
    <d v="2025-07-01T00:00:00"/>
    <d v="2025-11-01T00:00:00"/>
    <d v="2025-08-01T00:00:00"/>
    <s v=""/>
  </r>
  <r>
    <s v="WLH/KEC/SIEC/ELV/INFRA/00"/>
    <x v="0"/>
    <d v="2025-03-10T00:00:00"/>
    <d v="2025-07-21T00:00:00"/>
    <d v="2025-04-07T00:00:00"/>
    <d v="2026-04-20T00:00:00"/>
    <d v="2025-03-01T00:00:00"/>
    <d v="2025-07-01T00:00:00"/>
    <d v="2025-04-01T00:00:00"/>
    <d v="2026-04-01T00:00:00"/>
  </r>
  <r>
    <s v="WLH/KEC/SIEC/ELV/CCTV/00"/>
    <x v="0"/>
    <d v="2025-11-24T00:00:00"/>
    <d v="2025-11-10T00:00:00"/>
    <d v="2025-12-22T00:00:00"/>
    <d v="2026-04-20T00:00:00"/>
    <d v="2025-11-01T00:00:00"/>
    <d v="2025-11-01T00:00:00"/>
    <d v="2025-12-01T00:00:00"/>
    <d v="2026-04-01T00:00:00"/>
  </r>
  <r>
    <s v="WLH/KEC/SIEC/ELV/DBR/00"/>
    <x v="0"/>
    <d v="2025-03-31T00:00:00"/>
    <d v="2025-03-31T00:00:00"/>
    <d v="2025-04-21T00:00:00"/>
    <d v="2025-03-31T00:00:00"/>
    <d v="2025-03-01T00:00:00"/>
    <d v="2025-03-01T00:00:00"/>
    <d v="2025-04-01T00:00:00"/>
    <d v="2025-03-01T00:00:00"/>
  </r>
  <r>
    <s v="WLH/KEC/SIEC/RODENT REPELLENT SYSTEM/ELV/GR FL/00"/>
    <x v="0"/>
    <d v="2025-03-31T00:00:00"/>
    <d v="2025-03-31T00:00:00"/>
    <d v="2025-04-21T00:00:00"/>
    <d v="2025-06-02T00:00:00"/>
    <d v="2025-03-01T00:00:00"/>
    <d v="2025-04-01T00:00:00"/>
    <d v="2025-04-01T00:00:00"/>
    <d v="2025-06-01T00:00:00"/>
  </r>
  <r>
    <s v="WLH/KEC/SIEC/RODENT REPELLENT SYSTEM/ELV/1ST FL/00"/>
    <x v="0"/>
    <d v="2025-11-10T00:00:00"/>
    <d v="2025-11-10T00:00:00"/>
    <d v="2025-11-24T00:00:00"/>
    <d v="2025-12-01T00:00:00"/>
    <d v="2025-11-01T00:00:00"/>
    <d v="2025-11-01T00:00:00"/>
    <d v="2025-11-01T00:00:00"/>
    <d v="2025-12-01T00:00:00"/>
  </r>
  <r>
    <s v="WLH/KEC/SIEC/RODENT REPELLENT SYSTEM/ELV/2ND FL/00"/>
    <x v="0"/>
    <d v="2025-10-27T00:00:00"/>
    <d v="2025-11-03T00:00:00"/>
    <d v="2025-11-10T00:00:00"/>
    <d v="2025-12-01T00:00:00"/>
    <d v="2025-10-01T00:00:00"/>
    <d v="2025-11-01T00:00:00"/>
    <d v="2025-11-01T00:00:00"/>
    <d v="2025-12-01T00:00:00"/>
  </r>
  <r>
    <s v="WLH/KEC/SIEC/RODENT REPELLENT SYSTEM/ELV/3RD FL/00"/>
    <x v="0"/>
    <d v="2025-10-20T00:00:00"/>
    <d v="2025-10-27T00:00:00"/>
    <d v="2025-11-03T00:00:00"/>
    <d v="2025-12-01T00:00:00"/>
    <d v="2025-10-01T00:00:00"/>
    <d v="2025-10-01T00:00:00"/>
    <d v="2025-11-01T00:00:00"/>
    <d v="2025-12-01T00:00:00"/>
  </r>
  <r>
    <s v="WLH/KEC/SIEC/RODENT REPELLENT SYSTEM/ELV/4TH FL/00"/>
    <x v="0"/>
    <d v="2025-03-31T00:00:00"/>
    <d v="2025-05-19T00:00:00"/>
    <d v="2025-04-21T00:00:00"/>
    <d v="2025-06-02T00:00:00"/>
    <d v="2025-03-01T00:00:00"/>
    <d v="2025-05-01T00:00:00"/>
    <d v="2025-04-01T00:00:00"/>
    <d v="2025-06-01T00:00:00"/>
  </r>
  <r>
    <s v="WLH/KEC/SIEC/RODENT REPELLENT SYSTEM/ELV/5TH FL/00"/>
    <x v="0"/>
    <d v="2025-03-31T00:00:00"/>
    <d v="2025-06-30T00:00:00"/>
    <d v="2025-04-21T00:00:00"/>
    <d v="2025-10-13T00:00:00"/>
    <d v="2025-03-01T00:00:00"/>
    <d v="2025-07-01T00:00:00"/>
    <d v="2025-04-01T00:00:00"/>
    <d v="2025-10-01T00:00:00"/>
  </r>
  <r>
    <s v="WLH/KEC/SIEC/RODENT REPELLENT SYSTEM/ELV/6TH FL/00"/>
    <x v="0"/>
    <d v="2025-03-31T00:00:00"/>
    <d v="2025-07-07T00:00:00"/>
    <d v="2025-04-21T00:00:00"/>
    <d v="2025-10-13T00:00:00"/>
    <d v="2025-03-01T00:00:00"/>
    <d v="2025-07-01T00:00:00"/>
    <d v="2025-04-01T00:00:00"/>
    <d v="2025-10-01T00:00:00"/>
  </r>
  <r>
    <s v="WLH/KEC/SIEC/RODENT REPELLENT SYSTEM/ELV/7TH FL/00"/>
    <x v="0"/>
    <d v="2025-03-31T00:00:00"/>
    <d v="2025-08-25T00:00:00"/>
    <d v="2025-04-21T00:00:00"/>
    <d v="2025-10-13T00:00:00"/>
    <d v="2025-03-01T00:00:00"/>
    <d v="2025-08-01T00:00:00"/>
    <d v="2025-04-01T00:00:00"/>
    <d v="2025-10-01T00:00:00"/>
  </r>
  <r>
    <s v="WLH/KEC/SIEC/RODENT REPELLENT SYSTEM/ELV/8TH FL/00"/>
    <x v="0"/>
    <d v="2025-03-31T00:00:00"/>
    <d v="2025-08-25T00:00:00"/>
    <d v="2025-04-21T00:00:00"/>
    <d v="2025-10-27T00:00:00"/>
    <d v="2025-03-01T00:00:00"/>
    <d v="2025-08-01T00:00:00"/>
    <d v="2025-04-01T00:00:00"/>
    <d v="2025-10-01T00:00:00"/>
  </r>
  <r>
    <s v="WLH/KEC/SIEC/RODENT REPELLENT SYSTEM/ELV/9TH FL/00"/>
    <x v="0"/>
    <d v="2025-03-31T00:00:00"/>
    <d v="2025-07-21T00:00:00"/>
    <d v="2025-04-21T00:00:00"/>
    <d v="2025-07-07T00:00:00"/>
    <d v="2025-03-01T00:00:00"/>
    <d v="2025-07-01T00:00:00"/>
    <d v="2025-04-01T00:00:00"/>
    <d v="2025-07-01T00:00:00"/>
  </r>
  <r>
    <s v="WLH/KEC/SIEC/RODENT REPELLENT SYSTEM/ELV/10TH FL/00"/>
    <x v="0"/>
    <d v="2025-03-31T00:00:00"/>
    <d v="2025-09-08T00:00:00"/>
    <d v="2025-04-21T00:00:00"/>
    <d v="2025-10-13T00:00:00"/>
    <d v="2025-03-01T00:00:00"/>
    <d v="2025-09-01T00:00:00"/>
    <d v="2025-04-01T00:00:00"/>
    <d v="2025-10-01T00:00:00"/>
  </r>
  <r>
    <s v="WLH/KEC/SIEC/RODENT REPELLENT SYSTEM/ELV/TERRACE FL/00"/>
    <x v="0"/>
    <d v="2025-11-10T00:00:00"/>
    <d v="2025-11-10T00:00:00"/>
    <d v="2025-12-08T00:00:00"/>
    <d v="2025-10-13T00:00:00"/>
    <d v="2025-11-01T00:00:00"/>
    <d v="2025-11-01T00:00:00"/>
    <d v="2025-12-01T00:00:00"/>
    <d v="2025-10-01T00:00:00"/>
  </r>
  <r>
    <s v="WLH/KEC/SIEC/RODENT REPELLENT SYSTEM SLD/ELV/00"/>
    <x v="0"/>
    <d v="2025-12-15T00:00:00"/>
    <d v="2026-03-23T00:00:00"/>
    <d v="2026-01-05T00:00:00"/>
    <s v=""/>
    <d v="2025-12-01T00:00:00"/>
    <d v="2026-03-01T00:00:00"/>
    <d v="2026-01-01T00:00:00"/>
    <s v=""/>
  </r>
  <r>
    <s v="WLH/KEC/SIEC/ELV SLD/00"/>
    <x v="0"/>
    <d v="2025-03-31T00:00:00"/>
    <d v="2025-03-31T00:00:00"/>
    <d v="2025-08-11T00:00:00"/>
    <s v=""/>
    <d v="2025-03-01T00:00:00"/>
    <d v="2025-03-01T00:00:00"/>
    <d v="2025-08-01T00:00:00"/>
    <s v=""/>
  </r>
  <r>
    <s v="WLH/KEC/SIEC/ELV/NURSE CALLING SLD/00"/>
    <x v="0"/>
    <d v="2025-03-31T00:00:00"/>
    <d v="2025-03-31T00:00:00"/>
    <d v="2025-08-11T00:00:00"/>
    <s v=""/>
    <d v="2025-03-01T00:00:00"/>
    <d v="2025-03-01T00:00:00"/>
    <d v="2025-08-01T00:00:00"/>
    <s v=""/>
  </r>
  <r>
    <s v="WLH/KEC/SIEC/ELV/OPD CALLING SLD/00"/>
    <x v="0"/>
    <d v="2025-03-31T00:00:00"/>
    <d v="2025-03-31T00:00:00"/>
    <d v="2025-08-11T00:00:00"/>
    <d v="2026-04-20T00:00:00"/>
    <d v="2025-03-01T00:00:00"/>
    <d v="2025-03-01T00:00:00"/>
    <d v="2025-08-01T00:00:00"/>
    <d v="2026-04-01T00:00:00"/>
  </r>
  <r>
    <s v="WLH/KEC/SIEC/ELV/BMS IO SUMMARY &amp; SLD/00"/>
    <x v="0"/>
    <d v="2025-03-31T00:00:00"/>
    <d v="2025-03-31T00:00:00"/>
    <d v="2025-08-11T00:00:00"/>
    <s v=""/>
    <d v="2025-03-01T00:00:00"/>
    <d v="2025-03-01T00:00:00"/>
    <d v="2025-08-01T00:00:00"/>
    <s v=""/>
  </r>
  <r>
    <s v="WLH/KEC/SIEC/ELV/CCTV SLD/00"/>
    <x v="0"/>
    <d v="2025-03-31T00:00:00"/>
    <d v="2025-03-31T00:00:00"/>
    <d v="2025-08-11T00:00:00"/>
    <s v=""/>
    <d v="2025-03-01T00:00:00"/>
    <d v="2025-03-01T00:00:00"/>
    <d v="2025-08-01T00:00:00"/>
    <s v=""/>
  </r>
  <r>
    <s v="WLH/KEC/SIEC/ACCESS CONTROL SCHEMATIC/ELV/BASEMENT/00"/>
    <x v="0"/>
    <d v="2025-03-31T00:00:00"/>
    <d v="2025-03-31T00:00:00"/>
    <d v="2025-04-14T00:00:00"/>
    <d v="2026-04-20T00:00:00"/>
    <d v="2025-03-01T00:00:00"/>
    <d v="2025-03-01T00:00:00"/>
    <d v="2025-04-01T00:00:00"/>
    <d v="2026-04-01T00:00:00"/>
  </r>
  <r>
    <s v="WLH/KEC/SIEC/ELV/BASEMENT/00"/>
    <x v="0"/>
    <d v="2025-03-31T00:00:00"/>
    <d v="2025-03-31T00:00:00"/>
    <d v="2025-04-14T00:00:00"/>
    <d v="2025-05-26T00:00:00"/>
    <d v="2025-03-01T00:00:00"/>
    <d v="2025-04-01T00:00:00"/>
    <d v="2025-04-01T00:00:00"/>
    <d v="2025-05-01T00:00:00"/>
  </r>
  <r>
    <s v="WLH/KEC/SIEC/BMS SYSTEM/ELV/BASEMENT/00"/>
    <x v="0"/>
    <d v="2025-03-31T00:00:00"/>
    <d v="2025-03-31T00:00:00"/>
    <d v="2025-04-14T00:00:00"/>
    <d v="2025-05-26T00:00:00"/>
    <d v="2025-03-01T00:00:00"/>
    <d v="2025-04-01T00:00:00"/>
    <d v="2025-04-01T00:00:00"/>
    <d v="2025-05-01T00:00:00"/>
  </r>
  <r>
    <s v="WLH/KEC/SIEC/Heat map/ELV/BASEMENT/00"/>
    <x v="0"/>
    <d v="2025-03-31T00:00:00"/>
    <d v="2025-03-31T00:00:00"/>
    <d v="2025-04-14T00:00:00"/>
    <d v="2025-05-26T00:00:00"/>
    <d v="2025-03-01T00:00:00"/>
    <d v="2025-04-01T00:00:00"/>
    <d v="2025-04-01T00:00:00"/>
    <d v="2025-05-01T00:00:00"/>
  </r>
  <r>
    <s v="WLH/KEC/SIEC/ELV/GF FL/00"/>
    <x v="0"/>
    <d v="2025-03-31T00:00:00"/>
    <d v="2025-04-07T00:00:00"/>
    <d v="2025-04-14T00:00:00"/>
    <d v="2025-06-02T00:00:00"/>
    <d v="2025-03-01T00:00:00"/>
    <d v="2025-04-01T00:00:00"/>
    <d v="2025-04-01T00:00:00"/>
    <d v="2025-06-01T00:00:00"/>
  </r>
  <r>
    <s v="WLH/KEC/SIEC/Heat map/ELV/GF FL/00"/>
    <x v="0"/>
    <d v="2025-03-31T00:00:00"/>
    <d v="2025-04-07T00:00:00"/>
    <d v="2025-04-14T00:00:00"/>
    <d v="2025-06-02T00:00:00"/>
    <d v="2025-03-01T00:00:00"/>
    <d v="2025-04-01T00:00:00"/>
    <d v="2025-04-01T00:00:00"/>
    <d v="2025-06-01T00:00:00"/>
  </r>
  <r>
    <s v="WLH/KEC/SIEC/BMS SYSTEM/ELV/GF FL/00"/>
    <x v="0"/>
    <d v="2025-03-31T00:00:00"/>
    <d v="2025-04-07T00:00:00"/>
    <d v="2025-04-14T00:00:00"/>
    <d v="2025-06-02T00:00:00"/>
    <d v="2025-03-01T00:00:00"/>
    <d v="2025-04-01T00:00:00"/>
    <d v="2025-04-01T00:00:00"/>
    <d v="2025-06-01T00:00:00"/>
  </r>
  <r>
    <s v="WLH/KEC/SIEC/ELV/1ST FL/00"/>
    <x v="0"/>
    <d v="2025-11-10T00:00:00"/>
    <d v="2025-11-10T00:00:00"/>
    <d v="2025-11-24T00:00:00"/>
    <d v="2025-12-01T00:00:00"/>
    <d v="2025-11-01T00:00:00"/>
    <d v="2025-11-01T00:00:00"/>
    <d v="2025-11-01T00:00:00"/>
    <d v="2025-12-01T00:00:00"/>
  </r>
  <r>
    <s v="WLH/KEC/SIEC/Heat map/ELV/1ST FL/00"/>
    <x v="0"/>
    <d v="2025-11-10T00:00:00"/>
    <d v="2025-11-10T00:00:00"/>
    <d v="2025-11-24T00:00:00"/>
    <d v="2025-12-01T00:00:00"/>
    <d v="2025-11-01T00:00:00"/>
    <d v="2025-11-01T00:00:00"/>
    <d v="2025-11-01T00:00:00"/>
    <d v="2025-12-01T00:00:00"/>
  </r>
  <r>
    <s v="WLH/KEC/SIEC/BMS SYSTEM/ELV/1ST FL/00"/>
    <x v="0"/>
    <d v="2025-11-10T00:00:00"/>
    <d v="2025-11-10T00:00:00"/>
    <d v="2025-11-24T00:00:00"/>
    <d v="2025-12-01T00:00:00"/>
    <d v="2025-11-01T00:00:00"/>
    <d v="2025-11-01T00:00:00"/>
    <d v="2025-11-01T00:00:00"/>
    <d v="2025-12-01T00:00:00"/>
  </r>
  <r>
    <s v="WLH/KEC/SIEC/ELV/2ND FL/00"/>
    <x v="0"/>
    <d v="2025-10-27T00:00:00"/>
    <d v="2025-11-03T00:00:00"/>
    <d v="2025-11-10T00:00:00"/>
    <d v="2025-12-01T00:00:00"/>
    <d v="2025-10-01T00:00:00"/>
    <d v="2025-11-01T00:00:00"/>
    <d v="2025-11-01T00:00:00"/>
    <d v="2025-12-01T00:00:00"/>
  </r>
  <r>
    <s v="WLH/KEC/SIEC/Heat map/ELV/2ND FL/00"/>
    <x v="0"/>
    <d v="2025-10-27T00:00:00"/>
    <d v="2025-11-03T00:00:00"/>
    <d v="2025-11-10T00:00:00"/>
    <d v="2025-12-01T00:00:00"/>
    <d v="2025-10-01T00:00:00"/>
    <d v="2025-11-01T00:00:00"/>
    <d v="2025-11-01T00:00:00"/>
    <d v="2025-12-01T00:00:00"/>
  </r>
  <r>
    <s v="WLH/KEC/SIEC/BMS SYSTEM/ELV/2ND FL/00"/>
    <x v="0"/>
    <d v="2025-10-27T00:00:00"/>
    <d v="2025-11-03T00:00:00"/>
    <d v="2025-11-10T00:00:00"/>
    <d v="2025-12-01T00:00:00"/>
    <d v="2025-10-01T00:00:00"/>
    <d v="2025-11-01T00:00:00"/>
    <d v="2025-11-01T00:00:00"/>
    <d v="2025-12-01T00:00:00"/>
  </r>
  <r>
    <s v="WLH/KEC/SIEC/ELV/3RD FL/00"/>
    <x v="0"/>
    <d v="2025-10-20T00:00:00"/>
    <d v="2025-10-27T00:00:00"/>
    <d v="2025-11-03T00:00:00"/>
    <d v="2025-12-01T00:00:00"/>
    <d v="2025-10-01T00:00:00"/>
    <d v="2025-10-01T00:00:00"/>
    <d v="2025-11-01T00:00:00"/>
    <d v="2025-12-01T00:00:00"/>
  </r>
  <r>
    <s v="WLH/KEC/SIEC/Heat map/ELV/3RD FL/00"/>
    <x v="0"/>
    <d v="2025-10-20T00:00:00"/>
    <d v="2025-10-27T00:00:00"/>
    <d v="2025-11-03T00:00:00"/>
    <d v="2025-12-01T00:00:00"/>
    <d v="2025-10-01T00:00:00"/>
    <d v="2025-10-01T00:00:00"/>
    <d v="2025-11-01T00:00:00"/>
    <d v="2025-12-01T00:00:00"/>
  </r>
  <r>
    <s v="WLH/KEC/SIEC/BMS SYSTEM/ELV/3RD FL/00"/>
    <x v="0"/>
    <d v="2025-10-20T00:00:00"/>
    <d v="2025-10-27T00:00:00"/>
    <d v="2025-11-03T00:00:00"/>
    <d v="2025-12-01T00:00:00"/>
    <d v="2025-10-01T00:00:00"/>
    <d v="2025-10-01T00:00:00"/>
    <d v="2025-11-01T00:00:00"/>
    <d v="2025-12-01T00:00:00"/>
  </r>
  <r>
    <s v="WLH/KEC/SIEC/ELV/4TH FL/00"/>
    <x v="0"/>
    <d v="2025-04-28T00:00:00"/>
    <d v="2025-05-19T00:00:00"/>
    <d v="2025-05-26T00:00:00"/>
    <d v="2025-06-02T00:00:00"/>
    <d v="2025-04-01T00:00:00"/>
    <d v="2025-05-01T00:00:00"/>
    <d v="2025-06-01T00:00:00"/>
    <d v="2025-06-01T00:00:00"/>
  </r>
  <r>
    <s v="WLH/KEC/SIEC/Heat map/ELV/4TH FL/00"/>
    <x v="0"/>
    <d v="2025-05-12T00:00:00"/>
    <d v="2025-05-19T00:00:00"/>
    <d v="2025-05-26T00:00:00"/>
    <d v="2025-06-02T00:00:00"/>
    <d v="2025-05-01T00:00:00"/>
    <d v="2025-05-01T00:00:00"/>
    <d v="2025-06-01T00:00:00"/>
    <d v="2025-06-01T00:00:00"/>
  </r>
  <r>
    <s v="WLH/KEC/SIEC/BMS SYSTEM/ELV/4TH FL/00"/>
    <x v="0"/>
    <d v="2025-05-12T00:00:00"/>
    <d v="2025-05-19T00:00:00"/>
    <d v="2025-05-26T00:00:00"/>
    <d v="2025-06-02T00:00:00"/>
    <d v="2025-05-01T00:00:00"/>
    <d v="2025-05-01T00:00:00"/>
    <d v="2025-06-01T00:00:00"/>
    <d v="2025-06-01T00:00:00"/>
  </r>
  <r>
    <s v="WLH/KEC/SIEC/ELV/5TH FL/00"/>
    <x v="0"/>
    <d v="2025-05-12T00:00:00"/>
    <d v="2025-06-30T00:00:00"/>
    <d v="2025-06-09T00:00:00"/>
    <d v="2025-10-13T00:00:00"/>
    <d v="2025-05-01T00:00:00"/>
    <d v="2025-07-01T00:00:00"/>
    <d v="2025-06-01T00:00:00"/>
    <d v="2025-10-01T00:00:00"/>
  </r>
  <r>
    <s v="WLH/KEC/SIEC/Heat map/ELV/5TH FL/00"/>
    <x v="0"/>
    <d v="2025-05-12T00:00:00"/>
    <d v="2025-06-30T00:00:00"/>
    <d v="2025-06-09T00:00:00"/>
    <d v="2025-10-13T00:00:00"/>
    <d v="2025-05-01T00:00:00"/>
    <d v="2025-07-01T00:00:00"/>
    <d v="2025-06-01T00:00:00"/>
    <d v="2025-10-01T00:00:00"/>
  </r>
  <r>
    <s v="WLH/KEC/SIEC/BMS SYSTEM/ELV/5TH FL/00"/>
    <x v="0"/>
    <d v="2025-05-12T00:00:00"/>
    <d v="2025-06-30T00:00:00"/>
    <d v="2025-06-09T00:00:00"/>
    <d v="2025-10-13T00:00:00"/>
    <d v="2025-05-01T00:00:00"/>
    <d v="2025-07-01T00:00:00"/>
    <d v="2025-06-01T00:00:00"/>
    <d v="2025-10-01T00:00:00"/>
  </r>
  <r>
    <s v="WLH/KEC/SIEC/ELV/6TH FL/00"/>
    <x v="0"/>
    <d v="2025-05-26T00:00:00"/>
    <d v="2025-07-07T00:00:00"/>
    <d v="2025-06-30T00:00:00"/>
    <d v="2025-10-13T00:00:00"/>
    <d v="2025-05-01T00:00:00"/>
    <d v="2025-07-01T00:00:00"/>
    <d v="2025-07-01T00:00:00"/>
    <d v="2025-10-01T00:00:00"/>
  </r>
  <r>
    <s v="WLH/KEC/SIEC/Heat map/ELV/6TH FL/00"/>
    <x v="0"/>
    <d v="2025-05-26T00:00:00"/>
    <d v="2025-07-07T00:00:00"/>
    <d v="2025-06-30T00:00:00"/>
    <d v="2025-10-13T00:00:00"/>
    <d v="2025-05-01T00:00:00"/>
    <d v="2025-07-01T00:00:00"/>
    <d v="2025-07-01T00:00:00"/>
    <d v="2025-10-01T00:00:00"/>
  </r>
  <r>
    <s v="WLH/KEC/SIEC/BMS SYSTEM/ELV/6TH FL/00"/>
    <x v="0"/>
    <d v="2025-05-26T00:00:00"/>
    <d v="2025-07-07T00:00:00"/>
    <d v="2025-06-30T00:00:00"/>
    <d v="2025-10-13T00:00:00"/>
    <d v="2025-05-01T00:00:00"/>
    <d v="2025-07-01T00:00:00"/>
    <d v="2025-07-01T00:00:00"/>
    <d v="2025-10-01T00:00:00"/>
  </r>
  <r>
    <s v="WLH/KEC/SIEC/ELV/7TH FL/00"/>
    <x v="0"/>
    <d v="2025-06-09T00:00:00"/>
    <d v="2025-08-25T00:00:00"/>
    <d v="2025-07-14T00:00:00"/>
    <d v="2025-10-13T00:00:00"/>
    <d v="2025-06-01T00:00:00"/>
    <d v="2025-08-01T00:00:00"/>
    <d v="2025-07-01T00:00:00"/>
    <d v="2025-10-01T00:00:00"/>
  </r>
  <r>
    <s v="WLH/KEC/SIEC/Heat map/ELV/7TH FL/00"/>
    <x v="0"/>
    <d v="2025-06-09T00:00:00"/>
    <d v="2025-08-25T00:00:00"/>
    <d v="2025-07-14T00:00:00"/>
    <d v="2025-10-13T00:00:00"/>
    <d v="2025-06-01T00:00:00"/>
    <d v="2025-08-01T00:00:00"/>
    <d v="2025-07-01T00:00:00"/>
    <d v="2025-10-01T00:00:00"/>
  </r>
  <r>
    <s v="WLH/KEC/SIEC/BMS SYSTEM/ELV/7TH FL/00"/>
    <x v="0"/>
    <d v="2025-06-09T00:00:00"/>
    <d v="2025-08-25T00:00:00"/>
    <d v="2025-07-14T00:00:00"/>
    <d v="2025-10-13T00:00:00"/>
    <d v="2025-06-01T00:00:00"/>
    <d v="2025-08-01T00:00:00"/>
    <d v="2025-07-01T00:00:00"/>
    <d v="2025-10-01T00:00:00"/>
  </r>
  <r>
    <s v="WLH/KEC/SIEC/AV SYSTEM/ELV/7TH FL/00"/>
    <x v="0"/>
    <d v="2025-06-09T00:00:00"/>
    <d v="2026-03-02T00:00:00"/>
    <d v="2025-07-14T00:00:00"/>
    <s v=""/>
    <d v="2025-06-01T00:00:00"/>
    <d v="2026-03-01T00:00:00"/>
    <d v="2025-07-01T00:00:00"/>
    <s v=""/>
  </r>
  <r>
    <s v="WLH/KEC/SIEC/ELV/8TH FL/00"/>
    <x v="0"/>
    <d v="2025-06-09T00:00:00"/>
    <d v="2025-08-25T00:00:00"/>
    <d v="2025-07-14T00:00:00"/>
    <d v="2025-10-27T00:00:00"/>
    <d v="2025-06-01T00:00:00"/>
    <d v="2025-08-01T00:00:00"/>
    <d v="2025-07-01T00:00:00"/>
    <d v="2025-10-01T00:00:00"/>
  </r>
  <r>
    <s v="WLH/KEC/SIEC/Heat map/ELV/8TH FL/00"/>
    <x v="0"/>
    <d v="2025-06-23T00:00:00"/>
    <d v="2025-08-25T00:00:00"/>
    <d v="2025-07-14T00:00:00"/>
    <d v="2025-10-27T00:00:00"/>
    <d v="2025-06-01T00:00:00"/>
    <d v="2025-08-01T00:00:00"/>
    <d v="2025-07-01T00:00:00"/>
    <d v="2025-10-01T00:00:00"/>
  </r>
  <r>
    <s v="WLH/KEC/SIEC/BMS SYSTEM/ELV/8TH FL/00"/>
    <x v="0"/>
    <d v="2025-06-23T00:00:00"/>
    <d v="2025-08-25T00:00:00"/>
    <d v="2025-07-14T00:00:00"/>
    <d v="2025-10-27T00:00:00"/>
    <d v="2025-06-01T00:00:00"/>
    <d v="2025-08-01T00:00:00"/>
    <d v="2025-07-01T00:00:00"/>
    <d v="2025-10-01T00:00:00"/>
  </r>
  <r>
    <s v="WLH/KEC/SIEC/ELV/9TH FL/00"/>
    <x v="0"/>
    <d v="2025-06-23T00:00:00"/>
    <d v="2025-06-16T00:00:00"/>
    <d v="2025-07-28T00:00:00"/>
    <d v="2025-07-07T00:00:00"/>
    <d v="2025-06-01T00:00:00"/>
    <d v="2025-06-01T00:00:00"/>
    <d v="2025-08-01T00:00:00"/>
    <d v="2025-07-01T00:00:00"/>
  </r>
  <r>
    <s v="WLH/KEC/SIEC/Heat map/ELV/9TH FL/00"/>
    <x v="0"/>
    <d v="2025-06-23T00:00:00"/>
    <d v="2025-06-16T00:00:00"/>
    <d v="2025-07-28T00:00:00"/>
    <d v="2025-07-07T00:00:00"/>
    <d v="2025-06-01T00:00:00"/>
    <d v="2025-06-01T00:00:00"/>
    <d v="2025-08-01T00:00:00"/>
    <d v="2025-07-01T00:00:00"/>
  </r>
  <r>
    <s v="WLH/KEC/SIEC/BMS SYSTEM/ELV/9TH FL/00"/>
    <x v="0"/>
    <d v="2025-06-23T00:00:00"/>
    <d v="2025-06-16T00:00:00"/>
    <d v="2025-07-28T00:00:00"/>
    <d v="2025-07-07T00:00:00"/>
    <d v="2025-06-01T00:00:00"/>
    <d v="2025-06-01T00:00:00"/>
    <d v="2025-08-01T00:00:00"/>
    <d v="2025-07-01T00:00:00"/>
  </r>
  <r>
    <s v="WLH/KEC/SIEC/ELV/10TH FL/00"/>
    <x v="0"/>
    <d v="2025-06-23T00:00:00"/>
    <d v="2025-09-08T00:00:00"/>
    <d v="2025-07-28T00:00:00"/>
    <d v="2025-10-13T00:00:00"/>
    <d v="2025-06-01T00:00:00"/>
    <d v="2025-09-01T00:00:00"/>
    <d v="2025-08-01T00:00:00"/>
    <d v="2025-10-01T00:00:00"/>
  </r>
  <r>
    <s v="WLH/KEC/SIEC/Heat map/ELV/10TH FL/00"/>
    <x v="0"/>
    <d v="2025-06-23T00:00:00"/>
    <d v="2025-09-08T00:00:00"/>
    <d v="2025-07-28T00:00:00"/>
    <d v="2025-10-13T00:00:00"/>
    <d v="2025-06-01T00:00:00"/>
    <d v="2025-09-01T00:00:00"/>
    <d v="2025-08-01T00:00:00"/>
    <d v="2025-10-01T00:00:00"/>
  </r>
  <r>
    <s v="WLH/KEC/SIEC/BMS SYSTEM/ELV/10TH FL/00"/>
    <x v="0"/>
    <d v="2025-06-23T00:00:00"/>
    <d v="2025-09-08T00:00:00"/>
    <d v="2025-07-28T00:00:00"/>
    <d v="2025-10-13T00:00:00"/>
    <d v="2025-06-01T00:00:00"/>
    <d v="2025-09-01T00:00:00"/>
    <d v="2025-08-01T00:00:00"/>
    <d v="2025-10-01T00:00:00"/>
  </r>
  <r>
    <s v="WLH/KEC/SIEC/AV SYSTEM/ELV/10TH FL/00"/>
    <x v="0"/>
    <d v="2025-07-07T00:00:00"/>
    <d v="2026-03-02T00:00:00"/>
    <d v="2025-07-28T00:00:00"/>
    <s v=""/>
    <d v="2025-07-01T00:00:00"/>
    <d v="2026-03-01T00:00:00"/>
    <d v="2025-08-01T00:00:00"/>
    <s v=""/>
  </r>
  <r>
    <s v="WLH/KEC/SIEC/Heat map/ELV/TERRACE/00"/>
    <x v="0"/>
    <d v="2025-11-10T00:00:00"/>
    <d v="2025-11-10T00:00:00"/>
    <d v="2025-08-11T00:00:00"/>
    <d v="2026-02-16T00:00:00"/>
    <d v="2025-11-01T00:00:00"/>
    <d v="2025-11-01T00:00:00"/>
    <d v="2025-08-01T00:00:00"/>
    <d v="2026-02-01T00:00:00"/>
  </r>
  <r>
    <s v="WLH/KEC/SIEC/ELV/TERRACE/00"/>
    <x v="0"/>
    <d v="2025-11-10T00:00:00"/>
    <d v="2025-11-10T00:00:00"/>
    <d v="2025-08-11T00:00:00"/>
    <d v="2026-02-16T00:00:00"/>
    <d v="2025-11-01T00:00:00"/>
    <d v="2025-11-01T00:00:00"/>
    <d v="2025-08-01T00:00:00"/>
    <d v="2026-02-01T00:00:00"/>
  </r>
  <r>
    <s v="WLH/KEC/SIEC/BMS SYSTEM/ELV/ABOVE TERRACE/00"/>
    <x v="0"/>
    <d v="2025-11-10T00:00:00"/>
    <d v="2025-11-10T00:00:00"/>
    <d v="2025-08-11T00:00:00"/>
    <d v="2026-02-16T00:00:00"/>
    <d v="2025-11-01T00:00:00"/>
    <d v="2025-11-01T00:00:00"/>
    <d v="2025-08-01T00:00:00"/>
    <d v="2026-02-01T00:00:00"/>
  </r>
  <r>
    <s v="WLH/KEC/SIEC/WATER LEAK DETECTION/ELV/00"/>
    <x v="0"/>
    <d v="2025-12-15T00:00:00"/>
    <d v="2026-03-23T00:00:00"/>
    <d v="2025-08-11T00:00:00"/>
    <s v=""/>
    <d v="2025-12-01T00:00:00"/>
    <d v="2026-03-01T00:00:00"/>
    <d v="2025-08-01T00:00:00"/>
    <s v=""/>
  </r>
  <r>
    <s v="WLH/KEC/SIEC/ELV/BMS ROOM/MISC/00"/>
    <x v="0"/>
    <d v="2025-12-29T00:00:00"/>
    <d v="2026-04-13T00:00:00"/>
    <d v="2025-05-26T00:00:00"/>
    <s v=""/>
    <d v="2025-12-01T00:00:00"/>
    <d v="2026-04-01T00:00:00"/>
    <d v="2025-05-01T00:00:00"/>
    <s v=""/>
  </r>
  <r>
    <s v="WLH/KEC/SIEC/FDA/BASEMENT/00"/>
    <x v="0"/>
    <d v="2025-03-31T00:00:00"/>
    <d v="2025-03-31T00:00:00"/>
    <d v="2025-04-14T00:00:00"/>
    <d v="2025-05-26T00:00:00"/>
    <d v="2025-03-01T00:00:00"/>
    <d v="2025-04-01T00:00:00"/>
    <d v="2025-04-01T00:00:00"/>
    <d v="2025-05-01T00:00:00"/>
  </r>
  <r>
    <s v="WLH/KEC/SIEC/FPS/BASEMENT/00"/>
    <x v="0"/>
    <d v="2025-03-31T00:00:00"/>
    <d v="2025-03-31T00:00:00"/>
    <d v="2025-03-31T00:00:00"/>
    <d v="2025-05-26T00:00:00"/>
    <d v="2025-03-01T00:00:00"/>
    <d v="2025-04-01T00:00:00"/>
    <d v="2025-04-01T00:00:00"/>
    <d v="2025-05-01T00:00:00"/>
  </r>
  <r>
    <s v="WLH/KEC/SIEC/SIGNAGE &amp; EXTINGUISHER /BASEMENT/00"/>
    <x v="0"/>
    <d v="2025-03-31T00:00:00"/>
    <d v="2025-03-31T00:00:00"/>
    <d v="2025-04-14T00:00:00"/>
    <d v="2025-05-26T00:00:00"/>
    <d v="2025-03-01T00:00:00"/>
    <d v="2025-04-01T00:00:00"/>
    <d v="2025-04-01T00:00:00"/>
    <d v="2025-05-01T00:00:00"/>
  </r>
  <r>
    <s v="WLH/KEC/SIEC/FDA &amp; PA/GR FL/00"/>
    <x v="0"/>
    <d v="2025-03-31T00:00:00"/>
    <d v="2025-04-07T00:00:00"/>
    <d v="2025-04-14T00:00:00"/>
    <d v="2025-06-02T00:00:00"/>
    <d v="2025-03-01T00:00:00"/>
    <d v="2025-04-01T00:00:00"/>
    <d v="2025-04-01T00:00:00"/>
    <d v="2025-06-01T00:00:00"/>
  </r>
  <r>
    <s v="WLH/KEC/SIEC/FPS/GR FL/00"/>
    <x v="0"/>
    <d v="2025-03-31T00:00:00"/>
    <d v="2025-04-07T00:00:00"/>
    <d v="2025-04-14T00:00:00"/>
    <d v="2025-06-02T00:00:00"/>
    <d v="2025-03-01T00:00:00"/>
    <d v="2025-04-01T00:00:00"/>
    <d v="2025-04-01T00:00:00"/>
    <d v="2025-06-01T00:00:00"/>
  </r>
  <r>
    <s v="WLH/KEC/SIEC/SIGNAGE &amp; EXTINGUISHER /GR FL/01"/>
    <x v="0"/>
    <d v="2025-03-31T00:00:00"/>
    <d v="2025-04-07T00:00:00"/>
    <d v="2025-04-14T00:00:00"/>
    <d v="2025-06-02T00:00:00"/>
    <d v="2025-03-01T00:00:00"/>
    <d v="2025-04-01T00:00:00"/>
    <d v="2025-04-01T00:00:00"/>
    <d v="2025-06-01T00:00:00"/>
  </r>
  <r>
    <s v="WLH/KEC/SIEC/SIGNAGE &amp; EXTINGUISHER /1ST FL/00"/>
    <x v="0"/>
    <d v="2025-11-10T00:00:00"/>
    <d v="2025-11-10T00:00:00"/>
    <d v="2025-11-24T00:00:00"/>
    <d v="2025-12-01T00:00:00"/>
    <d v="2025-11-01T00:00:00"/>
    <d v="2025-11-01T00:00:00"/>
    <d v="2025-11-01T00:00:00"/>
    <d v="2025-12-01T00:00:00"/>
  </r>
  <r>
    <s v="WLH/KEC/SIEC/FDA&amp; PA/1ST FL/00"/>
    <x v="0"/>
    <d v="2025-11-10T00:00:00"/>
    <d v="2025-11-10T00:00:00"/>
    <d v="2025-11-24T00:00:00"/>
    <d v="2025-12-01T00:00:00"/>
    <d v="2025-11-01T00:00:00"/>
    <d v="2025-11-01T00:00:00"/>
    <d v="2025-11-01T00:00:00"/>
    <d v="2025-12-01T00:00:00"/>
  </r>
  <r>
    <s v="WLH/KEC/SIEC/FPS/1ST FL/00"/>
    <x v="0"/>
    <d v="2025-11-10T00:00:00"/>
    <d v="2025-11-10T00:00:00"/>
    <d v="2025-11-24T00:00:00"/>
    <d v="2025-12-01T00:00:00"/>
    <d v="2025-11-01T00:00:00"/>
    <d v="2025-11-01T00:00:00"/>
    <d v="2025-11-01T00:00:00"/>
    <d v="2025-12-01T00:00:00"/>
  </r>
  <r>
    <s v="WLH/KEC/SIEC/SIGNAGE &amp; EXTINGUISHER /2ND FL/00"/>
    <x v="0"/>
    <d v="2025-10-27T00:00:00"/>
    <d v="2025-11-03T00:00:00"/>
    <d v="2025-11-10T00:00:00"/>
    <d v="2025-12-01T00:00:00"/>
    <d v="2025-10-01T00:00:00"/>
    <d v="2025-11-01T00:00:00"/>
    <d v="2025-11-01T00:00:00"/>
    <d v="2025-12-01T00:00:00"/>
  </r>
  <r>
    <s v="WLH/KEC/SIEC/FDA &amp; PA/2ND FL/00"/>
    <x v="0"/>
    <d v="2025-10-27T00:00:00"/>
    <d v="2025-11-03T00:00:00"/>
    <d v="2025-11-10T00:00:00"/>
    <d v="2025-12-01T00:00:00"/>
    <d v="2025-10-01T00:00:00"/>
    <d v="2025-11-01T00:00:00"/>
    <d v="2025-11-01T00:00:00"/>
    <d v="2025-12-01T00:00:00"/>
  </r>
  <r>
    <s v="WLH/KEC/SIEC/FPS/2ND FL/00"/>
    <x v="0"/>
    <d v="2025-10-27T00:00:00"/>
    <d v="2025-11-03T00:00:00"/>
    <d v="2025-11-10T00:00:00"/>
    <d v="2025-12-01T00:00:00"/>
    <d v="2025-10-01T00:00:00"/>
    <d v="2025-11-01T00:00:00"/>
    <d v="2025-11-01T00:00:00"/>
    <d v="2025-12-01T00:00:00"/>
  </r>
  <r>
    <s v="WLH/KEC/SIEC/SIGNAGE &amp; EXTINGUISHER /3RD FL/00"/>
    <x v="0"/>
    <d v="2025-10-20T00:00:00"/>
    <d v="2025-10-27T00:00:00"/>
    <d v="2025-11-03T00:00:00"/>
    <d v="2025-12-01T00:00:00"/>
    <d v="2025-10-01T00:00:00"/>
    <d v="2025-10-01T00:00:00"/>
    <d v="2025-11-01T00:00:00"/>
    <d v="2025-12-01T00:00:00"/>
  </r>
  <r>
    <s v="WLH/KEC/SIEC/FDA &amp; PA/3RD FL/00"/>
    <x v="0"/>
    <d v="2025-10-20T00:00:00"/>
    <d v="2025-10-27T00:00:00"/>
    <d v="2025-11-03T00:00:00"/>
    <d v="2025-12-01T00:00:00"/>
    <d v="2025-10-01T00:00:00"/>
    <d v="2025-10-01T00:00:00"/>
    <d v="2025-11-01T00:00:00"/>
    <d v="2025-12-01T00:00:00"/>
  </r>
  <r>
    <s v="WLH/KEC/SIEC/FPS/3RD FL/00"/>
    <x v="0"/>
    <d v="2025-10-20T00:00:00"/>
    <d v="2025-10-27T00:00:00"/>
    <d v="2025-11-03T00:00:00"/>
    <d v="2025-12-01T00:00:00"/>
    <d v="2025-10-01T00:00:00"/>
    <d v="2025-10-01T00:00:00"/>
    <d v="2025-11-01T00:00:00"/>
    <d v="2025-12-01T00:00:00"/>
  </r>
  <r>
    <s v="WLH/KEC/SIEC/SIGNAGE &amp; EXTINGUISHER /4TH FL/00"/>
    <x v="0"/>
    <d v="2025-05-12T00:00:00"/>
    <d v="2025-05-19T00:00:00"/>
    <d v="2025-05-26T00:00:00"/>
    <d v="2025-06-02T00:00:00"/>
    <d v="2025-05-01T00:00:00"/>
    <d v="2025-05-01T00:00:00"/>
    <d v="2025-06-01T00:00:00"/>
    <d v="2025-06-01T00:00:00"/>
  </r>
  <r>
    <s v="WLH/KEC/SIEC/FDA &amp; PA/4TH FL/00"/>
    <x v="0"/>
    <d v="2025-05-12T00:00:00"/>
    <d v="2025-05-19T00:00:00"/>
    <d v="2025-05-26T00:00:00"/>
    <d v="2025-06-02T00:00:00"/>
    <d v="2025-05-01T00:00:00"/>
    <d v="2025-05-01T00:00:00"/>
    <d v="2025-06-01T00:00:00"/>
    <d v="2025-06-01T00:00:00"/>
  </r>
  <r>
    <s v="WLH/KEC/SIEC/FPS/4TH FL/00"/>
    <x v="0"/>
    <d v="2025-05-12T00:00:00"/>
    <d v="2025-05-19T00:00:00"/>
    <d v="2025-05-26T00:00:00"/>
    <d v="2025-06-02T00:00:00"/>
    <d v="2025-05-01T00:00:00"/>
    <d v="2025-05-01T00:00:00"/>
    <d v="2025-06-01T00:00:00"/>
    <d v="2025-06-01T00:00:00"/>
  </r>
  <r>
    <s v="WLH/KEC/SIEC/SIGNAGE &amp; EXTINGUISHER /5TH FL/00"/>
    <x v="0"/>
    <d v="2025-05-26T00:00:00"/>
    <d v="2025-06-30T00:00:00"/>
    <d v="2025-06-09T00:00:00"/>
    <d v="2025-10-13T00:00:00"/>
    <d v="2025-05-01T00:00:00"/>
    <d v="2025-07-01T00:00:00"/>
    <d v="2025-06-01T00:00:00"/>
    <d v="2025-10-01T00:00:00"/>
  </r>
  <r>
    <s v="WLH/KEC/SIEC/FDA &amp; PA/5TH FL/00"/>
    <x v="0"/>
    <d v="2025-05-26T00:00:00"/>
    <d v="2025-06-30T00:00:00"/>
    <d v="2025-06-09T00:00:00"/>
    <d v="2025-10-13T00:00:00"/>
    <d v="2025-05-01T00:00:00"/>
    <d v="2025-07-01T00:00:00"/>
    <d v="2025-06-01T00:00:00"/>
    <d v="2025-10-01T00:00:00"/>
  </r>
  <r>
    <s v="WLH/KEC/SIEC/FPS/5TH FL/00"/>
    <x v="0"/>
    <d v="2025-05-26T00:00:00"/>
    <d v="2025-06-30T00:00:00"/>
    <d v="2025-06-09T00:00:00"/>
    <d v="2025-10-13T00:00:00"/>
    <d v="2025-05-01T00:00:00"/>
    <d v="2025-07-01T00:00:00"/>
    <d v="2025-06-01T00:00:00"/>
    <d v="2025-10-01T00:00:00"/>
  </r>
  <r>
    <s v="WLH/KEC/SIEC/SIGNAGE &amp; EXTINGUISHER /6TH FL/00"/>
    <x v="0"/>
    <d v="2025-06-09T00:00:00"/>
    <d v="2025-07-07T00:00:00"/>
    <d v="2025-06-30T00:00:00"/>
    <d v="2025-10-13T00:00:00"/>
    <d v="2025-06-01T00:00:00"/>
    <d v="2025-07-01T00:00:00"/>
    <d v="2025-07-01T00:00:00"/>
    <d v="2025-10-01T00:00:00"/>
  </r>
  <r>
    <s v="WLH/KEC/SIEC/FDA &amp; PA/6TH FL/00"/>
    <x v="0"/>
    <d v="2025-06-09T00:00:00"/>
    <d v="2025-07-07T00:00:00"/>
    <d v="2025-06-30T00:00:00"/>
    <d v="2025-10-13T00:00:00"/>
    <d v="2025-06-01T00:00:00"/>
    <d v="2025-07-01T00:00:00"/>
    <d v="2025-07-01T00:00:00"/>
    <d v="2025-10-01T00:00:00"/>
  </r>
  <r>
    <s v="WLH/KEC/SIEC/FPS/6TH FL/00"/>
    <x v="0"/>
    <d v="2025-06-09T00:00:00"/>
    <d v="2025-07-07T00:00:00"/>
    <d v="2025-06-30T00:00:00"/>
    <d v="2025-10-13T00:00:00"/>
    <d v="2025-06-01T00:00:00"/>
    <d v="2025-07-01T00:00:00"/>
    <d v="2025-07-01T00:00:00"/>
    <d v="2025-10-01T00:00:00"/>
  </r>
  <r>
    <s v="WLH/KEC/SIEC/SIGNAGE &amp; EXTINGUISHER /7TH FL/00"/>
    <x v="0"/>
    <d v="2025-06-23T00:00:00"/>
    <d v="2025-08-25T00:00:00"/>
    <d v="2025-07-14T00:00:00"/>
    <d v="2025-10-13T00:00:00"/>
    <d v="2025-06-01T00:00:00"/>
    <d v="2025-08-01T00:00:00"/>
    <d v="2025-07-01T00:00:00"/>
    <d v="2025-10-01T00:00:00"/>
  </r>
  <r>
    <s v="WLH/KEC/SIEC/FDA &amp; PA/7TH FL/00"/>
    <x v="0"/>
    <d v="2025-06-23T00:00:00"/>
    <d v="2025-08-25T00:00:00"/>
    <d v="2025-07-14T00:00:00"/>
    <d v="2025-10-13T00:00:00"/>
    <d v="2025-06-01T00:00:00"/>
    <d v="2025-08-01T00:00:00"/>
    <d v="2025-07-01T00:00:00"/>
    <d v="2025-10-01T00:00:00"/>
  </r>
  <r>
    <s v="WLH/KEC/SIEC/FPS/7TH FL/00"/>
    <x v="0"/>
    <d v="2025-06-23T00:00:00"/>
    <d v="2025-08-25T00:00:00"/>
    <d v="2025-07-14T00:00:00"/>
    <d v="2025-10-13T00:00:00"/>
    <d v="2025-06-01T00:00:00"/>
    <d v="2025-08-01T00:00:00"/>
    <d v="2025-07-01T00:00:00"/>
    <d v="2025-10-01T00:00:00"/>
  </r>
  <r>
    <s v="WLH/KEC/SIEC/SIGNAGE &amp; EXTINGUISHER /8TH FL/00"/>
    <x v="0"/>
    <d v="2025-06-23T00:00:00"/>
    <d v="2025-08-25T00:00:00"/>
    <d v="2025-07-14T00:00:00"/>
    <d v="2025-10-27T00:00:00"/>
    <d v="2025-06-01T00:00:00"/>
    <d v="2025-08-01T00:00:00"/>
    <d v="2025-07-01T00:00:00"/>
    <d v="2025-10-01T00:00:00"/>
  </r>
  <r>
    <s v="WLH/KEC/SIEC/FDA &amp; PA/8TH FL/00"/>
    <x v="0"/>
    <d v="2025-06-23T00:00:00"/>
    <d v="2025-08-25T00:00:00"/>
    <d v="2025-07-14T00:00:00"/>
    <d v="2025-10-27T00:00:00"/>
    <d v="2025-06-01T00:00:00"/>
    <d v="2025-08-01T00:00:00"/>
    <d v="2025-07-01T00:00:00"/>
    <d v="2025-10-01T00:00:00"/>
  </r>
  <r>
    <s v="WLH/KEC/SIEC/FPS/8TH FL/00"/>
    <x v="0"/>
    <d v="2025-06-23T00:00:00"/>
    <d v="2025-08-25T00:00:00"/>
    <d v="2025-07-14T00:00:00"/>
    <d v="2025-10-27T00:00:00"/>
    <d v="2025-06-01T00:00:00"/>
    <d v="2025-08-01T00:00:00"/>
    <d v="2025-07-01T00:00:00"/>
    <d v="2025-10-01T00:00:00"/>
  </r>
  <r>
    <s v="WLH/KEC/SIEC/SIGNAGE &amp; EXTINGUISHER /9TH FL/00"/>
    <x v="0"/>
    <d v="2025-07-07T00:00:00"/>
    <d v="2025-06-16T00:00:00"/>
    <d v="2025-07-28T00:00:00"/>
    <d v="2025-07-07T00:00:00"/>
    <d v="2025-07-01T00:00:00"/>
    <d v="2025-06-01T00:00:00"/>
    <d v="2025-08-01T00:00:00"/>
    <d v="2025-07-01T00:00:00"/>
  </r>
  <r>
    <s v="WLH/KEC/SIEC/FDA &amp; PA/9TH FL/00"/>
    <x v="0"/>
    <d v="2025-07-07T00:00:00"/>
    <d v="2025-06-16T00:00:00"/>
    <d v="2025-07-28T00:00:00"/>
    <d v="2025-07-07T00:00:00"/>
    <d v="2025-07-01T00:00:00"/>
    <d v="2025-06-01T00:00:00"/>
    <d v="2025-08-01T00:00:00"/>
    <d v="2025-07-01T00:00:00"/>
  </r>
  <r>
    <s v="WLH/KEC/SIEC/FPS/9TH FL/00"/>
    <x v="0"/>
    <d v="2025-07-07T00:00:00"/>
    <d v="2025-06-16T00:00:00"/>
    <d v="2025-07-28T00:00:00"/>
    <d v="2025-07-07T00:00:00"/>
    <d v="2025-07-01T00:00:00"/>
    <d v="2025-06-01T00:00:00"/>
    <d v="2025-08-01T00:00:00"/>
    <d v="2025-07-01T00:00:00"/>
  </r>
  <r>
    <s v="WLH/KEC/SIEC/FDA &amp; PA/10TH FL/00"/>
    <x v="0"/>
    <d v="2025-07-07T00:00:00"/>
    <d v="2025-09-08T00:00:00"/>
    <d v="2025-07-28T00:00:00"/>
    <d v="2025-10-13T00:00:00"/>
    <d v="2025-07-01T00:00:00"/>
    <d v="2025-09-01T00:00:00"/>
    <d v="2025-08-01T00:00:00"/>
    <d v="2025-10-01T00:00:00"/>
  </r>
  <r>
    <s v="WLH/KEC/SIEC/FPS/10TH FL/00"/>
    <x v="0"/>
    <d v="2025-07-07T00:00:00"/>
    <d v="2025-09-08T00:00:00"/>
    <d v="2025-07-28T00:00:00"/>
    <d v="2025-10-13T00:00:00"/>
    <d v="2025-07-01T00:00:00"/>
    <d v="2025-09-01T00:00:00"/>
    <d v="2025-08-01T00:00:00"/>
    <d v="2025-10-01T00:00:00"/>
  </r>
  <r>
    <s v="WLH/KEC/SIEC/SIGNAGE &amp; EXTINGUISHER /10TH FL/00"/>
    <x v="0"/>
    <d v="2025-11-10T00:00:00"/>
    <d v="2025-11-17T00:00:00"/>
    <d v="2025-08-11T00:00:00"/>
    <d v="2026-02-16T00:00:00"/>
    <d v="2025-11-01T00:00:00"/>
    <d v="2025-11-01T00:00:00"/>
    <d v="2025-08-01T00:00:00"/>
    <d v="2026-02-01T00:00:00"/>
  </r>
  <r>
    <s v="WLH/KEC/SIEC/FDA &amp; PA/TERRACE/00"/>
    <x v="0"/>
    <d v="2025-11-10T00:00:00"/>
    <d v="2025-11-10T00:00:00"/>
    <d v="2025-08-11T00:00:00"/>
    <d v="2026-02-16T00:00:00"/>
    <d v="2025-11-01T00:00:00"/>
    <d v="2025-11-01T00:00:00"/>
    <d v="2025-08-01T00:00:00"/>
    <d v="2026-02-01T00:00:00"/>
  </r>
  <r>
    <s v="WLH/KEC/SIEC/FPS/TERRACE/00"/>
    <x v="0"/>
    <d v="2025-11-10T00:00:00"/>
    <d v="2025-11-10T00:00:00"/>
    <d v="2025-08-11T00:00:00"/>
    <d v="2026-02-16T00:00:00"/>
    <d v="2025-11-01T00:00:00"/>
    <d v="2025-11-01T00:00:00"/>
    <d v="2025-08-01T00:00:00"/>
    <d v="2026-02-01T00:00:00"/>
  </r>
  <r>
    <s v="WLH/KEC/SIEC/FIRE/INFRA/PUMP ROOM/00"/>
    <x v="0"/>
    <d v="2025-04-14T00:00:00"/>
    <d v="2025-04-14T00:00:00"/>
    <d v="2025-05-12T00:00:00"/>
    <d v="2025-04-14T00:00:00"/>
    <d v="2025-04-01T00:00:00"/>
    <d v="2025-04-01T00:00:00"/>
    <d v="2025-05-01T00:00:00"/>
    <d v="2025-04-01T00:00:00"/>
  </r>
  <r>
    <s v="WLH/KEC/SIEC/FIRE/EXTHYDRANT/00"/>
    <x v="0"/>
    <d v="2025-03-10T00:00:00"/>
    <d v="2025-11-03T00:00:00"/>
    <d v="2025-06-02T00:00:00"/>
    <d v="2026-02-16T00:00:00"/>
    <d v="2025-03-01T00:00:00"/>
    <d v="2025-11-01T00:00:00"/>
    <d v="2025-06-01T00:00:00"/>
    <d v="2026-02-01T00:00:00"/>
  </r>
  <r>
    <s v="WLH/KEC/SIEC/FIRE/PUMP HEAD CALCULATION/00"/>
    <x v="0"/>
    <d v="2025-03-10T00:00:00"/>
    <d v="2025-04-14T00:00:00"/>
    <d v="2025-04-07T00:00:00"/>
    <d v="2025-04-07T00:00:00"/>
    <d v="2025-03-01T00:00:00"/>
    <d v="2025-04-01T00:00:00"/>
    <d v="2025-04-01T00:00:00"/>
    <d v="2025-04-01T00:00:00"/>
  </r>
  <r>
    <s v="WLH/KEC/SIEC/FPS SLD/00"/>
    <x v="0"/>
    <d v="2025-03-10T00:00:00"/>
    <d v="2025-04-14T00:00:00"/>
    <d v="2025-04-07T00:00:00"/>
    <d v="2025-04-07T00:00:00"/>
    <d v="2025-03-01T00:00:00"/>
    <d v="2025-04-01T00:00:00"/>
    <d v="2025-04-01T00:00:00"/>
    <d v="2025-04-01T00:00:00"/>
  </r>
  <r>
    <s v="WLH/KEC/SIEC/FDA &amp; PA SLD/00"/>
    <x v="0"/>
    <d v="2025-03-10T00:00:00"/>
    <d v="2025-04-14T00:00:00"/>
    <d v="2025-04-07T00:00:00"/>
    <d v="2025-04-07T00:00:00"/>
    <d v="2025-03-01T00:00:00"/>
    <d v="2025-04-01T00:00:00"/>
    <d v="2025-04-01T00:00:00"/>
    <d v="2025-04-01T00:00:00"/>
  </r>
  <r>
    <s v="WLH/KEC/SIEC/PASCHEMATIC/00"/>
    <x v="0"/>
    <d v="2025-03-10T00:00:00"/>
    <d v="2025-04-14T00:00:00"/>
    <d v="2025-04-07T00:00:00"/>
    <d v="2025-04-07T00:00:00"/>
    <d v="2025-03-01T00:00:00"/>
    <d v="2025-04-01T00:00:00"/>
    <d v="2025-04-01T00:00:00"/>
    <d v="2025-04-01T00:00:00"/>
  </r>
  <r>
    <s v="WLH/KEC/SIEC/FIRE &amp; BMS ROOM/00"/>
    <x v="0"/>
    <d v="2025-03-31T00:00:00"/>
    <d v="2025-04-07T00:00:00"/>
    <d v="2025-04-21T00:00:00"/>
    <d v="2026-02-16T00:00:00"/>
    <d v="2025-03-01T00:00:00"/>
    <d v="2025-04-01T00:00:00"/>
    <d v="2025-04-01T00:00:00"/>
    <d v="2026-02-01T00:00:00"/>
  </r>
  <r>
    <s v="WLH/KEC/SIEC/FIRE/WET RISER/00"/>
    <x v="0"/>
    <d v="2025-03-10T00:00:00"/>
    <d v="2025-04-14T00:00:00"/>
    <d v="2025-04-07T00:00:00"/>
    <d v="2025-04-07T00:00:00"/>
    <d v="2025-03-01T00:00:00"/>
    <d v="2025-04-01T00:00:00"/>
    <d v="2025-04-01T00:00:00"/>
    <d v="2025-04-01T00:00:00"/>
  </r>
  <r>
    <s v="WLH/KEC/SIEC/HVAC/BASEMENT/DUCTING/00"/>
    <x v="1"/>
    <d v="2025-03-31T00:00:00"/>
    <d v="2025-03-31T00:00:00"/>
    <d v="2025-04-14T00:00:00"/>
    <d v="2025-05-26T00:00:00"/>
    <d v="2025-03-01T00:00:00"/>
    <d v="2025-04-01T00:00:00"/>
    <d v="2025-04-01T00:00:00"/>
    <d v="2025-05-01T00:00:00"/>
  </r>
  <r>
    <s v="WLH/KEC/SIEC/HVAC/BASEMENT/CHW PIPING/00"/>
    <x v="1"/>
    <d v="2025-03-31T00:00:00"/>
    <d v="2025-03-31T00:00:00"/>
    <d v="2025-04-14T00:00:00"/>
    <d v="2025-05-26T00:00:00"/>
    <d v="2025-03-01T00:00:00"/>
    <d v="2025-04-01T00:00:00"/>
    <d v="2025-04-01T00:00:00"/>
    <d v="2025-05-01T00:00:00"/>
  </r>
  <r>
    <s v="WLH/KEC/SIEC/HVAC/BASEMENT/VENTILATION LAYOUT/00"/>
    <x v="1"/>
    <d v="2025-03-31T00:00:00"/>
    <d v="2025-03-31T00:00:00"/>
    <d v="2025-04-14T00:00:00"/>
    <d v="2025-05-26T00:00:00"/>
    <d v="2025-03-01T00:00:00"/>
    <d v="2025-04-01T00:00:00"/>
    <d v="2025-04-01T00:00:00"/>
    <d v="2025-05-01T00:00:00"/>
  </r>
  <r>
    <s v="WLH/KEC/SIEC/HVAC/BASEMENT/SMOKE EXTRACTION/00"/>
    <x v="1"/>
    <d v="2025-03-31T00:00:00"/>
    <d v="2025-03-31T00:00:00"/>
    <d v="2025-04-14T00:00:00"/>
    <d v="2025-05-26T00:00:00"/>
    <d v="2025-03-01T00:00:00"/>
    <d v="2025-04-01T00:00:00"/>
    <d v="2025-04-01T00:00:00"/>
    <d v="2025-05-01T00:00:00"/>
  </r>
  <r>
    <s v="WLH/KEC/SIEC/HVAC/BASEMENT/FRESH AIR/00"/>
    <x v="1"/>
    <d v="2025-03-31T00:00:00"/>
    <d v="2025-03-31T00:00:00"/>
    <d v="2025-04-14T00:00:00"/>
    <d v="2025-05-26T00:00:00"/>
    <d v="2025-03-01T00:00:00"/>
    <d v="2025-04-01T00:00:00"/>
    <d v="2025-04-01T00:00:00"/>
    <d v="2025-05-01T00:00:00"/>
  </r>
  <r>
    <s v="WLH/KEC/SIEC/HVAC/GF FL/CHW PIPING/00"/>
    <x v="1"/>
    <d v="2025-03-31T00:00:00"/>
    <d v="2025-04-07T00:00:00"/>
    <d v="2025-04-14T00:00:00"/>
    <d v="2025-06-02T00:00:00"/>
    <d v="2025-03-01T00:00:00"/>
    <d v="2025-04-01T00:00:00"/>
    <d v="2025-04-01T00:00:00"/>
    <d v="2025-06-01T00:00:00"/>
  </r>
  <r>
    <s v="WLH/KEC/SIEC/HVAC/BASEMENT/ZONING/00"/>
    <x v="1"/>
    <d v="2025-03-31T00:00:00"/>
    <d v="2025-04-07T00:00:00"/>
    <d v="2025-04-14T00:00:00"/>
    <d v="2025-06-02T00:00:00"/>
    <d v="2025-03-01T00:00:00"/>
    <d v="2025-04-01T00:00:00"/>
    <d v="2025-04-01T00:00:00"/>
    <d v="2025-06-01T00:00:00"/>
  </r>
  <r>
    <s v="WLH/KEC/SIEC/HVAC/GR FL/SMOKE EXTRACTION/00"/>
    <x v="1"/>
    <d v="2025-03-31T00:00:00"/>
    <d v="2025-04-07T00:00:00"/>
    <d v="2025-04-14T00:00:00"/>
    <d v="2025-06-02T00:00:00"/>
    <d v="2025-03-01T00:00:00"/>
    <d v="2025-04-01T00:00:00"/>
    <d v="2025-04-01T00:00:00"/>
    <d v="2025-06-01T00:00:00"/>
  </r>
  <r>
    <s v="WLH/KEC/SIEC/HVAC/GR FL/SMOKE EXTRACTION/00-00"/>
    <x v="1"/>
    <d v="2025-03-31T00:00:00"/>
    <d v="2025-04-07T00:00:00"/>
    <d v="2025-04-14T00:00:00"/>
    <d v="2025-06-02T00:00:00"/>
    <d v="2025-03-01T00:00:00"/>
    <d v="2025-04-01T00:00:00"/>
    <d v="2025-04-01T00:00:00"/>
    <d v="2025-06-01T00:00:00"/>
  </r>
  <r>
    <s v="WLH/KEC/SIEC/HVAC/PRESSURIZATION/GR FL/00"/>
    <x v="1"/>
    <d v="2025-03-31T00:00:00"/>
    <d v="2025-04-07T00:00:00"/>
    <d v="2025-04-14T00:00:00"/>
    <d v="2025-06-02T00:00:00"/>
    <d v="2025-03-01T00:00:00"/>
    <d v="2025-04-01T00:00:00"/>
    <d v="2025-04-01T00:00:00"/>
    <d v="2025-06-01T00:00:00"/>
  </r>
  <r>
    <s v="WLH/KEC/SIEC/HVAC/1ST FL/DUCTING/00"/>
    <x v="1"/>
    <d v="2025-11-10T00:00:00"/>
    <d v="2025-11-10T00:00:00"/>
    <d v="2025-11-24T00:00:00"/>
    <d v="2025-12-01T00:00:00"/>
    <d v="2025-11-01T00:00:00"/>
    <d v="2025-11-01T00:00:00"/>
    <d v="2025-11-01T00:00:00"/>
    <d v="2025-12-01T00:00:00"/>
  </r>
  <r>
    <s v="WLH/KEC/SIEC/HVAC/1ST FL/CHW PIPING/00"/>
    <x v="1"/>
    <d v="2025-11-10T00:00:00"/>
    <d v="2025-11-10T00:00:00"/>
    <d v="2025-11-24T00:00:00"/>
    <d v="2025-12-01T00:00:00"/>
    <d v="2025-11-01T00:00:00"/>
    <d v="2025-11-01T00:00:00"/>
    <d v="2025-11-01T00:00:00"/>
    <d v="2025-12-01T00:00:00"/>
  </r>
  <r>
    <s v="WLH/KEC/SIEC/HVAC/1ST FL/SMOKE EXTRACTION/00"/>
    <x v="1"/>
    <d v="2025-11-10T00:00:00"/>
    <d v="2025-11-10T00:00:00"/>
    <d v="2025-11-24T00:00:00"/>
    <d v="2025-12-01T00:00:00"/>
    <d v="2025-11-01T00:00:00"/>
    <d v="2025-11-01T00:00:00"/>
    <d v="2025-11-01T00:00:00"/>
    <d v="2025-12-01T00:00:00"/>
  </r>
  <r>
    <s v="WLH/KEC/SIEC/HVAC/1ST FL/FRESH AIR/00"/>
    <x v="1"/>
    <d v="2025-11-10T00:00:00"/>
    <d v="2025-11-10T00:00:00"/>
    <d v="2025-11-24T00:00:00"/>
    <d v="2025-12-01T00:00:00"/>
    <d v="2025-11-01T00:00:00"/>
    <d v="2025-11-01T00:00:00"/>
    <d v="2025-11-01T00:00:00"/>
    <d v="2025-12-01T00:00:00"/>
  </r>
  <r>
    <s v="WLH/KEC/SIEC/HVAC/PRESSURIZATION/1STFL/00"/>
    <x v="1"/>
    <d v="2025-11-10T00:00:00"/>
    <d v="2025-11-10T00:00:00"/>
    <d v="2025-11-24T00:00:00"/>
    <d v="2025-12-01T00:00:00"/>
    <d v="2025-11-01T00:00:00"/>
    <d v="2025-11-01T00:00:00"/>
    <d v="2025-11-01T00:00:00"/>
    <d v="2025-12-01T00:00:00"/>
  </r>
  <r>
    <s v="WLH/KEC/SIEC/HVAC/2ND FL/DUCTING/00"/>
    <x v="1"/>
    <d v="2025-10-27T00:00:00"/>
    <d v="2025-11-03T00:00:00"/>
    <d v="2025-11-10T00:00:00"/>
    <d v="2025-12-01T00:00:00"/>
    <d v="2025-10-01T00:00:00"/>
    <d v="2025-11-01T00:00:00"/>
    <d v="2025-11-01T00:00:00"/>
    <d v="2025-12-01T00:00:00"/>
  </r>
  <r>
    <s v="WLH/KEC/SIEC/HVAC/2ND FL/CHW PIPING/00"/>
    <x v="1"/>
    <d v="2025-10-27T00:00:00"/>
    <d v="2025-11-03T00:00:00"/>
    <d v="2025-11-10T00:00:00"/>
    <d v="2025-12-01T00:00:00"/>
    <d v="2025-10-01T00:00:00"/>
    <d v="2025-11-01T00:00:00"/>
    <d v="2025-11-01T00:00:00"/>
    <d v="2025-12-01T00:00:00"/>
  </r>
  <r>
    <s v="WLH/KEC/SIEC/HVAC/2ND FL/SMOKE EXTRACTION/00"/>
    <x v="1"/>
    <d v="2025-10-27T00:00:00"/>
    <d v="2025-11-03T00:00:00"/>
    <d v="2025-11-10T00:00:00"/>
    <d v="2025-12-01T00:00:00"/>
    <d v="2025-10-01T00:00:00"/>
    <d v="2025-11-01T00:00:00"/>
    <d v="2025-11-01T00:00:00"/>
    <d v="2025-12-01T00:00:00"/>
  </r>
  <r>
    <s v="WLH/KEC/SIEC/HVAC/2ND FL/FRESH AIR/00"/>
    <x v="1"/>
    <d v="2025-10-27T00:00:00"/>
    <d v="2025-11-03T00:00:00"/>
    <d v="2025-11-10T00:00:00"/>
    <d v="2025-12-01T00:00:00"/>
    <d v="2025-10-01T00:00:00"/>
    <d v="2025-11-01T00:00:00"/>
    <d v="2025-11-01T00:00:00"/>
    <d v="2025-12-01T00:00:00"/>
  </r>
  <r>
    <s v="WLH/KEC/SIEC/HVAC/PRESSURIZATION/2ND FL/00"/>
    <x v="1"/>
    <d v="2025-10-27T00:00:00"/>
    <d v="2025-11-03T00:00:00"/>
    <d v="2025-11-10T00:00:00"/>
    <d v="2025-12-01T00:00:00"/>
    <d v="2025-10-01T00:00:00"/>
    <d v="2025-11-01T00:00:00"/>
    <d v="2025-11-01T00:00:00"/>
    <d v="2025-12-01T00:00:00"/>
  </r>
  <r>
    <s v="WLH/KEC/SIEC/HVAC/3RD FL/DUCTING/00"/>
    <x v="1"/>
    <d v="2025-10-20T00:00:00"/>
    <d v="2025-10-27T00:00:00"/>
    <d v="2025-11-03T00:00:00"/>
    <d v="2025-12-01T00:00:00"/>
    <d v="2025-10-01T00:00:00"/>
    <d v="2025-10-01T00:00:00"/>
    <d v="2025-11-01T00:00:00"/>
    <d v="2025-12-01T00:00:00"/>
  </r>
  <r>
    <s v="WLH/KEC/SIEC/HVAC/3RD FL/00"/>
    <x v="1"/>
    <d v="2025-10-20T00:00:00"/>
    <d v="2025-10-27T00:00:00"/>
    <d v="2025-11-03T00:00:00"/>
    <d v="2025-12-01T00:00:00"/>
    <d v="2025-10-01T00:00:00"/>
    <d v="2025-10-01T00:00:00"/>
    <d v="2025-11-01T00:00:00"/>
    <d v="2025-12-01T00:00:00"/>
  </r>
  <r>
    <s v="WLH/KEC/SIEC/HVAC/3RD FL/SMOKE EXTRACTION/00"/>
    <x v="1"/>
    <d v="2025-10-20T00:00:00"/>
    <d v="2025-10-27T00:00:00"/>
    <d v="2025-11-03T00:00:00"/>
    <d v="2025-12-01T00:00:00"/>
    <d v="2025-10-01T00:00:00"/>
    <d v="2025-10-01T00:00:00"/>
    <d v="2025-11-01T00:00:00"/>
    <d v="2025-12-01T00:00:00"/>
  </r>
  <r>
    <s v="WLH/KEC/SIEC/HVAC/3RD FL/FRESH AIR/00"/>
    <x v="1"/>
    <d v="2025-10-20T00:00:00"/>
    <d v="2025-10-27T00:00:00"/>
    <d v="2025-11-03T00:00:00"/>
    <d v="2025-12-01T00:00:00"/>
    <d v="2025-10-01T00:00:00"/>
    <d v="2025-10-01T00:00:00"/>
    <d v="2025-11-01T00:00:00"/>
    <d v="2025-12-01T00:00:00"/>
  </r>
  <r>
    <s v="WLH/KEC/SIEC/HVAC/PRESSURIZATION/3RD FL/00"/>
    <x v="1"/>
    <d v="2025-10-20T00:00:00"/>
    <d v="2025-10-27T00:00:00"/>
    <d v="2025-11-03T00:00:00"/>
    <d v="2025-12-01T00:00:00"/>
    <d v="2025-10-01T00:00:00"/>
    <d v="2025-10-01T00:00:00"/>
    <d v="2025-11-01T00:00:00"/>
    <d v="2025-12-01T00:00:00"/>
  </r>
  <r>
    <s v="WLH/KEC/SIEC/HVAC/4TH F/DUCTINGL/00"/>
    <x v="1"/>
    <d v="2025-05-12T00:00:00"/>
    <d v="2025-06-09T00:00:00"/>
    <d v="2025-05-26T00:00:00"/>
    <d v="2025-06-02T00:00:00"/>
    <d v="2025-05-01T00:00:00"/>
    <d v="2025-06-01T00:00:00"/>
    <d v="2025-06-01T00:00:00"/>
    <d v="2025-06-01T00:00:00"/>
  </r>
  <r>
    <s v="WLH/KEC/SIEC/HVAC/4TH FL/CHW PIPING/00"/>
    <x v="1"/>
    <d v="2025-05-12T00:00:00"/>
    <d v="2025-06-09T00:00:00"/>
    <d v="2025-05-26T00:00:00"/>
    <d v="2025-06-02T00:00:00"/>
    <d v="2025-05-01T00:00:00"/>
    <d v="2025-06-01T00:00:00"/>
    <d v="2025-06-01T00:00:00"/>
    <d v="2025-06-01T00:00:00"/>
  </r>
  <r>
    <s v="WLH/KEC/SIEC/HVAC/4TH FL/SMOKE EXTRACTION/00"/>
    <x v="1"/>
    <d v="2025-05-12T00:00:00"/>
    <d v="2025-06-09T00:00:00"/>
    <d v="2025-05-26T00:00:00"/>
    <d v="2025-06-02T00:00:00"/>
    <d v="2025-05-01T00:00:00"/>
    <d v="2025-06-01T00:00:00"/>
    <d v="2025-06-01T00:00:00"/>
    <d v="2025-06-01T00:00:00"/>
  </r>
  <r>
    <s v="WLH/KEC/SIEC/HVAC/4TH FL/FRESH AIR/00"/>
    <x v="1"/>
    <d v="2025-05-12T00:00:00"/>
    <d v="2025-06-09T00:00:00"/>
    <d v="2025-05-26T00:00:00"/>
    <d v="2025-06-02T00:00:00"/>
    <d v="2025-05-01T00:00:00"/>
    <d v="2025-06-01T00:00:00"/>
    <d v="2025-06-01T00:00:00"/>
    <d v="2025-06-01T00:00:00"/>
  </r>
  <r>
    <s v="WLH/KEC/SIEC/HVAC/PRESSURIZATION/4TH FL/00"/>
    <x v="1"/>
    <d v="2025-05-12T00:00:00"/>
    <d v="2025-06-09T00:00:00"/>
    <d v="2025-05-26T00:00:00"/>
    <d v="2025-06-02T00:00:00"/>
    <d v="2025-05-01T00:00:00"/>
    <d v="2025-06-01T00:00:00"/>
    <d v="2025-06-01T00:00:00"/>
    <d v="2025-06-01T00:00:00"/>
  </r>
  <r>
    <s v="WLH/KEC/SIEC/HVAC/5TH FL/00"/>
    <x v="1"/>
    <d v="2025-05-26T00:00:00"/>
    <d v="2025-06-30T00:00:00"/>
    <d v="2025-06-09T00:00:00"/>
    <d v="2025-10-13T00:00:00"/>
    <d v="2025-05-01T00:00:00"/>
    <d v="2025-07-01T00:00:00"/>
    <d v="2025-06-01T00:00:00"/>
    <d v="2025-10-01T00:00:00"/>
  </r>
  <r>
    <s v="WLH/KEC/SIEC/HVAC/5TH FL/CHW PIPING/00"/>
    <x v="1"/>
    <d v="2025-05-26T00:00:00"/>
    <d v="2025-06-30T00:00:00"/>
    <d v="2025-06-09T00:00:00"/>
    <d v="2025-10-13T00:00:00"/>
    <d v="2025-05-01T00:00:00"/>
    <d v="2025-07-01T00:00:00"/>
    <d v="2025-06-01T00:00:00"/>
    <d v="2025-10-01T00:00:00"/>
  </r>
  <r>
    <s v="WLH/KEC/SIEC/HVAC/5TH FL/SMOKE EXTRACTION/00"/>
    <x v="1"/>
    <d v="2025-05-26T00:00:00"/>
    <d v="2025-06-30T00:00:00"/>
    <d v="2025-06-09T00:00:00"/>
    <d v="2025-10-13T00:00:00"/>
    <d v="2025-05-01T00:00:00"/>
    <d v="2025-07-01T00:00:00"/>
    <d v="2025-06-01T00:00:00"/>
    <d v="2025-10-01T00:00:00"/>
  </r>
  <r>
    <s v="WLH/KEC/SIEC/HVAC/5TH FL/FRESH AIR/00"/>
    <x v="1"/>
    <d v="2025-05-26T00:00:00"/>
    <d v="2025-06-30T00:00:00"/>
    <d v="2025-06-09T00:00:00"/>
    <d v="2025-10-13T00:00:00"/>
    <d v="2025-05-01T00:00:00"/>
    <d v="2025-07-01T00:00:00"/>
    <d v="2025-06-01T00:00:00"/>
    <d v="2025-10-01T00:00:00"/>
  </r>
  <r>
    <s v="WLH/KEC/SIEC/HVAC/PRESSURIZATION/5TH FL/00"/>
    <x v="1"/>
    <d v="2025-05-26T00:00:00"/>
    <d v="2025-06-30T00:00:00"/>
    <d v="2025-06-09T00:00:00"/>
    <d v="2025-09-08T00:00:00"/>
    <d v="2025-05-01T00:00:00"/>
    <d v="2025-07-01T00:00:00"/>
    <d v="2025-06-01T00:00:00"/>
    <d v="2025-09-01T00:00:00"/>
  </r>
  <r>
    <s v="WLH/KEC/SIEC/HVAC/6TH FL/00"/>
    <x v="1"/>
    <d v="2025-06-09T00:00:00"/>
    <d v="2025-07-07T00:00:00"/>
    <d v="2025-06-30T00:00:00"/>
    <d v="2025-10-13T00:00:00"/>
    <d v="2025-06-01T00:00:00"/>
    <d v="2025-07-01T00:00:00"/>
    <d v="2025-07-01T00:00:00"/>
    <d v="2025-10-01T00:00:00"/>
  </r>
  <r>
    <s v="WLH/KEC/SIEC/HVAC/6TH FL/CHW PIPING/00"/>
    <x v="1"/>
    <d v="2025-06-09T00:00:00"/>
    <d v="2025-07-07T00:00:00"/>
    <d v="2025-06-30T00:00:00"/>
    <d v="2025-10-13T00:00:00"/>
    <d v="2025-06-01T00:00:00"/>
    <d v="2025-07-01T00:00:00"/>
    <d v="2025-07-01T00:00:00"/>
    <d v="2025-10-01T00:00:00"/>
  </r>
  <r>
    <s v="WLH/KEC/SIEC/HVAC/6TH FL/SMOKE EXTRACTION/00"/>
    <x v="1"/>
    <d v="2025-06-09T00:00:00"/>
    <d v="2025-07-07T00:00:00"/>
    <d v="2025-06-30T00:00:00"/>
    <d v="2025-10-13T00:00:00"/>
    <d v="2025-06-01T00:00:00"/>
    <d v="2025-07-01T00:00:00"/>
    <d v="2025-07-01T00:00:00"/>
    <d v="2025-10-01T00:00:00"/>
  </r>
  <r>
    <s v="WLH/KEC/SIEC/HVAC/6TH FL/FRESH AIR/00"/>
    <x v="1"/>
    <d v="2025-06-09T00:00:00"/>
    <d v="2025-07-07T00:00:00"/>
    <d v="2025-06-30T00:00:00"/>
    <d v="2025-10-13T00:00:00"/>
    <d v="2025-06-01T00:00:00"/>
    <d v="2025-07-01T00:00:00"/>
    <d v="2025-07-01T00:00:00"/>
    <d v="2025-10-01T00:00:00"/>
  </r>
  <r>
    <s v="WLH/KEC/SIEC/HVAC/PRESSURIZATION/6TH FL/00"/>
    <x v="1"/>
    <d v="2025-06-09T00:00:00"/>
    <d v="2025-07-07T00:00:00"/>
    <d v="2025-06-30T00:00:00"/>
    <d v="2025-09-08T00:00:00"/>
    <d v="2025-06-01T00:00:00"/>
    <d v="2025-07-01T00:00:00"/>
    <d v="2025-07-01T00:00:00"/>
    <d v="2025-09-01T00:00:00"/>
  </r>
  <r>
    <s v="WLH/KEC/SIEC/HVAC/7TH FL/DUCTING/00"/>
    <x v="1"/>
    <d v="2025-06-23T00:00:00"/>
    <d v="2025-08-25T00:00:00"/>
    <d v="2025-07-14T00:00:00"/>
    <d v="2025-10-13T00:00:00"/>
    <d v="2025-06-01T00:00:00"/>
    <d v="2025-08-01T00:00:00"/>
    <d v="2025-07-01T00:00:00"/>
    <d v="2025-10-01T00:00:00"/>
  </r>
  <r>
    <s v="WLH/KEC/SIEC/HVAC/7TH FL/CHW PIPING/00"/>
    <x v="1"/>
    <d v="2025-06-23T00:00:00"/>
    <d v="2025-08-25T00:00:00"/>
    <d v="2025-07-14T00:00:00"/>
    <d v="2025-10-13T00:00:00"/>
    <d v="2025-06-01T00:00:00"/>
    <d v="2025-08-01T00:00:00"/>
    <d v="2025-07-01T00:00:00"/>
    <d v="2025-10-01T00:00:00"/>
  </r>
  <r>
    <s v="WLH/KEC/SIEC/HVAC/7TH FL/SMOKE EXTRACTION/00"/>
    <x v="1"/>
    <d v="2025-06-23T00:00:00"/>
    <d v="2025-08-25T00:00:00"/>
    <d v="2025-07-14T00:00:00"/>
    <d v="2025-10-13T00:00:00"/>
    <d v="2025-06-01T00:00:00"/>
    <d v="2025-08-01T00:00:00"/>
    <d v="2025-07-01T00:00:00"/>
    <d v="2025-10-01T00:00:00"/>
  </r>
  <r>
    <s v="WLH/KEC/SIEC/HVAC/7TH FL/FRESH AIR/00"/>
    <x v="1"/>
    <d v="2025-06-23T00:00:00"/>
    <d v="2025-08-25T00:00:00"/>
    <d v="2025-07-14T00:00:00"/>
    <d v="2025-10-13T00:00:00"/>
    <d v="2025-06-01T00:00:00"/>
    <d v="2025-08-01T00:00:00"/>
    <d v="2025-07-01T00:00:00"/>
    <d v="2025-10-01T00:00:00"/>
  </r>
  <r>
    <s v="WLH/KEC/SIEC/HVAC/PRESSURIZATION/7TH FL/00"/>
    <x v="1"/>
    <d v="2025-06-23T00:00:00"/>
    <d v="2025-08-25T00:00:00"/>
    <d v="2025-07-14T00:00:00"/>
    <d v="2025-10-13T00:00:00"/>
    <d v="2025-06-01T00:00:00"/>
    <d v="2025-08-01T00:00:00"/>
    <d v="2025-07-01T00:00:00"/>
    <d v="2025-10-01T00:00:00"/>
  </r>
  <r>
    <s v="WLH/KEC/SIEC/HVAC/8TH FL/DUCTING/00"/>
    <x v="1"/>
    <d v="2025-06-23T00:00:00"/>
    <d v="2025-08-25T00:00:00"/>
    <d v="2025-07-14T00:00:00"/>
    <d v="2025-10-27T00:00:00"/>
    <d v="2025-06-01T00:00:00"/>
    <d v="2025-08-01T00:00:00"/>
    <d v="2025-07-01T00:00:00"/>
    <d v="2025-10-01T00:00:00"/>
  </r>
  <r>
    <s v="WLH/KEC/SIEC/HVAC/8TH FL/CHW PIPING/00"/>
    <x v="1"/>
    <d v="2025-06-23T00:00:00"/>
    <d v="2025-08-25T00:00:00"/>
    <d v="2025-07-14T00:00:00"/>
    <d v="2025-10-27T00:00:00"/>
    <d v="2025-06-01T00:00:00"/>
    <d v="2025-08-01T00:00:00"/>
    <d v="2025-07-01T00:00:00"/>
    <d v="2025-10-01T00:00:00"/>
  </r>
  <r>
    <s v="WLH/KEC/SIEC/HVAC/8TH FL/SMOKE EXTRACTION/00"/>
    <x v="1"/>
    <d v="2025-06-23T00:00:00"/>
    <d v="2025-08-25T00:00:00"/>
    <d v="2025-07-14T00:00:00"/>
    <d v="2025-10-27T00:00:00"/>
    <d v="2025-06-01T00:00:00"/>
    <d v="2025-08-01T00:00:00"/>
    <d v="2025-07-01T00:00:00"/>
    <d v="2025-10-01T00:00:00"/>
  </r>
  <r>
    <s v="WLH/KEC/SIEC/HVAC/8TH FL/FRESH AIR/00"/>
    <x v="1"/>
    <d v="2025-06-23T00:00:00"/>
    <d v="2025-08-25T00:00:00"/>
    <d v="2025-07-14T00:00:00"/>
    <d v="2025-10-27T00:00:00"/>
    <d v="2025-06-01T00:00:00"/>
    <d v="2025-08-01T00:00:00"/>
    <d v="2025-07-01T00:00:00"/>
    <d v="2025-10-01T00:00:00"/>
  </r>
  <r>
    <s v="WLH/KEC/SIEC/HVAC/PRESSURIZATION/8TH FL/00"/>
    <x v="1"/>
    <d v="2025-06-23T00:00:00"/>
    <d v="2025-08-25T00:00:00"/>
    <d v="2025-07-14T00:00:00"/>
    <d v="2025-10-27T00:00:00"/>
    <d v="2025-06-01T00:00:00"/>
    <d v="2025-08-01T00:00:00"/>
    <d v="2025-07-01T00:00:00"/>
    <d v="2025-10-01T00:00:00"/>
  </r>
  <r>
    <s v="WLH/KEC/SIEC/HVAC/9TH FL/DUCTING/00"/>
    <x v="1"/>
    <d v="2025-07-07T00:00:00"/>
    <d v="2025-06-16T00:00:00"/>
    <d v="2025-07-28T00:00:00"/>
    <d v="2025-07-07T00:00:00"/>
    <d v="2025-07-01T00:00:00"/>
    <d v="2025-06-01T00:00:00"/>
    <d v="2025-08-01T00:00:00"/>
    <d v="2025-07-01T00:00:00"/>
  </r>
  <r>
    <s v="WLH/KEC/SIEC/HVAC/9TH FL/CHW PIPING/00"/>
    <x v="1"/>
    <d v="2025-07-07T00:00:00"/>
    <d v="2025-06-16T00:00:00"/>
    <d v="2025-07-28T00:00:00"/>
    <d v="2025-07-07T00:00:00"/>
    <d v="2025-07-01T00:00:00"/>
    <d v="2025-06-01T00:00:00"/>
    <d v="2025-08-01T00:00:00"/>
    <d v="2025-07-01T00:00:00"/>
  </r>
  <r>
    <s v="WLH/KEC/SIEC/HVAC/9TH FL/SMOKE EXTRACTION/00"/>
    <x v="1"/>
    <d v="2025-07-07T00:00:00"/>
    <d v="2025-06-16T00:00:00"/>
    <d v="2025-07-28T00:00:00"/>
    <d v="2025-07-07T00:00:00"/>
    <d v="2025-07-01T00:00:00"/>
    <d v="2025-06-01T00:00:00"/>
    <d v="2025-08-01T00:00:00"/>
    <d v="2025-07-01T00:00:00"/>
  </r>
  <r>
    <s v="WLH/KEC/SIEC/HVAC/9TH FL/FRESH AIR/00"/>
    <x v="1"/>
    <d v="2025-07-07T00:00:00"/>
    <d v="2025-06-16T00:00:00"/>
    <d v="2025-07-28T00:00:00"/>
    <d v="2025-07-07T00:00:00"/>
    <d v="2025-07-01T00:00:00"/>
    <d v="2025-06-01T00:00:00"/>
    <d v="2025-08-01T00:00:00"/>
    <d v="2025-07-01T00:00:00"/>
  </r>
  <r>
    <s v="WLH/KEC/SIEC/HVAC/PRESSURIZATION/9TH FL/00"/>
    <x v="1"/>
    <d v="2025-07-07T00:00:00"/>
    <d v="2025-06-16T00:00:00"/>
    <d v="2025-07-28T00:00:00"/>
    <d v="2025-07-07T00:00:00"/>
    <d v="2025-07-01T00:00:00"/>
    <d v="2025-06-01T00:00:00"/>
    <d v="2025-08-01T00:00:00"/>
    <d v="2025-07-01T00:00:00"/>
  </r>
  <r>
    <s v="WLH/KEC/SIEC/HVAC/10TH FL/DUCTING/00"/>
    <x v="1"/>
    <d v="2025-07-07T00:00:00"/>
    <d v="2025-09-08T00:00:00"/>
    <d v="2025-07-28T00:00:00"/>
    <d v="2025-10-13T00:00:00"/>
    <d v="2025-07-01T00:00:00"/>
    <d v="2025-09-01T00:00:00"/>
    <d v="2025-08-01T00:00:00"/>
    <d v="2025-10-01T00:00:00"/>
  </r>
  <r>
    <s v="WLH/KEC/SIEC/HVAC/10TH FL/CHW PIPING/00"/>
    <x v="1"/>
    <d v="2025-07-07T00:00:00"/>
    <d v="2025-09-08T00:00:00"/>
    <d v="2025-07-28T00:00:00"/>
    <d v="2025-10-13T00:00:00"/>
    <d v="2025-07-01T00:00:00"/>
    <d v="2025-09-01T00:00:00"/>
    <d v="2025-08-01T00:00:00"/>
    <d v="2025-10-01T00:00:00"/>
  </r>
  <r>
    <s v="WLH/KEC/SIEC/HVAC/10 FL/SMOKE EXTRACTION/00"/>
    <x v="1"/>
    <d v="2025-07-07T00:00:00"/>
    <d v="2025-09-08T00:00:00"/>
    <d v="2025-07-28T00:00:00"/>
    <d v="2025-10-13T00:00:00"/>
    <d v="2025-07-01T00:00:00"/>
    <d v="2025-09-01T00:00:00"/>
    <d v="2025-07-01T00:00:00"/>
    <d v="2025-10-01T00:00:00"/>
  </r>
  <r>
    <s v="WLH/KEC/SIEC/HVAC/10TH FL/FRESH AIR/00"/>
    <x v="1"/>
    <d v="2025-07-07T00:00:00"/>
    <d v="2025-09-08T00:00:00"/>
    <d v="2025-07-28T00:00:00"/>
    <d v="2025-10-13T00:00:00"/>
    <d v="2025-07-01T00:00:00"/>
    <d v="2025-09-01T00:00:00"/>
    <d v="2025-08-01T00:00:00"/>
    <d v="2025-10-01T00:00:00"/>
  </r>
  <r>
    <s v="WLH/KEC/SIEC/HVAC/PRESSURIZATION/10TH FL/00"/>
    <x v="1"/>
    <d v="2025-07-07T00:00:00"/>
    <d v="2025-09-08T00:00:00"/>
    <d v="2025-07-28T00:00:00"/>
    <d v="2025-10-13T00:00:00"/>
    <d v="2025-07-01T00:00:00"/>
    <d v="2025-09-01T00:00:00"/>
    <d v="2025-08-01T00:00:00"/>
    <d v="2025-10-01T00:00:00"/>
  </r>
  <r>
    <s v="WLH/KEC/SIEC/HVAC/TERRACE FL/DUCTING/00"/>
    <x v="1"/>
    <d v="2025-11-10T00:00:00"/>
    <d v="2025-11-10T00:00:00"/>
    <d v="2025-08-11T00:00:00"/>
    <d v="2026-02-16T00:00:00"/>
    <d v="2025-11-01T00:00:00"/>
    <d v="2025-11-01T00:00:00"/>
    <d v="2025-08-01T00:00:00"/>
    <d v="2026-02-01T00:00:00"/>
  </r>
  <r>
    <s v="WLH/KEC/SIEC/HVAC/TERRACE FL/CHW PIPING/00"/>
    <x v="1"/>
    <d v="2025-11-10T00:00:00"/>
    <d v="2025-11-24T00:00:00"/>
    <d v="2025-08-11T00:00:00"/>
    <d v="2026-02-16T00:00:00"/>
    <d v="2025-11-01T00:00:00"/>
    <d v="2025-11-01T00:00:00"/>
    <d v="2025-08-01T00:00:00"/>
    <d v="2026-02-01T00:00:00"/>
  </r>
  <r>
    <s v="WLH/KEC/SIEC/HVAC/MUMTY TERRACE FL/DUCTING/00"/>
    <x v="1"/>
    <d v="2025-11-10T00:00:00"/>
    <d v="2025-11-10T00:00:00"/>
    <d v="2025-08-11T00:00:00"/>
    <d v="2026-02-16T00:00:00"/>
    <d v="2025-11-01T00:00:00"/>
    <d v="2025-11-01T00:00:00"/>
    <d v="2025-08-01T00:00:00"/>
    <d v="2026-02-01T00:00:00"/>
  </r>
  <r>
    <s v="WLH/KEC/SIEC/HVAC/STP VENTILATION/00"/>
    <x v="1"/>
    <d v="2025-07-21T00:00:00"/>
    <d v="2025-03-31T00:00:00"/>
    <d v="2025-08-11T00:00:00"/>
    <d v="2025-05-26T00:00:00"/>
    <d v="2025-07-01T00:00:00"/>
    <d v="2025-04-01T00:00:00"/>
    <d v="2025-08-01T00:00:00"/>
    <d v="2025-05-01T00:00:00"/>
  </r>
  <r>
    <s v="WLH/KEC/SIEC/HVAC/PRESSURIZATION BASEMENT/00"/>
    <x v="1"/>
    <d v="2025-03-31T00:00:00"/>
    <d v="2025-03-31T00:00:00"/>
    <d v="2025-04-14T00:00:00"/>
    <d v="2025-05-26T00:00:00"/>
    <d v="2025-03-01T00:00:00"/>
    <d v="2025-04-01T00:00:00"/>
    <d v="2025-04-01T00:00:00"/>
    <d v="2025-05-01T00:00:00"/>
  </r>
  <r>
    <s v="WLH/KEC/SIEC/HVAC/CHILLER PLANT FL/00"/>
    <x v="1"/>
    <d v="2025-03-31T00:00:00"/>
    <d v="2025-08-25T00:00:00"/>
    <d v="2025-04-14T00:00:00"/>
    <d v="2025-08-25T00:00:00"/>
    <d v="2025-03-01T00:00:00"/>
    <d v="2025-08-01T00:00:00"/>
    <d v="2025-04-01T00:00:00"/>
    <d v="2025-08-01T00:00:00"/>
  </r>
  <r>
    <s v="WLH/KEC/SIEC/HVAC/DBR/00"/>
    <x v="1"/>
    <d v="2025-03-10T00:00:00"/>
    <d v="2025-03-10T00:00:00"/>
    <d v="2025-04-07T00:00:00"/>
    <d v="2025-03-10T00:00:00"/>
    <d v="2025-03-01T00:00:00"/>
    <d v="2025-03-01T00:00:00"/>
    <d v="2025-04-01T00:00:00"/>
    <d v="2025-03-01T00:00:00"/>
  </r>
  <r>
    <s v="ESP CALCULATION FOR ALL FIRE MODE EQUIOMENTS"/>
    <x v="1"/>
    <d v="2025-07-21T00:00:00"/>
    <d v="2025-08-25T00:00:00"/>
    <d v="2025-08-18T00:00:00"/>
    <d v="2025-08-25T00:00:00"/>
    <d v="2025-07-01T00:00:00"/>
    <d v="2025-08-01T00:00:00"/>
    <d v="2025-08-01T00:00:00"/>
    <d v="2025-08-01T00:00:00"/>
  </r>
  <r>
    <s v="ESP CALCULATION FOR ALL EQUIPMENTS"/>
    <x v="1"/>
    <d v="2025-07-21T00:00:00"/>
    <d v="2025-08-25T00:00:00"/>
    <d v="2025-08-18T00:00:00"/>
    <d v="2025-08-25T00:00:00"/>
    <d v="2025-07-01T00:00:00"/>
    <d v="2025-08-01T00:00:00"/>
    <d v="2025-08-01T00:00:00"/>
    <d v="2025-08-01T00:00:00"/>
  </r>
  <r>
    <s v="PUMP HEAD CALCULATION"/>
    <x v="1"/>
    <d v="2025-07-21T00:00:00"/>
    <d v="2025-08-25T00:00:00"/>
    <d v="2025-08-18T00:00:00"/>
    <d v="2025-08-25T00:00:00"/>
    <d v="2025-07-01T00:00:00"/>
    <d v="2025-08-01T00:00:00"/>
    <d v="2025-08-01T00:00:00"/>
    <d v="2025-08-01T00:00:00"/>
  </r>
  <r>
    <s v="WLH/KEC/SIEC/HVAC/HEAT-LOAD/00"/>
    <x v="1"/>
    <d v="2025-03-10T00:00:00"/>
    <d v="2025-03-10T00:00:00"/>
    <d v="2025-04-07T00:00:00"/>
    <d v="2025-03-10T00:00:00"/>
    <d v="2025-03-01T00:00:00"/>
    <d v="2025-03-01T00:00:00"/>
    <d v="2025-04-01T00:00:00"/>
    <d v="2025-03-01T00:00:00"/>
  </r>
  <r>
    <s v="WLH/KEC/SIEC/HVAC/VENTILATION CALCULATION/00"/>
    <x v="1"/>
    <d v="2025-03-10T00:00:00"/>
    <d v="2025-03-10T00:00:00"/>
    <d v="2025-04-07T00:00:00"/>
    <d v="2025-03-10T00:00:00"/>
    <d v="2025-03-01T00:00:00"/>
    <d v="2025-03-01T00:00:00"/>
    <d v="2025-04-01T00:00:00"/>
    <d v="2025-03-01T00:00:00"/>
  </r>
  <r>
    <s v="WLH/KEC/SIEC/HVAC/AIR FLOW-DIAGRAM/00"/>
    <x v="1"/>
    <d v="2025-07-21T00:00:00"/>
    <d v="2025-08-25T00:00:00"/>
    <d v="2025-08-18T00:00:00"/>
    <d v="2025-08-25T00:00:00"/>
    <d v="2025-07-01T00:00:00"/>
    <d v="2025-08-01T00:00:00"/>
    <d v="2025-08-01T00:00:00"/>
    <d v="2025-08-01T00:00:00"/>
  </r>
  <r>
    <s v="WLH/KEC/SIEC/HVAC/HVAC-SHAFT/00"/>
    <x v="1"/>
    <d v="2025-07-21T00:00:00"/>
    <d v="2025-03-10T00:00:00"/>
    <d v="2025-03-24T00:00:00"/>
    <d v="2025-03-10T00:00:00"/>
    <d v="2025-07-01T00:00:00"/>
    <d v="2025-03-01T00:00:00"/>
    <d v="2025-03-01T00:00:00"/>
    <d v="2025-03-01T00:00:00"/>
  </r>
  <r>
    <s v="WLH/KEC/SIEC/HVAC/CHILLED WATER SCHEMATIC/00"/>
    <x v="1"/>
    <d v="2025-11-24T00:00:00"/>
    <d v="2026-01-12T00:00:00"/>
    <d v="2025-12-22T00:00:00"/>
    <s v=""/>
    <d v="2025-11-01T00:00:00"/>
    <d v="2026-01-01T00:00:00"/>
    <d v="2025-12-01T00:00:00"/>
    <s v=""/>
  </r>
  <r>
    <s v="WLH/KEC/SIEC/HVAC/SCHEMATIC/00"/>
    <x v="1"/>
    <d v="2025-07-21T00:00:00"/>
    <d v="2025-08-25T00:00:00"/>
    <d v="2025-08-18T00:00:00"/>
    <d v="2025-08-25T00:00:00"/>
    <d v="2025-07-01T00:00:00"/>
    <d v="2025-08-01T00:00:00"/>
    <d v="2025-08-01T00:00:00"/>
    <d v="2025-08-01T00:00:00"/>
  </r>
  <r>
    <s v="WLH/KEC/SIEC/MEP/BASEMENT/00"/>
    <x v="1"/>
    <d v="2025-03-31T00:00:00"/>
    <d v="2025-03-31T00:00:00"/>
    <d v="2025-04-14T00:00:00"/>
    <d v="2025-05-26T00:00:00"/>
    <d v="2025-03-01T00:00:00"/>
    <d v="2025-04-01T00:00:00"/>
    <d v="2025-04-01T00:00:00"/>
    <d v="2025-05-01T00:00:00"/>
  </r>
  <r>
    <s v="WLH/KEC/SIEC/MEP SECTION/BASEMENT/00"/>
    <x v="1"/>
    <d v="2025-03-31T00:00:00"/>
    <d v="2025-03-31T00:00:00"/>
    <d v="2025-04-14T00:00:00"/>
    <d v="2025-05-26T00:00:00"/>
    <d v="2025-03-01T00:00:00"/>
    <d v="2025-04-01T00:00:00"/>
    <d v="2025-04-01T00:00:00"/>
    <d v="2025-05-01T00:00:00"/>
  </r>
  <r>
    <s v="WLH/KEC/SIEC/MEP/GR FL/00"/>
    <x v="1"/>
    <d v="2025-03-31T00:00:00"/>
    <d v="2025-04-07T00:00:00"/>
    <d v="2025-04-14T00:00:00"/>
    <d v="2025-06-02T00:00:00"/>
    <d v="2025-03-01T00:00:00"/>
    <d v="2025-04-01T00:00:00"/>
    <d v="2025-04-01T00:00:00"/>
    <d v="2025-06-01T00:00:00"/>
  </r>
  <r>
    <s v="WLH/KEC/SIEC/MEP SECTION/GR FL/00"/>
    <x v="1"/>
    <d v="2025-03-31T00:00:00"/>
    <d v="2025-04-07T00:00:00"/>
    <d v="2025-04-14T00:00:00"/>
    <d v="2025-06-02T00:00:00"/>
    <d v="2025-03-01T00:00:00"/>
    <d v="2025-04-01T00:00:00"/>
    <d v="2025-04-01T00:00:00"/>
    <d v="2025-06-01T00:00:00"/>
  </r>
  <r>
    <s v="WLH/KEC/SIEC/MEP/1ST FL/00"/>
    <x v="1"/>
    <d v="2025-11-10T00:00:00"/>
    <d v="2025-11-10T00:00:00"/>
    <d v="2025-11-24T00:00:00"/>
    <d v="2025-12-01T00:00:00"/>
    <d v="2025-11-01T00:00:00"/>
    <d v="2025-11-01T00:00:00"/>
    <d v="2025-11-01T00:00:00"/>
    <d v="2025-12-01T00:00:00"/>
  </r>
  <r>
    <s v="WLH/KEC/SIEC/MEP SECTION/1ST FL/00"/>
    <x v="1"/>
    <d v="2025-11-10T00:00:00"/>
    <d v="2025-11-10T00:00:00"/>
    <d v="2025-11-24T00:00:00"/>
    <d v="2025-12-01T00:00:00"/>
    <d v="2025-11-01T00:00:00"/>
    <d v="2025-11-01T00:00:00"/>
    <d v="2025-11-01T00:00:00"/>
    <d v="2025-12-01T00:00:00"/>
  </r>
  <r>
    <s v="WLH/KEC/SIEC/MEP/2ND FL/00"/>
    <x v="1"/>
    <d v="2025-10-27T00:00:00"/>
    <d v="2025-11-03T00:00:00"/>
    <d v="2025-11-10T00:00:00"/>
    <d v="2025-12-01T00:00:00"/>
    <d v="2025-10-01T00:00:00"/>
    <d v="2025-11-01T00:00:00"/>
    <d v="2025-11-01T00:00:00"/>
    <d v="2025-12-01T00:00:00"/>
  </r>
  <r>
    <s v="WLH/KEC/SIEC/MEP SECTION/2ND FL/00"/>
    <x v="1"/>
    <d v="2025-10-27T00:00:00"/>
    <d v="2025-11-03T00:00:00"/>
    <d v="2025-11-10T00:00:00"/>
    <d v="2025-12-01T00:00:00"/>
    <d v="2025-10-01T00:00:00"/>
    <d v="2025-11-01T00:00:00"/>
    <d v="2025-11-01T00:00:00"/>
    <d v="2025-12-01T00:00:00"/>
  </r>
  <r>
    <s v="WLH/KEC/SIEC/MEP/3RD FL/00"/>
    <x v="1"/>
    <d v="2025-10-20T00:00:00"/>
    <d v="2025-10-27T00:00:00"/>
    <d v="2025-11-03T00:00:00"/>
    <d v="2025-12-01T00:00:00"/>
    <d v="2025-10-01T00:00:00"/>
    <d v="2025-10-01T00:00:00"/>
    <d v="2025-11-01T00:00:00"/>
    <d v="2025-12-01T00:00:00"/>
  </r>
  <r>
    <s v="WLH/KEC/SIEC/MEP SECTION/3RD FL/00"/>
    <x v="1"/>
    <d v="2025-10-20T00:00:00"/>
    <d v="2025-10-27T00:00:00"/>
    <d v="2025-11-03T00:00:00"/>
    <d v="2025-12-01T00:00:00"/>
    <d v="2025-10-01T00:00:00"/>
    <d v="2025-10-01T00:00:00"/>
    <d v="2025-11-01T00:00:00"/>
    <d v="2025-12-01T00:00:00"/>
  </r>
  <r>
    <s v="WLH/KEC/SIEC/MEP/4TH FL/00"/>
    <x v="1"/>
    <d v="2025-05-12T00:00:00"/>
    <d v="2025-05-19T00:00:00"/>
    <d v="2025-05-26T00:00:00"/>
    <d v="2025-06-02T00:00:00"/>
    <d v="2025-05-01T00:00:00"/>
    <d v="2025-05-01T00:00:00"/>
    <d v="2025-06-01T00:00:00"/>
    <d v="2025-06-01T00:00:00"/>
  </r>
  <r>
    <s v="WLH/KEC/SIEC/MEP SECTION/4TH FL/00"/>
    <x v="1"/>
    <d v="2025-05-12T00:00:00"/>
    <d v="2025-05-19T00:00:00"/>
    <d v="2025-05-26T00:00:00"/>
    <d v="2025-06-02T00:00:00"/>
    <d v="2025-05-01T00:00:00"/>
    <d v="2025-05-01T00:00:00"/>
    <d v="2025-06-01T00:00:00"/>
    <d v="2025-06-01T00:00:00"/>
  </r>
  <r>
    <s v="WLH/KEC/SIEC/MEP/5TH FL/00"/>
    <x v="1"/>
    <d v="2025-05-26T00:00:00"/>
    <d v="2025-06-30T00:00:00"/>
    <d v="2025-06-09T00:00:00"/>
    <d v="2025-09-08T00:00:00"/>
    <d v="2025-05-01T00:00:00"/>
    <d v="2025-07-01T00:00:00"/>
    <d v="2025-06-01T00:00:00"/>
    <d v="2025-09-01T00:00:00"/>
  </r>
  <r>
    <s v="WLH/KEC/SIEC/MEP SECTION/5TH FL/00"/>
    <x v="1"/>
    <d v="2025-05-26T00:00:00"/>
    <d v="2025-06-30T00:00:00"/>
    <d v="2025-06-09T00:00:00"/>
    <d v="2025-09-08T00:00:00"/>
    <d v="2025-05-01T00:00:00"/>
    <d v="2025-07-01T00:00:00"/>
    <d v="2025-06-01T00:00:00"/>
    <d v="2025-09-01T00:00:00"/>
  </r>
  <r>
    <s v="WLH/KEC/SIEC/MEP/6TH FL/00"/>
    <x v="1"/>
    <d v="2025-06-09T00:00:00"/>
    <d v="2025-07-07T00:00:00"/>
    <d v="2025-06-30T00:00:00"/>
    <d v="2025-09-08T00:00:00"/>
    <d v="2025-06-01T00:00:00"/>
    <d v="2025-07-01T00:00:00"/>
    <d v="2025-07-01T00:00:00"/>
    <d v="2025-09-01T00:00:00"/>
  </r>
  <r>
    <s v="WLH/KEC/SIEC/MEP SECTION/6TH FL/00"/>
    <x v="1"/>
    <d v="2025-06-09T00:00:00"/>
    <d v="2025-07-07T00:00:00"/>
    <d v="2025-06-30T00:00:00"/>
    <d v="2025-09-08T00:00:00"/>
    <d v="2025-06-01T00:00:00"/>
    <d v="2025-07-01T00:00:00"/>
    <d v="2025-07-01T00:00:00"/>
    <d v="2025-09-01T00:00:00"/>
  </r>
  <r>
    <s v="WLH/KEC/SIEC/MEP/7TH FL/00"/>
    <x v="1"/>
    <d v="2025-06-23T00:00:00"/>
    <d v="2025-08-25T00:00:00"/>
    <d v="2025-07-14T00:00:00"/>
    <d v="2025-10-13T00:00:00"/>
    <d v="2025-06-01T00:00:00"/>
    <d v="2025-08-01T00:00:00"/>
    <d v="2025-07-01T00:00:00"/>
    <d v="2025-10-01T00:00:00"/>
  </r>
  <r>
    <s v="WLH/KEC/SIEC/MEP SECTION/7TH FL/00"/>
    <x v="1"/>
    <d v="2025-06-23T00:00:00"/>
    <d v="2025-08-25T00:00:00"/>
    <d v="2025-07-14T00:00:00"/>
    <d v="2025-10-13T00:00:00"/>
    <d v="2025-06-01T00:00:00"/>
    <d v="2025-08-01T00:00:00"/>
    <d v="2025-07-01T00:00:00"/>
    <d v="2025-10-01T00:00:00"/>
  </r>
  <r>
    <s v="WLH/KEC/SIEC/MEP/8TH FL/00"/>
    <x v="1"/>
    <d v="2025-06-23T00:00:00"/>
    <d v="2025-08-25T00:00:00"/>
    <d v="2025-07-14T00:00:00"/>
    <d v="2025-10-27T00:00:00"/>
    <d v="2025-06-01T00:00:00"/>
    <d v="2025-08-01T00:00:00"/>
    <d v="2025-07-01T00:00:00"/>
    <d v="2025-10-01T00:00:00"/>
  </r>
  <r>
    <s v="WLH/KEC/SIEC/MEP SECTION/8TH FL/00"/>
    <x v="1"/>
    <d v="2025-06-23T00:00:00"/>
    <d v="2025-08-25T00:00:00"/>
    <d v="2025-07-14T00:00:00"/>
    <d v="2025-10-27T00:00:00"/>
    <d v="2025-06-01T00:00:00"/>
    <d v="2025-08-01T00:00:00"/>
    <d v="2025-07-01T00:00:00"/>
    <d v="2025-10-01T00:00:00"/>
  </r>
  <r>
    <s v="WLH/KEC/SIEC/MEP/9TH FL/00"/>
    <x v="1"/>
    <d v="2025-07-07T00:00:00"/>
    <d v="2025-06-16T00:00:00"/>
    <d v="2025-07-28T00:00:00"/>
    <d v="2025-07-07T00:00:00"/>
    <d v="2025-07-01T00:00:00"/>
    <d v="2025-06-01T00:00:00"/>
    <d v="2025-08-01T00:00:00"/>
    <d v="2025-07-01T00:00:00"/>
  </r>
  <r>
    <s v="WLH/KEC/SIEC/MEP SECTION/9TH FL/00"/>
    <x v="1"/>
    <d v="2025-07-07T00:00:00"/>
    <d v="2025-06-16T00:00:00"/>
    <d v="2025-07-28T00:00:00"/>
    <d v="2025-07-07T00:00:00"/>
    <d v="2025-07-01T00:00:00"/>
    <d v="2025-06-01T00:00:00"/>
    <d v="2025-08-01T00:00:00"/>
    <d v="2025-07-01T00:00:00"/>
  </r>
  <r>
    <s v="WLH/KEC/SIEC/MEP/10TH FL/00"/>
    <x v="1"/>
    <d v="2025-07-07T00:00:00"/>
    <d v="2025-09-08T00:00:00"/>
    <d v="2025-07-28T00:00:00"/>
    <d v="2025-10-13T00:00:00"/>
    <d v="2025-07-01T00:00:00"/>
    <d v="2025-09-01T00:00:00"/>
    <d v="2025-08-01T00:00:00"/>
    <d v="2025-10-01T00:00:00"/>
  </r>
  <r>
    <s v="WLH/KEC/SIEC/MEP SECTION/10TH FL/01"/>
    <x v="1"/>
    <d v="2025-07-07T00:00:00"/>
    <d v="2025-09-08T00:00:00"/>
    <d v="2025-07-28T00:00:00"/>
    <d v="2025-10-13T00:00:00"/>
    <d v="2025-07-01T00:00:00"/>
    <d v="2025-09-01T00:00:00"/>
    <d v="2025-08-01T00:00:00"/>
    <d v="2025-10-01T00:00:00"/>
  </r>
  <r>
    <s v="WLH/KEC/SIEC/MEP/TERRACE FL/01"/>
    <x v="1"/>
    <d v="2025-11-10T00:00:00"/>
    <d v="2025-11-10T00:00:00"/>
    <d v="2025-08-11T00:00:00"/>
    <d v="2026-02-16T00:00:00"/>
    <d v="2025-11-01T00:00:00"/>
    <d v="2025-11-01T00:00:00"/>
    <d v="2025-08-01T00:00:00"/>
    <d v="2026-02-01T00:00:00"/>
  </r>
  <r>
    <s v="WLH/KEC/SIEC/MEP SECTION/TERRACE FL/02"/>
    <x v="1"/>
    <d v="2025-11-10T00:00:00"/>
    <d v="2025-11-17T00:00:00"/>
    <d v="2025-08-11T00:00:00"/>
    <d v="2026-02-16T00:00:00"/>
    <d v="2025-11-01T00:00:00"/>
    <d v="2025-11-01T00:00:00"/>
    <d v="2025-08-01T00:00:00"/>
    <d v="2026-02-01T00:00:00"/>
  </r>
  <r>
    <s v="WMHL-A20-B1-01"/>
    <x v="2"/>
    <d v="2025-03-03T00:00:00"/>
    <d v="2025-03-03T00:00:00"/>
    <d v="2025-03-24T00:00:00"/>
    <d v="2025-03-24T00:00:00"/>
    <d v="2025-03-01T00:00:00"/>
    <d v="2025-03-01T00:00:00"/>
    <d v="2025-03-01T00:00:00"/>
    <d v="2025-03-01T00:00:00"/>
  </r>
  <r>
    <s v="WMHL-A20-B.LOFT-01"/>
    <x v="2"/>
    <d v="2025-03-03T00:00:00"/>
    <d v="2025-03-03T00:00:00"/>
    <d v="2025-03-24T00:00:00"/>
    <d v="2025-03-24T00:00:00"/>
    <d v="2025-03-01T00:00:00"/>
    <d v="2025-03-01T00:00:00"/>
    <d v="2025-03-01T00:00:00"/>
    <d v="2025-03-01T00:00:00"/>
  </r>
  <r>
    <s v="WMHL-A44-01"/>
    <x v="2"/>
    <d v="2025-03-03T00:00:00"/>
    <d v="2025-03-03T00:00:00"/>
    <d v="2025-03-24T00:00:00"/>
    <d v="2025-03-24T00:00:00"/>
    <d v="2025-03-01T00:00:00"/>
    <d v="2025-03-01T00:00:00"/>
    <d v="2025-03-01T00:00:00"/>
    <d v="2025-03-01T00:00:00"/>
  </r>
  <r>
    <s v="WMHL-A36-01"/>
    <x v="2"/>
    <d v="2025-03-31T00:00:00"/>
    <d v="2025-03-31T00:00:00"/>
    <d v="2025-04-28T00:00:00"/>
    <d v="2025-09-08T00:00:00"/>
    <d v="2025-04-01T00:00:00"/>
    <d v="2025-04-01T00:00:00"/>
    <d v="2025-05-01T00:00:00"/>
    <d v="2025-09-01T00:00:00"/>
  </r>
  <r>
    <s v="WMHL-A36-02"/>
    <x v="2"/>
    <d v="2025-03-31T00:00:00"/>
    <d v="2025-03-31T00:00:00"/>
    <d v="2025-04-28T00:00:00"/>
    <d v="2025-09-08T00:00:00"/>
    <d v="2025-04-01T00:00:00"/>
    <d v="2025-04-01T00:00:00"/>
    <d v="2025-05-01T00:00:00"/>
    <d v="2025-09-01T00:00:00"/>
  </r>
  <r>
    <s v="WMHL-A47-B1-01.1"/>
    <x v="2"/>
    <d v="2025-03-31T00:00:00"/>
    <d v="2025-04-07T00:00:00"/>
    <d v="2025-04-28T00:00:00"/>
    <d v="2025-09-08T00:00:00"/>
    <d v="2025-04-01T00:00:00"/>
    <d v="2025-04-01T00:00:00"/>
    <d v="2025-05-01T00:00:00"/>
    <d v="2025-09-01T00:00:00"/>
  </r>
  <r>
    <s v="WMHL-A47-B1-01.2"/>
    <x v="2"/>
    <d v="2025-03-31T00:00:00"/>
    <d v="2025-04-07T00:00:00"/>
    <d v="2025-04-28T00:00:00"/>
    <d v="2025-09-08T00:00:00"/>
    <d v="2025-04-01T00:00:00"/>
    <d v="2025-04-01T00:00:00"/>
    <d v="2025-05-01T00:00:00"/>
    <d v="2025-09-01T00:00:00"/>
  </r>
  <r>
    <s v="WMHL-A47-B1-01.3"/>
    <x v="2"/>
    <d v="2025-03-31T00:00:00"/>
    <d v="2025-04-07T00:00:00"/>
    <d v="2025-04-28T00:00:00"/>
    <d v="2025-09-08T00:00:00"/>
    <d v="2025-04-01T00:00:00"/>
    <d v="2025-04-01T00:00:00"/>
    <d v="2025-05-01T00:00:00"/>
    <d v="2025-09-01T00:00:00"/>
  </r>
  <r>
    <s v="WMHL-A25-01"/>
    <x v="2"/>
    <d v="2025-04-07T00:00:00"/>
    <d v="2025-04-07T00:00:00"/>
    <d v="2025-05-05T00:00:00"/>
    <d v="2025-04-28T00:00:00"/>
    <d v="2025-04-01T00:00:00"/>
    <d v="2025-04-01T00:00:00"/>
    <d v="2025-05-01T00:00:00"/>
    <d v="2025-05-01T00:00:00"/>
  </r>
  <r>
    <s v="WMHL-A25-02"/>
    <x v="2"/>
    <d v="2025-04-07T00:00:00"/>
    <d v="2025-04-07T00:00:00"/>
    <d v="2025-05-05T00:00:00"/>
    <d v="2025-04-28T00:00:00"/>
    <d v="2025-04-01T00:00:00"/>
    <d v="2025-04-01T00:00:00"/>
    <d v="2025-05-01T00:00:00"/>
    <d v="2025-05-01T00:00:00"/>
  </r>
  <r>
    <s v="WMHL-A54-02.2"/>
    <x v="2"/>
    <d v="2025-04-07T00:00:00"/>
    <d v="2025-04-14T00:00:00"/>
    <d v="2025-05-05T00:00:00"/>
    <d v="2025-09-08T00:00:00"/>
    <d v="2025-04-01T00:00:00"/>
    <d v="2025-04-01T00:00:00"/>
    <d v="2025-05-01T00:00:00"/>
    <d v="2025-09-01T00:00:00"/>
  </r>
  <r>
    <s v="WMLH-A41-02.1"/>
    <x v="2"/>
    <d v="2025-05-26T00:00:00"/>
    <d v="2025-07-07T00:00:00"/>
    <d v="2025-06-23T00:00:00"/>
    <d v="2025-07-14T00:00:00"/>
    <d v="2025-05-01T00:00:00"/>
    <d v="2025-07-01T00:00:00"/>
    <d v="2025-06-01T00:00:00"/>
    <d v="2025-07-01T00:00:00"/>
  </r>
  <r>
    <s v="WMLH-A41-02.2"/>
    <x v="2"/>
    <d v="2025-05-26T00:00:00"/>
    <d v="2025-07-07T00:00:00"/>
    <d v="2025-06-23T00:00:00"/>
    <d v="2025-07-14T00:00:00"/>
    <d v="2025-05-01T00:00:00"/>
    <d v="2025-07-01T00:00:00"/>
    <d v="2025-06-01T00:00:00"/>
    <d v="2025-07-01T00:00:00"/>
  </r>
  <r>
    <s v="WMLH-A41-03"/>
    <x v="2"/>
    <d v="2025-05-26T00:00:00"/>
    <d v="2025-07-07T00:00:00"/>
    <d v="2025-06-23T00:00:00"/>
    <d v="2025-07-14T00:00:00"/>
    <d v="2025-05-01T00:00:00"/>
    <d v="2025-07-01T00:00:00"/>
    <d v="2025-06-01T00:00:00"/>
    <d v="2025-07-01T00:00:00"/>
  </r>
  <r>
    <s v="WMHL-A60-01"/>
    <x v="2"/>
    <d v="2025-11-24T00:00:00"/>
    <d v="2025-11-17T00:00:00"/>
    <d v="2025-12-22T00:00:00"/>
    <d v="2025-12-01T00:00:00"/>
    <d v="2025-11-01T00:00:00"/>
    <d v="2025-11-01T00:00:00"/>
    <d v="2025-12-01T00:00:00"/>
    <d v="2025-12-01T00:00:00"/>
  </r>
  <r>
    <s v="WMHL-A20-00-01"/>
    <x v="2"/>
    <d v="2025-03-03T00:00:00"/>
    <d v="2025-03-03T00:00:00"/>
    <d v="2025-03-31T00:00:00"/>
    <d v="2025-03-24T00:00:00"/>
    <d v="2025-03-01T00:00:00"/>
    <d v="2025-03-01T00:00:00"/>
    <d v="2025-03-01T00:00:00"/>
    <d v="2025-03-01T00:00:00"/>
  </r>
  <r>
    <s v="WMHL-A44-02"/>
    <x v="2"/>
    <d v="2025-03-03T00:00:00"/>
    <d v="2025-03-03T00:00:00"/>
    <d v="2025-03-31T00:00:00"/>
    <d v="2025-03-24T00:00:00"/>
    <d v="2025-03-01T00:00:00"/>
    <d v="2025-03-01T00:00:00"/>
    <d v="2025-03-01T00:00:00"/>
    <d v="2025-03-01T00:00:00"/>
  </r>
  <r>
    <s v="WMHL-A54-02"/>
    <x v="2"/>
    <d v="2025-04-07T00:00:00"/>
    <d v="2025-04-14T00:00:00"/>
    <d v="2025-05-05T00:00:00"/>
    <d v="2025-09-08T00:00:00"/>
    <d v="2025-04-01T00:00:00"/>
    <d v="2025-04-01T00:00:00"/>
    <d v="2025-05-01T00:00:00"/>
    <d v="2025-09-01T00:00:00"/>
  </r>
  <r>
    <s v="WMHL-A47-00-01.1"/>
    <x v="2"/>
    <d v="2025-04-07T00:00:00"/>
    <d v="2025-03-31T00:00:00"/>
    <d v="2025-05-05T00:00:00"/>
    <d v="2025-12-15T00:00:00"/>
    <d v="2025-04-01T00:00:00"/>
    <d v="2025-04-01T00:00:00"/>
    <d v="2025-05-01T00:00:00"/>
    <d v="2025-12-01T00:00:00"/>
  </r>
  <r>
    <s v="WMHL-A47-00-01.2"/>
    <x v="2"/>
    <d v="2025-04-07T00:00:00"/>
    <d v="2025-03-31T00:00:00"/>
    <d v="2025-05-05T00:00:00"/>
    <d v="2025-12-15T00:00:00"/>
    <d v="2025-04-01T00:00:00"/>
    <d v="2025-04-01T00:00:00"/>
    <d v="2025-05-01T00:00:00"/>
    <d v="2025-12-01T00:00:00"/>
  </r>
  <r>
    <s v="WMHL-A47-00-01.3"/>
    <x v="2"/>
    <d v="2025-04-07T00:00:00"/>
    <d v="2025-04-07T00:00:00"/>
    <d v="2025-05-05T00:00:00"/>
    <d v="2025-12-15T00:00:00"/>
    <d v="2025-04-01T00:00:00"/>
    <d v="2025-04-01T00:00:00"/>
    <d v="2025-05-01T00:00:00"/>
    <d v="2025-12-01T00:00:00"/>
  </r>
  <r>
    <s v="WMHL-A54-01.4"/>
    <x v="2"/>
    <d v="2025-04-14T00:00:00"/>
    <d v="2025-04-14T00:00:00"/>
    <d v="2025-05-12T00:00:00"/>
    <d v="2025-09-08T00:00:00"/>
    <d v="2025-04-01T00:00:00"/>
    <d v="2025-04-01T00:00:00"/>
    <d v="2025-05-01T00:00:00"/>
    <d v="2025-09-01T00:00:00"/>
  </r>
  <r>
    <s v="WMHL-A54-01.5"/>
    <x v="2"/>
    <d v="2025-04-14T00:00:00"/>
    <d v="2025-04-14T00:00:00"/>
    <d v="2025-05-12T00:00:00"/>
    <d v="2025-09-08T00:00:00"/>
    <d v="2025-04-01T00:00:00"/>
    <d v="2025-04-01T00:00:00"/>
    <d v="2025-05-01T00:00:00"/>
    <d v="2025-09-01T00:00:00"/>
  </r>
  <r>
    <s v="WMHL-A25-03"/>
    <x v="2"/>
    <d v="2025-12-22T00:00:00"/>
    <d v="2025-12-15T00:00:00"/>
    <d v="2026-01-19T00:00:00"/>
    <d v="2025-12-15T00:00:00"/>
    <d v="2025-12-01T00:00:00"/>
    <d v="2025-12-01T00:00:00"/>
    <d v="2026-01-01T00:00:00"/>
    <d v="2025-12-01T00:00:00"/>
  </r>
  <r>
    <s v="WMHL-A41-02"/>
    <x v="2"/>
    <d v="2025-12-22T00:00:00"/>
    <d v="2025-12-15T00:00:00"/>
    <d v="2026-01-19T00:00:00"/>
    <d v="2026-01-05T00:00:00"/>
    <d v="2025-12-01T00:00:00"/>
    <d v="2025-12-01T00:00:00"/>
    <d v="2026-01-01T00:00:00"/>
    <d v="2026-01-01T00:00:00"/>
  </r>
  <r>
    <s v="WMHL-A60-02"/>
    <x v="2"/>
    <d v="2025-12-22T00:00:00"/>
    <d v="2026-04-06T00:00:00"/>
    <d v="2026-01-19T00:00:00"/>
    <d v="2026-05-11T00:00:00"/>
    <d v="2025-12-01T00:00:00"/>
    <d v="2026-04-01T00:00:00"/>
    <d v="2026-01-01T00:00:00"/>
    <d v="2026-05-01T00:00:00"/>
  </r>
  <r>
    <s v="WMHL-A41-03"/>
    <x v="2"/>
    <d v="2025-12-22T00:00:00"/>
    <d v="2025-12-08T00:00:00"/>
    <d v="2026-01-19T00:00:00"/>
    <d v="2025-12-08T00:00:00"/>
    <d v="2025-12-01T00:00:00"/>
    <d v="2025-12-01T00:00:00"/>
    <d v="2026-01-01T00:00:00"/>
    <d v="2025-12-01T00:00:00"/>
  </r>
  <r>
    <s v="WMHL-A41-04"/>
    <x v="2"/>
    <d v="2025-12-22T00:00:00"/>
    <d v="2025-12-01T00:00:00"/>
    <d v="2026-01-19T00:00:00"/>
    <d v="2025-12-08T00:00:00"/>
    <d v="2025-12-01T00:00:00"/>
    <d v="2025-12-01T00:00:00"/>
    <d v="2026-01-01T00:00:00"/>
    <d v="2025-12-01T00:00:00"/>
  </r>
  <r>
    <s v="WMHL-A41-07"/>
    <x v="2"/>
    <d v="2025-12-22T00:00:00"/>
    <d v="2025-12-01T00:00:00"/>
    <d v="2026-01-19T00:00:00"/>
    <d v="2025-12-08T00:00:00"/>
    <d v="2025-12-01T00:00:00"/>
    <d v="2025-12-01T00:00:00"/>
    <d v="2026-01-01T00:00:00"/>
    <d v="2025-12-01T00:00:00"/>
  </r>
  <r>
    <s v="WMHL-A20-01-01"/>
    <x v="2"/>
    <d v="2025-10-27T00:00:00"/>
    <d v="2025-10-20T00:00:00"/>
    <d v="2025-11-10T00:00:00"/>
    <d v="2025-10-27T00:00:00"/>
    <d v="2025-10-01T00:00:00"/>
    <d v="2025-10-01T00:00:00"/>
    <d v="2025-11-01T00:00:00"/>
    <d v="2025-10-01T00:00:00"/>
  </r>
  <r>
    <s v="WMHL-A44-03"/>
    <x v="2"/>
    <d v="2025-10-27T00:00:00"/>
    <d v="2025-10-20T00:00:00"/>
    <d v="2025-11-10T00:00:00"/>
    <d v="2025-10-27T00:00:00"/>
    <d v="2025-10-01T00:00:00"/>
    <d v="2025-10-01T00:00:00"/>
    <d v="2025-11-01T00:00:00"/>
    <d v="2025-10-01T00:00:00"/>
  </r>
  <r>
    <s v="WMHL-A47-01-01.1"/>
    <x v="2"/>
    <d v="2025-11-10T00:00:00"/>
    <d v="2025-11-10T00:00:00"/>
    <d v="2025-12-08T00:00:00"/>
    <d v="2025-12-01T00:00:00"/>
    <d v="2025-11-01T00:00:00"/>
    <d v="2025-11-01T00:00:00"/>
    <d v="2025-12-01T00:00:00"/>
    <d v="2025-12-01T00:00:00"/>
  </r>
  <r>
    <s v="WMHL-A47-01-01.2"/>
    <x v="2"/>
    <d v="2025-11-10T00:00:00"/>
    <d v="2025-11-10T00:00:00"/>
    <d v="2025-12-08T00:00:00"/>
    <d v="2025-12-01T00:00:00"/>
    <d v="2025-11-01T00:00:00"/>
    <d v="2025-11-01T00:00:00"/>
    <d v="2025-12-01T00:00:00"/>
    <d v="2025-12-01T00:00:00"/>
  </r>
  <r>
    <s v="WMHL-A47-01-01.3"/>
    <x v="2"/>
    <d v="2025-11-10T00:00:00"/>
    <d v="2025-11-10T00:00:00"/>
    <d v="2025-12-08T00:00:00"/>
    <d v="2025-12-01T00:00:00"/>
    <d v="2025-11-01T00:00:00"/>
    <d v="2025-11-01T00:00:00"/>
    <d v="2025-12-01T00:00:00"/>
    <d v="2025-12-01T00:00:00"/>
  </r>
  <r>
    <s v="WMHL-A25-04"/>
    <x v="2"/>
    <d v="2025-11-03T00:00:00"/>
    <d v="2025-11-03T00:00:00"/>
    <d v="2025-11-10T00:00:00"/>
    <d v="2025-12-01T00:00:00"/>
    <d v="2025-11-01T00:00:00"/>
    <d v="2025-11-01T00:00:00"/>
    <d v="2025-11-01T00:00:00"/>
    <d v="2025-12-01T00:00:00"/>
  </r>
  <r>
    <s v="WMHL-A60-03"/>
    <x v="2"/>
    <d v="2025-05-19T00:00:00"/>
    <d v="2025-03-10T00:00:00"/>
    <d v="2025-06-16T00:00:00"/>
    <d v="2026-04-20T00:00:00"/>
    <d v="2025-05-01T00:00:00"/>
    <d v="2025-03-01T00:00:00"/>
    <d v="2025-06-01T00:00:00"/>
    <d v="2026-04-01T00:00:00"/>
  </r>
  <r>
    <s v="WMHL-A20-02-01"/>
    <x v="2"/>
    <d v="2025-10-20T00:00:00"/>
    <d v="2025-10-20T00:00:00"/>
    <d v="2025-11-10T00:00:00"/>
    <d v="2025-11-10T00:00:00"/>
    <d v="2025-10-01T00:00:00"/>
    <d v="2025-10-01T00:00:00"/>
    <d v="2025-11-01T00:00:00"/>
    <d v="2025-11-01T00:00:00"/>
  </r>
  <r>
    <s v="WMHL-A44-04"/>
    <x v="2"/>
    <d v="2025-10-20T00:00:00"/>
    <d v="2025-10-20T00:00:00"/>
    <d v="2025-11-10T00:00:00"/>
    <d v="2025-11-10T00:00:00"/>
    <d v="2025-10-01T00:00:00"/>
    <d v="2025-10-01T00:00:00"/>
    <d v="2025-11-01T00:00:00"/>
    <d v="2025-11-01T00:00:00"/>
  </r>
  <r>
    <s v="WMHL-A46-02"/>
    <x v="2"/>
    <d v="2025-12-01T00:00:00"/>
    <d v="2025-11-24T00:00:00"/>
    <d v="2025-12-29T00:00:00"/>
    <d v="2025-09-08T00:00:00"/>
    <d v="2025-12-01T00:00:00"/>
    <d v="2025-11-01T00:00:00"/>
    <d v="2026-01-01T00:00:00"/>
    <d v="2025-09-01T00:00:00"/>
  </r>
  <r>
    <s v="WMHL-A47-02-01.1"/>
    <x v="2"/>
    <d v="2025-11-10T00:00:00"/>
    <d v="2025-11-10T00:00:00"/>
    <d v="2025-12-08T00:00:00"/>
    <d v="2025-12-08T00:00:00"/>
    <d v="2025-11-01T00:00:00"/>
    <d v="2025-11-01T00:00:00"/>
    <d v="2025-12-01T00:00:00"/>
    <d v="2025-12-01T00:00:00"/>
  </r>
  <r>
    <s v="WMHL-A47-02-01.2"/>
    <x v="2"/>
    <d v="2025-11-10T00:00:00"/>
    <d v="2025-11-10T00:00:00"/>
    <d v="2025-12-08T00:00:00"/>
    <d v="2025-12-08T00:00:00"/>
    <d v="2025-11-01T00:00:00"/>
    <d v="2025-11-01T00:00:00"/>
    <d v="2025-12-01T00:00:00"/>
    <d v="2025-12-01T00:00:00"/>
  </r>
  <r>
    <s v="WMHL-A47-02-01.3"/>
    <x v="2"/>
    <d v="2025-11-10T00:00:00"/>
    <d v="2025-11-10T00:00:00"/>
    <d v="2025-12-08T00:00:00"/>
    <d v="2025-12-08T00:00:00"/>
    <d v="2025-11-01T00:00:00"/>
    <d v="2025-11-01T00:00:00"/>
    <d v="2025-12-01T00:00:00"/>
    <d v="2025-12-01T00:00:00"/>
  </r>
  <r>
    <s v="WMHL-A54-01.7"/>
    <x v="2"/>
    <d v="2025-05-05T00:00:00"/>
    <d v="2025-05-12T00:00:00"/>
    <d v="2025-06-02T00:00:00"/>
    <d v="2025-12-08T00:00:00"/>
    <d v="2025-05-01T00:00:00"/>
    <d v="2025-05-01T00:00:00"/>
    <d v="2025-06-01T00:00:00"/>
    <d v="2025-12-01T00:00:00"/>
  </r>
  <r>
    <s v="WMHL-A54-01.8"/>
    <x v="2"/>
    <d v="2025-05-05T00:00:00"/>
    <d v="2025-05-12T00:00:00"/>
    <d v="2025-06-02T00:00:00"/>
    <d v="2025-12-08T00:00:00"/>
    <d v="2025-05-01T00:00:00"/>
    <d v="2025-05-01T00:00:00"/>
    <d v="2025-06-01T00:00:00"/>
    <d v="2025-12-01T00:00:00"/>
  </r>
  <r>
    <s v="WMHL-A60-04"/>
    <x v="2"/>
    <d v="2025-12-01T00:00:00"/>
    <d v="2026-03-09T00:00:00"/>
    <d v="2025-12-29T00:00:00"/>
    <d v="2026-04-20T00:00:00"/>
    <d v="2025-12-01T00:00:00"/>
    <d v="2026-03-01T00:00:00"/>
    <d v="2025-12-01T00:00:00"/>
    <d v="2026-04-01T00:00:00"/>
  </r>
  <r>
    <s v="WMHL-A27-01"/>
    <x v="2"/>
    <d v="2025-12-15T00:00:00"/>
    <d v="2025-11-03T00:00:00"/>
    <d v="2025-12-22T00:00:00"/>
    <d v="2025-11-10T00:00:00"/>
    <d v="2025-12-01T00:00:00"/>
    <d v="2025-11-01T00:00:00"/>
    <d v="2025-12-01T00:00:00"/>
    <d v="2025-11-01T00:00:00"/>
  </r>
  <r>
    <s v="WMHL-A27-02"/>
    <x v="2"/>
    <d v="2025-12-15T00:00:00"/>
    <d v="2025-11-03T00:00:00"/>
    <d v="2025-12-22T00:00:00"/>
    <d v="2025-11-10T00:00:00"/>
    <d v="2025-12-01T00:00:00"/>
    <d v="2025-11-01T00:00:00"/>
    <d v="2025-12-01T00:00:00"/>
    <d v="2025-11-01T00:00:00"/>
  </r>
  <r>
    <s v="WMHL-A20-03-01"/>
    <x v="2"/>
    <d v="2025-10-13T00:00:00"/>
    <d v="2025-10-13T00:00:00"/>
    <d v="2025-11-10T00:00:00"/>
    <d v="2025-10-20T00:00:00"/>
    <d v="2025-10-01T00:00:00"/>
    <d v="2025-10-01T00:00:00"/>
    <d v="2025-11-01T00:00:00"/>
    <d v="2025-10-01T00:00:00"/>
  </r>
  <r>
    <s v="WMHL-A44-05"/>
    <x v="2"/>
    <d v="2025-10-13T00:00:00"/>
    <d v="2025-10-13T00:00:00"/>
    <d v="2025-11-10T00:00:00"/>
    <d v="2025-10-20T00:00:00"/>
    <d v="2025-10-01T00:00:00"/>
    <d v="2025-10-01T00:00:00"/>
    <d v="2025-11-01T00:00:00"/>
    <d v="2025-10-01T00:00:00"/>
  </r>
  <r>
    <s v="WMHL-A47-03-01.1"/>
    <x v="2"/>
    <d v="2025-11-10T00:00:00"/>
    <d v="2025-11-17T00:00:00"/>
    <d v="2025-12-08T00:00:00"/>
    <d v="2025-12-01T00:00:00"/>
    <d v="2025-11-01T00:00:00"/>
    <d v="2025-11-01T00:00:00"/>
    <d v="2025-12-01T00:00:00"/>
    <d v="2025-12-01T00:00:00"/>
  </r>
  <r>
    <s v="WMHL-A47-03-01.2"/>
    <x v="2"/>
    <d v="2025-11-10T00:00:00"/>
    <d v="2025-11-17T00:00:00"/>
    <d v="2025-12-08T00:00:00"/>
    <d v="2025-12-01T00:00:00"/>
    <d v="2025-11-01T00:00:00"/>
    <d v="2025-11-01T00:00:00"/>
    <d v="2025-12-01T00:00:00"/>
    <d v="2025-12-01T00:00:00"/>
  </r>
  <r>
    <s v="WMHL-A54-01.9"/>
    <x v="2"/>
    <d v="2025-05-05T00:00:00"/>
    <d v="2025-05-12T00:00:00"/>
    <d v="2025-06-02T00:00:00"/>
    <d v="2025-12-08T00:00:00"/>
    <d v="2025-05-01T00:00:00"/>
    <d v="2025-05-01T00:00:00"/>
    <d v="2025-06-01T00:00:00"/>
    <d v="2025-12-01T00:00:00"/>
  </r>
  <r>
    <s v="WMHL-A54-01.10"/>
    <x v="2"/>
    <d v="2025-05-05T00:00:00"/>
    <d v="2025-05-12T00:00:00"/>
    <d v="2025-06-02T00:00:00"/>
    <d v="2025-12-08T00:00:00"/>
    <d v="2025-05-01T00:00:00"/>
    <d v="2025-05-01T00:00:00"/>
    <d v="2025-06-01T00:00:00"/>
    <d v="2025-12-01T00:00:00"/>
  </r>
  <r>
    <s v="WMHL-A25-06"/>
    <x v="2"/>
    <d v="2025-05-26T00:00:00"/>
    <d v="2025-06-16T00:00:00"/>
    <d v="2025-06-23T00:00:00"/>
    <d v="2025-11-10T00:00:00"/>
    <d v="2025-05-01T00:00:00"/>
    <d v="2025-06-01T00:00:00"/>
    <d v="2025-06-01T00:00:00"/>
    <d v="2025-11-01T00:00:00"/>
  </r>
  <r>
    <s v="WMHL-A41-05"/>
    <x v="2"/>
    <d v="2025-12-01T00:00:00"/>
    <d v="2025-11-24T00:00:00"/>
    <d v="2025-12-29T00:00:00"/>
    <d v="2025-12-01T00:00:00"/>
    <d v="2025-12-01T00:00:00"/>
    <d v="2025-11-01T00:00:00"/>
    <d v="2025-12-01T00:00:00"/>
    <d v="2025-12-01T00:00:00"/>
  </r>
  <r>
    <s v="WMHL-A60-05"/>
    <x v="2"/>
    <d v="2025-12-08T00:00:00"/>
    <d v="2026-03-02T00:00:00"/>
    <d v="2025-11-10T00:00:00"/>
    <d v="2026-04-20T00:00:00"/>
    <d v="2025-12-01T00:00:00"/>
    <d v="2026-03-01T00:00:00"/>
    <d v="2025-11-01T00:00:00"/>
    <d v="2026-04-01T00:00:00"/>
  </r>
  <r>
    <s v="WMHL-A10-11"/>
    <x v="2"/>
    <d v="2025-12-29T00:00:00"/>
    <d v="2026-01-19T00:00:00"/>
    <d v="2026-01-26T00:00:00"/>
    <d v="2026-05-11T00:00:00"/>
    <d v="2025-12-01T00:00:00"/>
    <d v="2026-01-01T00:00:00"/>
    <d v="2026-01-01T00:00:00"/>
    <d v="2026-05-01T00:00:00"/>
  </r>
  <r>
    <s v="WMHL-A20-04-01"/>
    <x v="2"/>
    <d v="2025-03-03T00:00:00"/>
    <d v="2025-03-03T00:00:00"/>
    <d v="2025-03-31T00:00:00"/>
    <d v="2025-03-24T00:00:00"/>
    <d v="2025-03-01T00:00:00"/>
    <d v="2025-03-01T00:00:00"/>
    <d v="2025-03-01T00:00:00"/>
    <d v="2025-03-01T00:00:00"/>
  </r>
  <r>
    <s v="WMHL-A44-06"/>
    <x v="2"/>
    <d v="2025-03-03T00:00:00"/>
    <d v="2025-03-03T00:00:00"/>
    <d v="2025-03-31T00:00:00"/>
    <d v="2025-03-24T00:00:00"/>
    <d v="2025-03-01T00:00:00"/>
    <d v="2025-03-01T00:00:00"/>
    <d v="2025-03-01T00:00:00"/>
    <d v="2025-03-01T00:00:00"/>
  </r>
  <r>
    <s v="WMHL-A47-04-01.1"/>
    <x v="2"/>
    <d v="2025-11-24T00:00:00"/>
    <d v="2025-11-24T00:00:00"/>
    <d v="2025-12-22T00:00:00"/>
    <d v="2025-12-08T00:00:00"/>
    <d v="2025-11-01T00:00:00"/>
    <d v="2025-11-01T00:00:00"/>
    <d v="2025-12-01T00:00:00"/>
    <d v="2025-12-01T00:00:00"/>
  </r>
  <r>
    <s v="WMHL-A47-04-01.2"/>
    <x v="2"/>
    <d v="2025-11-24T00:00:00"/>
    <d v="2025-11-24T00:00:00"/>
    <d v="2025-12-22T00:00:00"/>
    <d v="2025-12-08T00:00:00"/>
    <d v="2025-11-01T00:00:00"/>
    <d v="2025-11-01T00:00:00"/>
    <d v="2025-12-01T00:00:00"/>
    <d v="2025-12-01T00:00:00"/>
  </r>
  <r>
    <s v="WMHL-A54-01.11"/>
    <x v="2"/>
    <d v="2025-05-05T00:00:00"/>
    <d v="2025-05-19T00:00:00"/>
    <d v="2025-06-02T00:00:00"/>
    <d v="2025-12-08T00:00:00"/>
    <d v="2025-05-01T00:00:00"/>
    <d v="2025-05-01T00:00:00"/>
    <d v="2025-06-01T00:00:00"/>
    <d v="2025-12-01T00:00:00"/>
  </r>
  <r>
    <s v="WMHL-A54-01.12"/>
    <x v="2"/>
    <d v="2025-05-05T00:00:00"/>
    <d v="2025-05-19T00:00:00"/>
    <d v="2025-06-02T00:00:00"/>
    <d v="2025-12-08T00:00:00"/>
    <d v="2025-05-01T00:00:00"/>
    <d v="2025-05-01T00:00:00"/>
    <d v="2025-06-01T00:00:00"/>
    <d v="2025-12-01T00:00:00"/>
  </r>
  <r>
    <s v="WMHL-A25-07"/>
    <x v="2"/>
    <d v="2025-11-24T00:00:00"/>
    <d v="2025-11-24T00:00:00"/>
    <d v="2025-12-22T00:00:00"/>
    <d v="2025-12-01T00:00:00"/>
    <d v="2025-11-01T00:00:00"/>
    <d v="2025-11-01T00:00:00"/>
    <d v="2025-12-01T00:00:00"/>
    <d v="2025-12-01T00:00:00"/>
  </r>
  <r>
    <s v="WMHL-A60-06"/>
    <x v="2"/>
    <d v="2025-11-24T00:00:00"/>
    <d v="2025-11-17T00:00:00"/>
    <d v="2025-12-22T00:00:00"/>
    <d v="2025-12-01T00:00:00"/>
    <d v="2025-11-01T00:00:00"/>
    <d v="2025-11-01T00:00:00"/>
    <d v="2025-12-01T00:00:00"/>
    <d v="2025-12-01T00:00:00"/>
  </r>
  <r>
    <s v="WMHL-A41-22"/>
    <x v="2"/>
    <d v="2025-12-29T00:00:00"/>
    <d v="2025-11-24T00:00:00"/>
    <d v="2026-01-26T00:00:00"/>
    <d v="2025-09-29T00:00:00"/>
    <d v="2025-12-01T00:00:00"/>
    <d v="2025-11-01T00:00:00"/>
    <d v="2026-01-01T00:00:00"/>
    <d v="2025-10-01T00:00:00"/>
  </r>
  <r>
    <s v="WMHL-A20-05-01"/>
    <x v="2"/>
    <d v="2025-03-03T00:00:00"/>
    <d v="2025-03-03T00:00:00"/>
    <d v="2025-03-31T00:00:00"/>
    <d v="2025-03-24T00:00:00"/>
    <d v="2025-03-01T00:00:00"/>
    <d v="2025-03-01T00:00:00"/>
    <d v="2025-03-01T00:00:00"/>
    <d v="2025-03-01T00:00:00"/>
  </r>
  <r>
    <s v="WMHL-A44-07"/>
    <x v="2"/>
    <d v="2025-03-03T00:00:00"/>
    <d v="2025-03-03T00:00:00"/>
    <d v="2025-03-31T00:00:00"/>
    <d v="2025-03-24T00:00:00"/>
    <d v="2025-03-01T00:00:00"/>
    <d v="2025-03-01T00:00:00"/>
    <d v="2025-03-01T00:00:00"/>
    <d v="2025-03-01T00:00:00"/>
  </r>
  <r>
    <s v="WMHL-A47-05-01.1"/>
    <x v="2"/>
    <d v="2025-11-24T00:00:00"/>
    <d v="2025-11-24T00:00:00"/>
    <d v="2025-12-22T00:00:00"/>
    <d v="2025-09-08T00:00:00"/>
    <d v="2025-11-01T00:00:00"/>
    <d v="2025-11-01T00:00:00"/>
    <d v="2025-12-01T00:00:00"/>
    <d v="2025-09-01T00:00:00"/>
  </r>
  <r>
    <s v="WMHL-A47-05-01.2"/>
    <x v="2"/>
    <d v="2025-11-24T00:00:00"/>
    <d v="2025-11-24T00:00:00"/>
    <d v="2025-12-22T00:00:00"/>
    <d v="2025-09-08T00:00:00"/>
    <d v="2025-11-01T00:00:00"/>
    <d v="2025-11-01T00:00:00"/>
    <d v="2025-12-01T00:00:00"/>
    <d v="2025-09-01T00:00:00"/>
  </r>
  <r>
    <s v="WMHL-A47-05-01.3"/>
    <x v="2"/>
    <d v="2025-11-24T00:00:00"/>
    <d v="2025-11-24T00:00:00"/>
    <d v="2025-12-22T00:00:00"/>
    <d v="2025-09-08T00:00:00"/>
    <d v="2025-11-01T00:00:00"/>
    <d v="2025-11-01T00:00:00"/>
    <d v="2025-12-01T00:00:00"/>
    <d v="2025-09-01T00:00:00"/>
  </r>
  <r>
    <s v="WMHL-A54-01.13"/>
    <x v="2"/>
    <d v="2025-05-12T00:00:00"/>
    <d v="2025-05-19T00:00:00"/>
    <d v="2025-06-09T00:00:00"/>
    <d v="2025-09-08T00:00:00"/>
    <d v="2025-05-01T00:00:00"/>
    <d v="2025-05-01T00:00:00"/>
    <d v="2025-06-01T00:00:00"/>
    <d v="2025-09-01T00:00:00"/>
  </r>
  <r>
    <s v="WMHL-A54-01.14"/>
    <x v="2"/>
    <d v="2025-05-12T00:00:00"/>
    <d v="2025-05-19T00:00:00"/>
    <d v="2025-06-09T00:00:00"/>
    <d v="2025-09-08T00:00:00"/>
    <d v="2025-05-01T00:00:00"/>
    <d v="2025-05-01T00:00:00"/>
    <d v="2025-06-01T00:00:00"/>
    <d v="2025-09-01T00:00:00"/>
  </r>
  <r>
    <s v="WMHL-A46-03"/>
    <x v="2"/>
    <d v="2025-12-01T00:00:00"/>
    <d v="2025-11-24T00:00:00"/>
    <d v="2025-12-29T00:00:00"/>
    <d v="2025-12-01T00:00:00"/>
    <d v="2025-12-01T00:00:00"/>
    <d v="2025-11-01T00:00:00"/>
    <d v="2025-12-01T00:00:00"/>
    <d v="2025-12-01T00:00:00"/>
  </r>
  <r>
    <s v="WMHL-A47-08-01.1"/>
    <x v="2"/>
    <d v="2025-05-19T00:00:00"/>
    <d v="2025-06-23T00:00:00"/>
    <d v="2025-06-16T00:00:00"/>
    <d v="2025-12-15T00:00:00"/>
    <d v="2025-05-01T00:00:00"/>
    <d v="2025-06-01T00:00:00"/>
    <d v="2025-06-01T00:00:00"/>
    <d v="2025-12-01T00:00:00"/>
  </r>
  <r>
    <s v="WMHL-A47-08-01.2"/>
    <x v="2"/>
    <d v="2025-05-19T00:00:00"/>
    <d v="2025-06-23T00:00:00"/>
    <d v="2025-06-16T00:00:00"/>
    <d v="2025-12-15T00:00:00"/>
    <d v="2025-05-01T00:00:00"/>
    <d v="2025-06-01T00:00:00"/>
    <d v="2025-06-01T00:00:00"/>
    <d v="2025-12-01T00:00:00"/>
  </r>
  <r>
    <s v="WMHL-A25-08.2"/>
    <x v="2"/>
    <d v="2025-05-19T00:00:00"/>
    <d v="2025-06-23T00:00:00"/>
    <d v="2025-06-16T00:00:00"/>
    <d v="2025-06-30T00:00:00"/>
    <d v="2025-05-01T00:00:00"/>
    <d v="2025-06-01T00:00:00"/>
    <d v="2025-06-01T00:00:00"/>
    <d v="2025-07-01T00:00:00"/>
  </r>
  <r>
    <s v="WMHL-A41-01"/>
    <x v="2"/>
    <d v="2025-06-23T00:00:00"/>
    <d v="2025-06-23T00:00:00"/>
    <d v="2025-07-21T00:00:00"/>
    <d v="2025-06-30T00:00:00"/>
    <d v="2025-06-01T00:00:00"/>
    <d v="2025-06-01T00:00:00"/>
    <d v="2025-07-01T00:00:00"/>
    <d v="2025-07-01T00:00:00"/>
  </r>
  <r>
    <s v="WMHL-A25-08.1"/>
    <x v="2"/>
    <d v="2025-06-02T00:00:00"/>
    <d v="2025-06-23T00:00:00"/>
    <d v="2025-06-30T00:00:00"/>
    <d v="2025-06-30T00:00:00"/>
    <d v="2025-06-01T00:00:00"/>
    <d v="2025-06-01T00:00:00"/>
    <d v="2025-07-01T00:00:00"/>
    <d v="2025-07-01T00:00:00"/>
  </r>
  <r>
    <s v="WMHL-A60-07"/>
    <x v="2"/>
    <d v="2025-12-08T00:00:00"/>
    <d v="2026-03-09T00:00:00"/>
    <d v="2026-01-05T00:00:00"/>
    <d v="2026-04-20T00:00:00"/>
    <d v="2025-12-01T00:00:00"/>
    <d v="2026-03-01T00:00:00"/>
    <d v="2026-01-01T00:00:00"/>
    <d v="2026-04-01T00:00:00"/>
  </r>
  <r>
    <s v="WMHL-A41-10.1"/>
    <x v="2"/>
    <d v="2025-12-01T00:00:00"/>
    <d v="2025-12-01T00:00:00"/>
    <d v="2025-12-29T00:00:00"/>
    <d v="2026-04-20T00:00:00"/>
    <d v="2025-12-01T00:00:00"/>
    <d v="2025-12-01T00:00:00"/>
    <d v="2025-12-01T00:00:00"/>
    <d v="2026-04-01T00:00:00"/>
  </r>
  <r>
    <s v="WMHL-A41-10.2"/>
    <x v="2"/>
    <d v="2025-12-01T00:00:00"/>
    <d v="2025-12-01T00:00:00"/>
    <d v="2025-12-29T00:00:00"/>
    <d v="2026-04-20T00:00:00"/>
    <d v="2025-12-01T00:00:00"/>
    <d v="2025-12-01T00:00:00"/>
    <d v="2025-12-01T00:00:00"/>
    <d v="2026-04-01T00:00:00"/>
  </r>
  <r>
    <s v="WMHL-A20-06-01"/>
    <x v="2"/>
    <d v="2025-03-03T00:00:00"/>
    <d v="2025-03-03T00:00:00"/>
    <d v="2025-03-31T00:00:00"/>
    <d v="2025-03-24T00:00:00"/>
    <d v="2025-03-01T00:00:00"/>
    <d v="2025-03-01T00:00:00"/>
    <d v="2025-03-01T00:00:00"/>
    <d v="2025-03-01T00:00:00"/>
  </r>
  <r>
    <s v="WMHL-A44-08"/>
    <x v="2"/>
    <d v="2025-03-03T00:00:00"/>
    <d v="2025-03-03T00:00:00"/>
    <d v="2025-03-31T00:00:00"/>
    <d v="2025-03-24T00:00:00"/>
    <d v="2025-03-01T00:00:00"/>
    <d v="2025-03-01T00:00:00"/>
    <d v="2025-03-01T00:00:00"/>
    <d v="2025-03-01T00:00:00"/>
  </r>
  <r>
    <s v="WMHL-A47-06-01.1"/>
    <x v="2"/>
    <d v="2025-12-01T00:00:00"/>
    <d v="2025-12-01T00:00:00"/>
    <d v="2025-12-29T00:00:00"/>
    <d v="2025-09-08T00:00:00"/>
    <d v="2025-12-01T00:00:00"/>
    <d v="2025-12-01T00:00:00"/>
    <d v="2026-01-01T00:00:00"/>
    <d v="2025-09-01T00:00:00"/>
  </r>
  <r>
    <s v="WMHL-A47-06-01.2"/>
    <x v="2"/>
    <d v="2025-12-01T00:00:00"/>
    <d v="2025-12-01T00:00:00"/>
    <d v="2025-12-29T00:00:00"/>
    <d v="2025-09-08T00:00:00"/>
    <d v="2025-12-01T00:00:00"/>
    <d v="2025-12-01T00:00:00"/>
    <d v="2026-01-01T00:00:00"/>
    <d v="2025-09-01T00:00:00"/>
  </r>
  <r>
    <s v="WMHL-A47-06-01.3"/>
    <x v="2"/>
    <d v="2025-12-01T00:00:00"/>
    <d v="2025-12-01T00:00:00"/>
    <d v="2025-12-29T00:00:00"/>
    <d v="2025-09-08T00:00:00"/>
    <d v="2025-12-01T00:00:00"/>
    <d v="2025-12-01T00:00:00"/>
    <d v="2026-01-01T00:00:00"/>
    <d v="2025-09-01T00:00:00"/>
  </r>
  <r>
    <s v="WMHL-A54-01.15"/>
    <x v="2"/>
    <d v="2025-05-12T00:00:00"/>
    <d v="2025-06-02T00:00:00"/>
    <d v="2025-06-09T00:00:00"/>
    <d v="2025-09-08T00:00:00"/>
    <d v="2025-05-01T00:00:00"/>
    <d v="2025-06-01T00:00:00"/>
    <d v="2025-06-01T00:00:00"/>
    <d v="2025-09-01T00:00:00"/>
  </r>
  <r>
    <s v="WMHL-A54-01.16"/>
    <x v="2"/>
    <d v="2025-05-12T00:00:00"/>
    <d v="2025-06-02T00:00:00"/>
    <d v="2025-06-09T00:00:00"/>
    <d v="2025-09-08T00:00:00"/>
    <d v="2025-05-01T00:00:00"/>
    <d v="2025-06-01T00:00:00"/>
    <d v="2025-06-01T00:00:00"/>
    <d v="2025-09-01T00:00:00"/>
  </r>
  <r>
    <s v="WMHL-A25-09.1"/>
    <x v="2"/>
    <d v="2025-11-24T00:00:00"/>
    <d v="2025-10-20T00:00:00"/>
    <d v="2025-12-22T00:00:00"/>
    <d v="2025-07-07T00:00:00"/>
    <d v="2025-11-01T00:00:00"/>
    <d v="2025-10-01T00:00:00"/>
    <d v="2025-12-01T00:00:00"/>
    <d v="2025-07-01T00:00:00"/>
  </r>
  <r>
    <s v="WMHL-A60-08"/>
    <x v="2"/>
    <d v="2025-12-08T00:00:00"/>
    <d v="2026-03-02T00:00:00"/>
    <d v="2026-01-05T00:00:00"/>
    <d v="2026-04-20T00:00:00"/>
    <d v="2025-12-01T00:00:00"/>
    <d v="2026-03-01T00:00:00"/>
    <d v="2026-01-01T00:00:00"/>
    <d v="2026-04-01T00:00:00"/>
  </r>
  <r>
    <s v="WMHL-A26-18"/>
    <x v="2"/>
    <d v="2025-12-01T00:00:00"/>
    <d v="2025-12-01T00:00:00"/>
    <d v="2025-12-29T00:00:00"/>
    <d v="2025-12-08T00:00:00"/>
    <d v="2025-12-01T00:00:00"/>
    <d v="2025-12-01T00:00:00"/>
    <d v="2026-01-01T00:00:00"/>
    <d v="2025-12-01T00:00:00"/>
  </r>
  <r>
    <s v="WMHL-A25-09.2"/>
    <x v="2"/>
    <d v="2025-11-24T00:00:00"/>
    <d v="2025-10-20T00:00:00"/>
    <d v="2025-12-22T00:00:00"/>
    <d v="2025-07-07T00:00:00"/>
    <d v="2025-11-01T00:00:00"/>
    <d v="2025-10-01T00:00:00"/>
    <d v="2025-12-01T00:00:00"/>
    <d v="2025-07-01T00:00:00"/>
  </r>
  <r>
    <s v="WMHL-A41-14"/>
    <x v="2"/>
    <d v="2025-12-01T00:00:00"/>
    <d v="2025-12-01T00:00:00"/>
    <d v="2025-11-10T00:00:00"/>
    <d v="2025-12-08T00:00:00"/>
    <d v="2025-12-01T00:00:00"/>
    <d v="2025-12-01T00:00:00"/>
    <d v="2025-11-01T00:00:00"/>
    <d v="2025-12-01T00:00:00"/>
  </r>
  <r>
    <s v="WMHL-A41-13"/>
    <x v="2"/>
    <d v="2025-12-01T00:00:00"/>
    <d v="2025-12-01T00:00:00"/>
    <d v="2025-12-29T00:00:00"/>
    <d v="2026-01-05T00:00:00"/>
    <d v="2025-12-01T00:00:00"/>
    <d v="2025-12-01T00:00:00"/>
    <d v="2026-01-01T00:00:00"/>
    <d v="2026-01-01T00:00:00"/>
  </r>
  <r>
    <s v="WMHL-A20-07-01"/>
    <x v="2"/>
    <d v="2025-03-03T00:00:00"/>
    <d v="2025-03-03T00:00:00"/>
    <d v="2025-03-31T00:00:00"/>
    <d v="2025-03-24T00:00:00"/>
    <d v="2025-03-01T00:00:00"/>
    <d v="2025-03-01T00:00:00"/>
    <d v="2025-03-01T00:00:00"/>
    <d v="2025-03-01T00:00:00"/>
  </r>
  <r>
    <s v="WMHL-A44-09"/>
    <x v="2"/>
    <d v="2025-03-03T00:00:00"/>
    <d v="2025-03-03T00:00:00"/>
    <d v="2025-03-31T00:00:00"/>
    <d v="2025-03-24T00:00:00"/>
    <d v="2025-03-01T00:00:00"/>
    <d v="2025-03-01T00:00:00"/>
    <d v="2025-03-01T00:00:00"/>
    <d v="2025-03-01T00:00:00"/>
  </r>
  <r>
    <s v="WMHL-A47-07-01.1"/>
    <x v="2"/>
    <d v="2025-12-08T00:00:00"/>
    <d v="2025-12-08T00:00:00"/>
    <d v="2026-01-05T00:00:00"/>
    <d v="2026-01-05T00:00:00"/>
    <d v="2025-12-01T00:00:00"/>
    <d v="2025-12-01T00:00:00"/>
    <d v="2026-01-01T00:00:00"/>
    <d v="2026-01-01T00:00:00"/>
  </r>
  <r>
    <s v="WMHL-A54-01.17"/>
    <x v="2"/>
    <d v="2025-12-08T00:00:00"/>
    <d v="2025-06-02T00:00:00"/>
    <d v="2026-01-05T00:00:00"/>
    <d v="2025-09-08T00:00:00"/>
    <d v="2025-12-01T00:00:00"/>
    <d v="2025-06-01T00:00:00"/>
    <d v="2026-01-01T00:00:00"/>
    <d v="2025-09-01T00:00:00"/>
  </r>
  <r>
    <s v="WMHL-A54-01.18"/>
    <x v="2"/>
    <d v="2025-12-08T00:00:00"/>
    <d v="2025-06-02T00:00:00"/>
    <d v="2026-01-05T00:00:00"/>
    <d v="2025-09-08T00:00:00"/>
    <d v="2025-12-01T00:00:00"/>
    <d v="2025-06-01T00:00:00"/>
    <d v="2026-01-01T00:00:00"/>
    <d v="2025-09-01T00:00:00"/>
  </r>
  <r>
    <s v="WMHL-A46-04"/>
    <x v="2"/>
    <d v="2025-12-08T00:00:00"/>
    <d v="2025-12-08T00:00:00"/>
    <d v="2026-01-05T00:00:00"/>
    <d v="2025-12-08T00:00:00"/>
    <d v="2025-12-01T00:00:00"/>
    <d v="2025-12-01T00:00:00"/>
    <d v="2026-01-01T00:00:00"/>
    <d v="2025-12-01T00:00:00"/>
  </r>
  <r>
    <s v="WMHL-A41-06"/>
    <x v="2"/>
    <d v="2025-07-28T00:00:00"/>
    <d v="2025-07-28T00:00:00"/>
    <d v="2025-08-25T00:00:00"/>
    <d v="2025-08-11T00:00:00"/>
    <d v="2025-08-01T00:00:00"/>
    <d v="2025-08-01T00:00:00"/>
    <d v="2025-08-01T00:00:00"/>
    <d v="2025-08-01T00:00:00"/>
  </r>
  <r>
    <s v="WMHL-A25-10"/>
    <x v="2"/>
    <d v="2025-12-08T00:00:00"/>
    <d v="2025-12-08T00:00:00"/>
    <d v="2026-01-05T00:00:00"/>
    <d v="2025-12-08T00:00:00"/>
    <d v="2025-12-01T00:00:00"/>
    <d v="2025-12-01T00:00:00"/>
    <d v="2026-01-01T00:00:00"/>
    <d v="2025-12-01T00:00:00"/>
  </r>
  <r>
    <s v="WMHL-A60-09"/>
    <x v="2"/>
    <d v="2025-12-08T00:00:00"/>
    <d v="2026-03-02T00:00:00"/>
    <d v="2026-01-05T00:00:00"/>
    <d v="2026-04-20T00:00:00"/>
    <d v="2025-12-01T00:00:00"/>
    <d v="2026-03-01T00:00:00"/>
    <d v="2026-01-01T00:00:00"/>
    <d v="2026-04-01T00:00:00"/>
  </r>
  <r>
    <s v="WMHL-A41-08"/>
    <x v="2"/>
    <d v="2025-12-08T00:00:00"/>
    <d v="2025-08-25T00:00:00"/>
    <d v="2026-01-05T00:00:00"/>
    <d v="2025-12-08T00:00:00"/>
    <d v="2025-12-01T00:00:00"/>
    <d v="2025-08-01T00:00:00"/>
    <d v="2026-01-01T00:00:00"/>
    <d v="2025-12-01T00:00:00"/>
  </r>
  <r>
    <s v="WMHL-A26-17"/>
    <x v="2"/>
    <d v="2025-12-08T00:00:00"/>
    <d v="2025-12-08T00:00:00"/>
    <d v="2026-01-05T00:00:00"/>
    <d v="2025-12-08T00:00:00"/>
    <d v="2025-12-01T00:00:00"/>
    <d v="2025-12-01T00:00:00"/>
    <d v="2026-01-01T00:00:00"/>
    <d v="2025-12-01T00:00:00"/>
  </r>
  <r>
    <s v="WMHL-A41-17"/>
    <x v="2"/>
    <d v="2025-12-08T00:00:00"/>
    <d v="2025-12-08T00:00:00"/>
    <d v="2026-01-05T00:00:00"/>
    <d v="2026-01-05T00:00:00"/>
    <d v="2025-12-01T00:00:00"/>
    <d v="2025-12-01T00:00:00"/>
    <d v="2026-01-01T00:00:00"/>
    <d v="2026-01-01T00:00:00"/>
  </r>
  <r>
    <s v="WMHL-A20-08-01"/>
    <x v="2"/>
    <d v="2025-03-03T00:00:00"/>
    <d v="2025-03-03T00:00:00"/>
    <d v="2025-03-31T00:00:00"/>
    <d v="2025-03-24T00:00:00"/>
    <d v="2025-03-01T00:00:00"/>
    <d v="2025-03-01T00:00:00"/>
    <d v="2025-03-01T00:00:00"/>
    <d v="2025-03-01T00:00:00"/>
  </r>
  <r>
    <s v="WMHL-A44-10"/>
    <x v="2"/>
    <d v="2025-03-03T00:00:00"/>
    <d v="2025-03-03T00:00:00"/>
    <d v="2025-03-31T00:00:00"/>
    <d v="2025-03-24T00:00:00"/>
    <d v="2025-03-01T00:00:00"/>
    <d v="2025-03-01T00:00:00"/>
    <d v="2025-03-01T00:00:00"/>
    <d v="2025-03-01T00:00:00"/>
  </r>
  <r>
    <s v="WMHL-A54-01.19"/>
    <x v="2"/>
    <d v="2025-05-19T00:00:00"/>
    <d v="2025-06-09T00:00:00"/>
    <d v="2025-06-16T00:00:00"/>
    <d v="2025-12-08T00:00:00"/>
    <d v="2025-05-01T00:00:00"/>
    <d v="2025-06-01T00:00:00"/>
    <d v="2025-06-01T00:00:00"/>
    <d v="2025-12-01T00:00:00"/>
  </r>
  <r>
    <s v="WMHL-A54-01.20"/>
    <x v="2"/>
    <d v="2025-05-19T00:00:00"/>
    <d v="2025-06-09T00:00:00"/>
    <d v="2025-06-16T00:00:00"/>
    <d v="2025-12-08T00:00:00"/>
    <d v="2025-05-01T00:00:00"/>
    <d v="2025-06-01T00:00:00"/>
    <d v="2025-06-01T00:00:00"/>
    <d v="2025-12-01T00:00:00"/>
  </r>
  <r>
    <s v="WMHL-A54-03"/>
    <x v="2"/>
    <d v="2025-06-09T00:00:00"/>
    <d v="2025-07-21T00:00:00"/>
    <d v="2025-07-07T00:00:00"/>
    <d v="2025-08-11T00:00:00"/>
    <d v="2025-06-01T00:00:00"/>
    <d v="2025-07-01T00:00:00"/>
    <d v="2025-07-01T00:00:00"/>
    <d v="2025-08-01T00:00:00"/>
  </r>
  <r>
    <s v="WMHL-A25-11"/>
    <x v="2"/>
    <d v="2025-12-15T00:00:00"/>
    <d v="2025-12-08T00:00:00"/>
    <d v="2026-01-12T00:00:00"/>
    <d v="2025-12-08T00:00:00"/>
    <d v="2025-12-01T00:00:00"/>
    <d v="2025-12-01T00:00:00"/>
    <d v="2026-01-01T00:00:00"/>
    <d v="2025-12-01T00:00:00"/>
  </r>
  <r>
    <s v="WMHL-A60-10"/>
    <x v="2"/>
    <d v="2025-12-15T00:00:00"/>
    <d v="2026-03-09T00:00:00"/>
    <d v="2025-11-10T00:00:00"/>
    <d v="2026-04-20T00:00:00"/>
    <d v="2025-12-01T00:00:00"/>
    <d v="2026-03-01T00:00:00"/>
    <d v="2025-11-01T00:00:00"/>
    <d v="2026-04-01T00:00:00"/>
  </r>
  <r>
    <s v="WMHL-A41-19"/>
    <x v="2"/>
    <d v="2025-12-15T00:00:00"/>
    <d v="2025-12-08T00:00:00"/>
    <d v="2025-11-10T00:00:00"/>
    <d v="2025-12-15T00:00:00"/>
    <d v="2025-12-01T00:00:00"/>
    <d v="2025-12-01T00:00:00"/>
    <d v="2025-11-01T00:00:00"/>
    <d v="2025-12-01T00:00:00"/>
  </r>
  <r>
    <s v="WMHL-A41-20"/>
    <x v="2"/>
    <d v="2025-12-15T00:00:00"/>
    <d v="2025-12-08T00:00:00"/>
    <d v="2025-11-10T00:00:00"/>
    <d v="2025-12-15T00:00:00"/>
    <d v="2025-12-01T00:00:00"/>
    <d v="2025-12-01T00:00:00"/>
    <d v="2025-11-01T00:00:00"/>
    <d v="2025-12-01T00:00:00"/>
  </r>
  <r>
    <s v="WMHL-A41-21"/>
    <x v="2"/>
    <d v="2025-12-15T00:00:00"/>
    <d v="2026-01-05T00:00:00"/>
    <d v="2025-11-10T00:00:00"/>
    <d v="2025-12-15T00:00:00"/>
    <d v="2025-12-01T00:00:00"/>
    <d v="2026-01-01T00:00:00"/>
    <d v="2025-11-01T00:00:00"/>
    <d v="2025-12-01T00:00:00"/>
  </r>
  <r>
    <s v="WMHL-A41-23"/>
    <x v="2"/>
    <d v="2025-12-15T00:00:00"/>
    <d v="2025-12-15T00:00:00"/>
    <d v="2026-01-12T00:00:00"/>
    <d v="2026-04-20T00:00:00"/>
    <d v="2025-12-01T00:00:00"/>
    <d v="2025-12-01T00:00:00"/>
    <d v="2026-01-01T00:00:00"/>
    <d v="2026-04-01T00:00:00"/>
  </r>
  <r>
    <s v="WMHL-A47-10.1"/>
    <x v="2"/>
    <d v="2025-12-15T00:00:00"/>
    <d v="2025-12-08T00:00:00"/>
    <d v="2026-01-12T00:00:00"/>
    <d v="2025-12-08T00:00:00"/>
    <d v="2025-12-01T00:00:00"/>
    <d v="2025-12-01T00:00:00"/>
    <d v="2026-01-01T00:00:00"/>
    <d v="2025-12-01T00:00:00"/>
  </r>
  <r>
    <s v="WMHL-A20-RF-02"/>
    <x v="2"/>
    <d v="2025-12-15T00:00:00"/>
    <d v="2025-12-15T00:00:00"/>
    <d v="2026-01-12T00:00:00"/>
    <d v="2026-04-20T00:00:00"/>
    <d v="2025-12-01T00:00:00"/>
    <d v="2025-12-01T00:00:00"/>
    <d v="2026-01-01T00:00:00"/>
    <d v="2026-04-01T00:00:00"/>
  </r>
  <r>
    <s v="WMHL-A20-09-01"/>
    <x v="2"/>
    <d v="2025-03-03T00:00:00"/>
    <d v="2025-03-03T00:00:00"/>
    <d v="2025-03-31T00:00:00"/>
    <d v="2025-03-24T00:00:00"/>
    <d v="2025-03-01T00:00:00"/>
    <d v="2025-03-01T00:00:00"/>
    <d v="2025-03-01T00:00:00"/>
    <d v="2025-03-01T00:00:00"/>
  </r>
  <r>
    <s v="WMHL-A44-11"/>
    <x v="2"/>
    <d v="2025-03-03T00:00:00"/>
    <d v="2025-03-03T00:00:00"/>
    <d v="2025-03-31T00:00:00"/>
    <d v="2025-03-24T00:00:00"/>
    <d v="2025-03-01T00:00:00"/>
    <d v="2025-03-01T00:00:00"/>
    <d v="2025-03-01T00:00:00"/>
    <d v="2025-03-01T00:00:00"/>
  </r>
  <r>
    <s v="WMHL-A47-09-01.1"/>
    <x v="2"/>
    <d v="2025-12-15T00:00:00"/>
    <d v="2025-12-15T00:00:00"/>
    <d v="2026-01-12T00:00:00"/>
    <d v="2025-12-15T00:00:00"/>
    <d v="2025-12-01T00:00:00"/>
    <d v="2025-12-01T00:00:00"/>
    <d v="2026-01-01T00:00:00"/>
    <d v="2025-12-01T00:00:00"/>
  </r>
  <r>
    <s v="WMHL-A47-09-01.2"/>
    <x v="1"/>
    <d v="2025-12-15T00:00:00"/>
    <d v="2025-12-08T00:00:00"/>
    <d v="2026-01-12T00:00:00"/>
    <d v="2025-12-15T00:00:00"/>
    <d v="2025-12-01T00:00:00"/>
    <d v="2025-12-01T00:00:00"/>
    <d v="2026-01-01T00:00:00"/>
    <d v="2025-12-01T00:00:00"/>
  </r>
  <r>
    <s v="WMHL-A54-01.21"/>
    <x v="1"/>
    <d v="2025-05-26T00:00:00"/>
    <d v="2025-06-30T00:00:00"/>
    <d v="2025-06-23T00:00:00"/>
    <d v="2025-12-08T00:00:00"/>
    <d v="2025-05-01T00:00:00"/>
    <d v="2025-07-01T00:00:00"/>
    <d v="2025-06-01T00:00:00"/>
    <d v="2025-12-01T00:00:00"/>
  </r>
  <r>
    <s v="WMHL-A54-01.22"/>
    <x v="1"/>
    <d v="2025-05-26T00:00:00"/>
    <d v="2025-06-30T00:00:00"/>
    <d v="2025-06-23T00:00:00"/>
    <d v="2025-12-08T00:00:00"/>
    <d v="2025-05-01T00:00:00"/>
    <d v="2025-07-01T00:00:00"/>
    <d v="2025-06-01T00:00:00"/>
    <d v="2025-12-01T00:00:00"/>
  </r>
  <r>
    <s v="WMHL-A60-11"/>
    <x v="1"/>
    <d v="2025-12-22T00:00:00"/>
    <d v="2026-03-30T00:00:00"/>
    <d v="2025-11-10T00:00:00"/>
    <d v="2026-04-20T00:00:00"/>
    <d v="2025-12-01T00:00:00"/>
    <d v="2026-04-01T00:00:00"/>
    <d v="2025-11-01T00:00:00"/>
    <d v="2026-04-01T00:00:00"/>
  </r>
  <r>
    <s v="WMHL-A25-12"/>
    <x v="1"/>
    <d v="2025-12-15T00:00:00"/>
    <d v="2025-12-08T00:00:00"/>
    <d v="2026-01-12T00:00:00"/>
    <d v="2025-12-15T00:00:00"/>
    <d v="2025-12-01T00:00:00"/>
    <d v="2025-12-01T00:00:00"/>
    <d v="2026-01-01T00:00:00"/>
    <d v="2025-12-01T00:00:00"/>
  </r>
  <r>
    <s v="WMHL-A20-10-01"/>
    <x v="1"/>
    <d v="2025-12-15T00:00:00"/>
    <d v="2025-03-03T00:00:00"/>
    <d v="2025-03-31T00:00:00"/>
    <d v="2025-03-24T00:00:00"/>
    <d v="2025-12-01T00:00:00"/>
    <d v="2025-03-01T00:00:00"/>
    <d v="2025-03-01T00:00:00"/>
    <d v="2025-03-01T00:00:00"/>
  </r>
  <r>
    <s v="WMHL-A44-12"/>
    <x v="1"/>
    <d v="2025-03-03T00:00:00"/>
    <d v="2025-03-03T00:00:00"/>
    <d v="2025-03-31T00:00:00"/>
    <d v="2025-03-24T00:00:00"/>
    <d v="2025-03-01T00:00:00"/>
    <d v="2025-03-01T00:00:00"/>
    <d v="2025-03-01T00:00:00"/>
    <d v="2025-03-01T00:00:00"/>
  </r>
  <r>
    <s v="WMHL-A46-05"/>
    <x v="1"/>
    <d v="2025-12-29T00:00:00"/>
    <d v="2025-12-08T00:00:00"/>
    <d v="2026-01-19T00:00:00"/>
    <d v="2025-12-15T00:00:00"/>
    <d v="2025-12-01T00:00:00"/>
    <d v="2025-12-01T00:00:00"/>
    <d v="2026-01-01T00:00:00"/>
    <d v="2025-12-01T00:00:00"/>
  </r>
  <r>
    <s v="WMHL-A47-12.1"/>
    <x v="1"/>
    <d v="2025-12-29T00:00:00"/>
    <d v="2025-12-08T00:00:00"/>
    <d v="2026-01-19T00:00:00"/>
    <d v="2025-12-15T00:00:00"/>
    <d v="2025-12-01T00:00:00"/>
    <d v="2025-12-01T00:00:00"/>
    <d v="2026-01-01T00:00:00"/>
    <d v="2025-12-01T00:00:00"/>
  </r>
  <r>
    <s v="WMHL-A47-12.2"/>
    <x v="1"/>
    <d v="2025-12-29T00:00:00"/>
    <d v="2025-12-08T00:00:00"/>
    <d v="2026-01-19T00:00:00"/>
    <d v="2025-12-15T00:00:00"/>
    <d v="2025-12-01T00:00:00"/>
    <d v="2025-12-01T00:00:00"/>
    <d v="2026-01-01T00:00:00"/>
    <d v="2025-12-01T00:00:00"/>
  </r>
  <r>
    <s v="WMHL-A54-01.23"/>
    <x v="1"/>
    <d v="2025-06-16T00:00:00"/>
    <d v="2025-06-30T00:00:00"/>
    <d v="2025-07-14T00:00:00"/>
    <d v="2025-12-08T00:00:00"/>
    <d v="2025-06-01T00:00:00"/>
    <d v="2025-07-01T00:00:00"/>
    <d v="2025-07-01T00:00:00"/>
    <d v="2025-12-01T00:00:00"/>
  </r>
  <r>
    <s v="WMHL-A54-01.24"/>
    <x v="1"/>
    <d v="2025-06-16T00:00:00"/>
    <d v="2025-06-30T00:00:00"/>
    <d v="2025-07-14T00:00:00"/>
    <d v="2025-12-08T00:00:00"/>
    <d v="2025-06-01T00:00:00"/>
    <d v="2025-07-01T00:00:00"/>
    <d v="2025-07-01T00:00:00"/>
    <d v="2025-12-01T00:00:00"/>
  </r>
  <r>
    <s v="WMHL-A60-12"/>
    <x v="1"/>
    <d v="2025-12-29T00:00:00"/>
    <d v="2026-03-09T00:00:00"/>
    <d v="2026-01-19T00:00:00"/>
    <d v="2026-04-20T00:00:00"/>
    <d v="2025-12-01T00:00:00"/>
    <d v="2026-03-01T00:00:00"/>
    <d v="2026-01-01T00:00:00"/>
    <d v="2026-04-01T00:00:00"/>
  </r>
  <r>
    <s v="WMHL-A25-13"/>
    <x v="1"/>
    <d v="2025-12-29T00:00:00"/>
    <d v="2025-12-01T00:00:00"/>
    <d v="2026-01-19T00:00:00"/>
    <d v="2025-12-08T00:00:00"/>
    <d v="2025-12-01T00:00:00"/>
    <d v="2025-12-01T00:00:00"/>
    <d v="2026-01-01T00:00:00"/>
    <d v="2025-12-01T00:00:00"/>
  </r>
  <r>
    <s v="WMHL-A47-12.3"/>
    <x v="1"/>
    <d v="2025-12-29T00:00:00"/>
    <d v="2025-12-08T00:00:00"/>
    <d v="2026-01-19T00:00:00"/>
    <d v="2025-12-15T00:00:00"/>
    <d v="2025-12-01T00:00:00"/>
    <d v="2025-12-01T00:00:00"/>
    <d v="2026-01-01T00:00:00"/>
    <d v="2025-12-01T00:00:00"/>
  </r>
  <r>
    <s v="WMHL-A47-12.4"/>
    <x v="1"/>
    <d v="2025-12-29T00:00:00"/>
    <d v="2025-12-08T00:00:00"/>
    <d v="2026-01-19T00:00:00"/>
    <d v="2025-12-15T00:00:00"/>
    <d v="2025-12-01T00:00:00"/>
    <d v="2025-12-01T00:00:00"/>
    <d v="2026-01-01T00:00:00"/>
    <d v="2025-12-01T00:00:00"/>
  </r>
  <r>
    <s v="WMHL-A10-07"/>
    <x v="1"/>
    <d v="2025-03-03T00:00:00"/>
    <d v="2025-03-03T00:00:00"/>
    <d v="2025-03-24T00:00:00"/>
    <d v="2025-03-24T00:00:00"/>
    <d v="2025-03-01T00:00:00"/>
    <d v="2025-03-01T00:00:00"/>
    <d v="2025-03-01T00:00:00"/>
    <d v="2025-03-01T00:00:00"/>
  </r>
  <r>
    <s v="WMHL-A42-01.1"/>
    <x v="1"/>
    <d v="2025-03-03T00:00:00"/>
    <d v="2025-03-03T00:00:00"/>
    <d v="2025-03-24T00:00:00"/>
    <d v="2025-03-24T00:00:00"/>
    <d v="2025-03-01T00:00:00"/>
    <d v="2025-03-01T00:00:00"/>
    <d v="2025-03-01T00:00:00"/>
    <d v="2025-03-01T00:00:00"/>
  </r>
  <r>
    <s v="WMHL-A42-01.2"/>
    <x v="1"/>
    <d v="2025-03-03T00:00:00"/>
    <d v="2025-03-03T00:00:00"/>
    <d v="2025-03-24T00:00:00"/>
    <d v="2025-03-24T00:00:00"/>
    <d v="2025-03-01T00:00:00"/>
    <d v="2025-03-01T00:00:00"/>
    <d v="2025-03-01T00:00:00"/>
    <d v="2025-03-01T00:00:00"/>
  </r>
  <r>
    <s v="WMHL-A42-02.1"/>
    <x v="1"/>
    <d v="2025-03-03T00:00:00"/>
    <d v="2025-03-03T00:00:00"/>
    <d v="2025-03-24T00:00:00"/>
    <d v="2025-03-24T00:00:00"/>
    <d v="2025-03-01T00:00:00"/>
    <d v="2025-03-01T00:00:00"/>
    <d v="2025-03-01T00:00:00"/>
    <d v="2025-03-01T00:00:00"/>
  </r>
  <r>
    <s v="WMHL-A42-02.2"/>
    <x v="1"/>
    <d v="2025-03-03T00:00:00"/>
    <d v="2025-03-03T00:00:00"/>
    <d v="2025-03-24T00:00:00"/>
    <d v="2025-03-24T00:00:00"/>
    <d v="2025-03-01T00:00:00"/>
    <d v="2025-03-01T00:00:00"/>
    <d v="2025-03-01T00:00:00"/>
    <d v="2025-03-01T00:00:00"/>
  </r>
  <r>
    <s v="WMHL-A42-03"/>
    <x v="1"/>
    <d v="2025-03-03T00:00:00"/>
    <d v="2025-03-03T00:00:00"/>
    <d v="2025-04-07T00:00:00"/>
    <d v="2025-04-21T00:00:00"/>
    <d v="2025-03-01T00:00:00"/>
    <d v="2025-03-01T00:00:00"/>
    <d v="2025-04-01T00:00:00"/>
    <d v="2025-04-01T00:00:00"/>
  </r>
  <r>
    <s v="WMHL-A43-01"/>
    <x v="1"/>
    <d v="2025-03-03T00:00:00"/>
    <d v="2025-03-03T00:00:00"/>
    <d v="2025-03-24T00:00:00"/>
    <d v="2025-04-21T00:00:00"/>
    <d v="2025-03-01T00:00:00"/>
    <d v="2025-03-01T00:00:00"/>
    <d v="2025-03-01T00:00:00"/>
    <d v="2025-04-01T00:00:00"/>
  </r>
  <r>
    <s v="WMHL-A43-03"/>
    <x v="1"/>
    <d v="2025-03-03T00:00:00"/>
    <d v="2025-03-03T00:00:00"/>
    <d v="2025-03-24T00:00:00"/>
    <d v="2025-04-21T00:00:00"/>
    <d v="2025-03-01T00:00:00"/>
    <d v="2025-03-01T00:00:00"/>
    <d v="2025-03-01T00:00:00"/>
    <d v="2025-04-01T00:00:00"/>
  </r>
  <r>
    <s v="WMHL-A54-04"/>
    <x v="1"/>
    <d v="2025-03-03T00:00:00"/>
    <d v="2025-03-03T00:00:00"/>
    <d v="2025-03-24T00:00:00"/>
    <d v="2025-03-24T00:00:00"/>
    <d v="2025-03-01T00:00:00"/>
    <d v="2025-03-01T00:00:00"/>
    <d v="2025-03-01T00:00:00"/>
    <d v="2025-03-01T00:00:00"/>
  </r>
  <r>
    <s v="WMHL-A43-02"/>
    <x v="1"/>
    <d v="2025-03-24T00:00:00"/>
    <d v="2025-03-24T00:00:00"/>
    <d v="2025-04-21T00:00:00"/>
    <d v="2025-03-24T00:00:00"/>
    <d v="2025-03-01T00:00:00"/>
    <d v="2025-03-01T00:00:00"/>
    <d v="2025-04-01T00:00:00"/>
    <d v="2025-03-01T00:00:00"/>
  </r>
  <r>
    <s v="WMHL-A54-01.1"/>
    <x v="1"/>
    <d v="2025-03-31T00:00:00"/>
    <d v="2025-03-31T00:00:00"/>
    <d v="2025-04-28T00:00:00"/>
    <d v="2025-12-08T00:00:00"/>
    <d v="2025-04-01T00:00:00"/>
    <d v="2025-04-01T00:00:00"/>
    <d v="2025-05-01T00:00:00"/>
    <d v="2025-12-01T00:00:00"/>
  </r>
  <r>
    <s v="WMHL-A54-01.2"/>
    <x v="1"/>
    <d v="2025-03-31T00:00:00"/>
    <d v="2025-03-31T00:00:00"/>
    <d v="2025-04-28T00:00:00"/>
    <d v="2025-12-08T00:00:00"/>
    <d v="2025-04-01T00:00:00"/>
    <d v="2025-04-01T00:00:00"/>
    <d v="2025-05-01T00:00:00"/>
    <d v="2025-12-01T00:00:00"/>
  </r>
  <r>
    <s v="WMHL-A54-01.3"/>
    <x v="1"/>
    <d v="2025-03-31T00:00:00"/>
    <d v="2025-04-07T00:00:00"/>
    <d v="2025-04-28T00:00:00"/>
    <d v="2025-12-08T00:00:00"/>
    <d v="2025-04-01T00:00:00"/>
    <d v="2025-04-01T00:00:00"/>
    <d v="2025-05-01T00:00:00"/>
    <d v="2025-12-01T00:00:00"/>
  </r>
  <r>
    <s v="WMHL-A47-11-01.1"/>
    <x v="1"/>
    <d v="2025-03-31T00:00:00"/>
    <d v="2025-04-28T00:00:00"/>
    <d v="2025-04-28T00:00:00"/>
    <d v="2026-04-20T00:00:00"/>
    <d v="2025-04-01T00:00:00"/>
    <d v="2025-05-01T00:00:00"/>
    <d v="2025-05-01T00:00:00"/>
    <d v="2026-04-01T00:00:00"/>
  </r>
  <r>
    <s v="WMHL-A54-02.1"/>
    <x v="1"/>
    <d v="2025-04-07T00:00:00"/>
    <d v="2025-04-14T00:00:00"/>
    <d v="2025-05-05T00:00:00"/>
    <d v="2025-12-08T00:00:00"/>
    <d v="2025-04-01T00:00:00"/>
    <d v="2025-04-01T00:00:00"/>
    <d v="2025-05-01T00:00:00"/>
    <d v="2025-12-01T00:00:00"/>
  </r>
  <r>
    <s v="WMHL-A10-06"/>
    <x v="1"/>
    <d v="2025-03-03T00:00:00"/>
    <d v="2025-03-03T00:00:00"/>
    <d v="2025-03-24T00:00:00"/>
    <d v="2025-05-12T00:00:00"/>
    <d v="2025-03-01T00:00:00"/>
    <d v="2025-03-01T00:00:00"/>
    <d v="2025-03-01T00:00:00"/>
    <d v="2025-05-01T00:00:00"/>
  </r>
  <r>
    <s v="WMHL-A10-08"/>
    <x v="1"/>
    <d v="2025-11-24T00:00:00"/>
    <s v=""/>
    <d v="2025-12-15T00:00:00"/>
    <s v=""/>
    <d v="2025-11-01T00:00:00"/>
    <s v=""/>
    <d v="2025-12-01T00:00:00"/>
    <s v=""/>
  </r>
  <r>
    <s v="WMHL-A10-09"/>
    <x v="1"/>
    <d v="2025-11-24T00:00:00"/>
    <d v="2026-01-19T00:00:00"/>
    <d v="2025-12-22T00:00:00"/>
    <d v="2026-05-11T00:00:00"/>
    <d v="2025-11-01T00:00:00"/>
    <d v="2026-01-01T00:00:00"/>
    <d v="2025-12-01T00:00:00"/>
    <d v="2026-05-01T00:00:00"/>
  </r>
  <r>
    <s v="WMHL-A10-10"/>
    <x v="1"/>
    <d v="2025-11-24T00:00:00"/>
    <d v="2026-01-19T00:00:00"/>
    <d v="2025-12-22T00:00:00"/>
    <d v="2026-05-11T00:00:00"/>
    <d v="2025-11-01T00:00:00"/>
    <d v="2026-01-01T00:00:00"/>
    <d v="2025-12-01T00:00:00"/>
    <d v="2026-05-01T00:00:00"/>
  </r>
  <r>
    <s v="WMHL-A10-04"/>
    <x v="1"/>
    <d v="2025-12-29T00:00:00"/>
    <d v="2026-01-12T00:00:00"/>
    <d v="2026-01-26T00:00:00"/>
    <d v="2026-05-11T00:00:00"/>
    <d v="2025-12-01T00:00:00"/>
    <d v="2026-01-01T00:00:00"/>
    <d v="2026-01-01T00:00:00"/>
    <d v="2026-05-01T00:00:00"/>
  </r>
  <r>
    <s v="WMHL-A10-05"/>
    <x v="1"/>
    <d v="2025-12-29T00:00:00"/>
    <d v="2026-02-09T00:00:00"/>
    <d v="2026-01-26T00:00:00"/>
    <d v="2026-05-11T00:00:00"/>
    <d v="2025-12-01T00:00:00"/>
    <d v="2026-02-01T00:00:00"/>
    <d v="2026-01-01T00:00:00"/>
    <d v="2026-05-01T00:00:00"/>
  </r>
  <r>
    <s v="WMHL-A10-12"/>
    <x v="1"/>
    <d v="2025-12-29T00:00:00"/>
    <d v="2026-02-09T00:00:00"/>
    <d v="2026-01-26T00:00:00"/>
    <d v="2026-05-11T00:00:00"/>
    <d v="2025-12-01T00:00:00"/>
    <d v="2026-02-01T00:00:00"/>
    <d v="2026-01-01T00:00:00"/>
    <d v="2026-05-01T00:00:00"/>
  </r>
  <r>
    <s v="WMHL-A10-13"/>
    <x v="1"/>
    <d v="2025-12-08T00:00:00"/>
    <d v="2026-01-19T00:00:00"/>
    <d v="2025-12-29T00:00:00"/>
    <d v="2026-05-11T00:00:00"/>
    <d v="2025-12-01T00:00:00"/>
    <d v="2026-01-01T00:00:00"/>
    <d v="2026-01-01T00:00:00"/>
    <d v="2026-05-01T00:00:00"/>
  </r>
  <r>
    <s v="WMHL-A10-14"/>
    <x v="1"/>
    <d v="2025-12-08T00:00:00"/>
    <d v="2026-01-19T00:00:00"/>
    <d v="2026-01-05T00:00:00"/>
    <d v="2026-05-11T00:00:00"/>
    <d v="2025-12-01T00:00:00"/>
    <d v="2026-01-01T00:00:00"/>
    <d v="2026-01-01T00:00:00"/>
    <d v="2026-05-01T00:00:00"/>
  </r>
  <r>
    <s v="WMHL-A20-RF-01"/>
    <x v="1"/>
    <d v="2025-12-29T00:00:00"/>
    <d v="2025-10-06T00:00:00"/>
    <d v="2025-10-13T00:00:00"/>
    <d v="2026-04-20T00:00:00"/>
    <d v="2025-12-01T00:00:00"/>
    <d v="2025-10-01T00:00:00"/>
    <d v="2025-10-01T00:00:00"/>
    <d v="2026-04-01T00:00:00"/>
  </r>
  <r>
    <s v="WMHL-A44-13"/>
    <x v="1"/>
    <d v="2025-10-06T00:00:00"/>
    <d v="2025-10-06T00:00:00"/>
    <d v="2025-10-13T00:00:00"/>
    <d v="2026-04-20T00:00:00"/>
    <d v="2025-10-01T00:00:00"/>
    <d v="2025-10-01T00:00:00"/>
    <d v="2025-10-01T00:00:00"/>
    <d v="2026-04-01T00:00:00"/>
  </r>
  <r>
    <s v="WMHL-A60-13"/>
    <x v="1"/>
    <d v="2025-12-29T00:00:00"/>
    <d v="2026-04-06T00:00:00"/>
    <d v="2026-01-26T00:00:00"/>
    <d v="2026-05-11T00:00:00"/>
    <d v="2025-12-01T00:00:00"/>
    <d v="2026-04-01T00:00:00"/>
    <d v="2026-01-01T00:00:00"/>
    <d v="2026-05-01T00:00:00"/>
  </r>
  <r>
    <s v="WMHL-A25-14"/>
    <x v="1"/>
    <d v="2025-12-29T00:00:00"/>
    <d v="2025-12-29T00:00:00"/>
    <d v="2026-01-26T00:00:00"/>
    <d v="2026-01-05T00:00:00"/>
    <d v="2025-12-01T00:00:00"/>
    <d v="2025-12-01T00:00:00"/>
    <d v="2026-01-01T00:00:00"/>
    <d v="2026-01-01T00:00:00"/>
  </r>
  <r>
    <s v="WMHL-A47-11-01.2"/>
    <x v="1"/>
    <d v="2025-06-23T00:00:00"/>
    <d v="2025-06-23T00:00:00"/>
    <d v="2025-07-21T00:00:00"/>
    <d v="2025-06-30T00:00:00"/>
    <d v="2025-06-01T00:00:00"/>
    <d v="2025-06-01T00:00:00"/>
    <d v="2025-07-01T00:00:00"/>
    <d v="2025-07-01T00:00:00"/>
  </r>
  <r>
    <s v="WMHL-A54-01.25"/>
    <x v="1"/>
    <d v="2025-06-23T00:00:00"/>
    <d v="2025-06-30T00:00:00"/>
    <d v="2025-07-21T00:00:00"/>
    <d v="2025-09-08T00:00:00"/>
    <d v="2025-06-01T00:00:00"/>
    <d v="2025-07-01T00:00:00"/>
    <d v="2025-07-01T00:00:00"/>
    <d v="2025-09-01T00:00:00"/>
  </r>
  <r>
    <s v="WMHL-A54-01.26"/>
    <x v="1"/>
    <d v="2025-06-23T00:00:00"/>
    <d v="2025-06-30T00:00:00"/>
    <d v="2025-07-21T00:00:00"/>
    <d v="2025-09-08T00:00:00"/>
    <d v="2025-06-01T00:00:00"/>
    <d v="2025-07-01T00:00:00"/>
    <d v="2025-07-01T00:00:00"/>
    <d v="2025-09-01T00:00:00"/>
  </r>
  <r>
    <s v="WMHL-A10-02"/>
    <x v="1"/>
    <d v="2025-03-03T00:00:00"/>
    <d v="2025-03-03T00:00:00"/>
    <d v="2025-03-24T00:00:00"/>
    <d v="2025-03-24T00:00:00"/>
    <d v="2025-03-01T00:00:00"/>
    <d v="2025-03-01T00:00:00"/>
    <d v="2025-03-01T00:00:00"/>
    <d v="2025-03-01T00:00:00"/>
  </r>
  <r>
    <s v="WMHL-A10-03"/>
    <x v="1"/>
    <d v="2025-03-03T00:00:00"/>
    <d v="2025-03-03T00:00:00"/>
    <d v="2025-03-24T00:00:00"/>
    <d v="2025-03-24T00:00:00"/>
    <d v="2025-03-01T00:00:00"/>
    <d v="2025-03-01T00:00:00"/>
    <d v="2025-03-01T00:00:00"/>
    <d v="2025-03-01T00:00:00"/>
  </r>
  <r>
    <s v="WMLH-A30-00-01"/>
    <x v="1"/>
    <d v="2025-03-24T00:00:00"/>
    <d v="2025-03-24T00:00:00"/>
    <d v="2025-04-21T00:00:00"/>
    <d v="2025-09-08T00:00:00"/>
    <d v="2025-03-01T00:00:00"/>
    <d v="2025-03-01T00:00:00"/>
    <d v="2025-04-01T00:00:00"/>
    <d v="2025-09-01T00:00:00"/>
  </r>
  <r>
    <s v="WMLH-A30-00-02"/>
    <x v="1"/>
    <d v="2025-03-24T00:00:00"/>
    <d v="2025-03-24T00:00:00"/>
    <d v="2025-04-21T00:00:00"/>
    <d v="2025-09-08T00:00:00"/>
    <d v="2025-03-01T00:00:00"/>
    <d v="2025-03-01T00:00:00"/>
    <d v="2025-04-01T00:00:00"/>
    <d v="2025-09-01T00:00:00"/>
  </r>
  <r>
    <s v="WMLH-A30-00-03"/>
    <x v="1"/>
    <d v="2025-03-24T00:00:00"/>
    <d v="2025-03-24T00:00:00"/>
    <d v="2025-04-21T00:00:00"/>
    <d v="2025-09-08T00:00:00"/>
    <d v="2025-03-01T00:00:00"/>
    <d v="2025-03-01T00:00:00"/>
    <d v="2025-04-01T00:00:00"/>
    <d v="2025-09-01T00:00:00"/>
  </r>
  <r>
    <s v="WMHL-A35-01"/>
    <x v="1"/>
    <d v="2025-12-29T00:00:00"/>
    <d v="2025-12-15T00:00:00"/>
    <d v="2026-01-26T00:00:00"/>
    <d v="2025-12-15T00:00:00"/>
    <d v="2025-12-01T00:00:00"/>
    <d v="2025-12-01T00:00:00"/>
    <d v="2026-01-01T00:00:00"/>
    <d v="2025-12-01T00:00:00"/>
  </r>
  <r>
    <s v="WMLH-A35-02"/>
    <x v="1"/>
    <d v="2025-12-29T00:00:00"/>
    <d v="2025-12-15T00:00:00"/>
    <d v="2026-01-26T00:00:00"/>
    <d v="2025-12-15T00:00:00"/>
    <d v="2025-12-01T00:00:00"/>
    <d v="2025-12-01T00:00:00"/>
    <d v="2026-01-01T00:00:00"/>
    <d v="2025-12-01T00:00:00"/>
  </r>
  <r>
    <s v="WMLH-A35-03"/>
    <x v="1"/>
    <d v="2025-12-29T00:00:00"/>
    <d v="2025-12-15T00:00:00"/>
    <d v="2026-01-26T00:00:00"/>
    <d v="2025-12-15T00:00:00"/>
    <d v="2025-12-01T00:00:00"/>
    <d v="2025-12-01T00:00:00"/>
    <d v="2026-01-01T00:00:00"/>
    <d v="2025-12-01T00:00:00"/>
  </r>
  <r>
    <s v="WMLH-A35-04"/>
    <x v="1"/>
    <d v="2025-12-29T00:00:00"/>
    <d v="2025-12-15T00:00:00"/>
    <d v="2026-01-26T00:00:00"/>
    <d v="2025-12-15T00:00:00"/>
    <d v="2025-12-01T00:00:00"/>
    <d v="2025-12-01T00:00:00"/>
    <d v="2026-01-01T00:00:00"/>
    <d v="2025-12-01T00:00:00"/>
  </r>
  <r>
    <s v="WMHL-A10-01"/>
    <x v="1"/>
    <d v="2025-03-03T00:00:00"/>
    <d v="2025-03-03T00:00:00"/>
    <d v="2025-03-24T00:00:00"/>
    <d v="2025-12-01T00:00:00"/>
    <d v="2025-03-01T00:00:00"/>
    <d v="2025-03-01T00:00:00"/>
    <d v="2025-03-01T00:00:00"/>
    <d v="2025-12-01T00:00:00"/>
  </r>
  <r>
    <s v="WMHL-EX-A25-01"/>
    <x v="1"/>
    <d v="2026-02-23T00:00:00"/>
    <d v="2025-03-24T00:00:00"/>
    <d v="2026-03-23T00:00:00"/>
    <d v="2026-04-20T00:00:00"/>
    <d v="2026-02-01T00:00:00"/>
    <d v="2025-03-01T00:00:00"/>
    <d v="2026-03-01T00:00:00"/>
    <d v="2026-04-01T00:00:00"/>
  </r>
  <r>
    <s v="WMHL-EX-A60-01"/>
    <x v="1"/>
    <d v="2026-02-23T00:00:00"/>
    <s v=""/>
    <d v="2026-03-23T00:00:00"/>
    <s v=""/>
    <d v="2026-02-01T00:00:00"/>
    <s v=""/>
    <d v="2026-03-01T00:00:00"/>
    <s v=""/>
  </r>
  <r>
    <s v="WMHL-EX-A20-00-01"/>
    <x v="1"/>
    <d v="2026-02-02T00:00:00"/>
    <d v="2026-02-02T00:00:00"/>
    <d v="2026-03-02T00:00:00"/>
    <d v="2026-02-16T00:00:00"/>
    <d v="2026-02-01T00:00:00"/>
    <d v="2026-02-01T00:00:00"/>
    <d v="2026-03-01T00:00:00"/>
    <d v="2026-02-01T00:00:00"/>
  </r>
  <r>
    <s v="WMHL-EX-A44-01"/>
    <x v="1"/>
    <d v="2026-02-02T00:00:00"/>
    <d v="2026-02-02T00:00:00"/>
    <d v="2026-03-02T00:00:00"/>
    <d v="2026-02-16T00:00:00"/>
    <d v="2026-02-01T00:00:00"/>
    <d v="2026-02-01T00:00:00"/>
    <d v="2026-03-01T00:00:00"/>
    <d v="2026-02-01T00:00:00"/>
  </r>
  <r>
    <s v="WMHL-EX-A25-02"/>
    <x v="1"/>
    <d v="2026-02-23T00:00:00"/>
    <d v="2025-03-24T00:00:00"/>
    <d v="2026-03-23T00:00:00"/>
    <d v="2026-04-20T00:00:00"/>
    <d v="2026-02-01T00:00:00"/>
    <d v="2025-03-01T00:00:00"/>
    <d v="2026-03-01T00:00:00"/>
    <d v="2026-04-01T00:00:00"/>
  </r>
  <r>
    <s v="WMHL-EX-A60-02"/>
    <x v="1"/>
    <d v="2026-02-23T00:00:00"/>
    <s v=""/>
    <d v="2026-03-23T00:00:00"/>
    <s v=""/>
    <d v="2026-02-01T00:00:00"/>
    <s v=""/>
    <d v="2026-03-01T00:00:00"/>
    <s v=""/>
  </r>
  <r>
    <s v="WMHL-EX-A20-01-01"/>
    <x v="1"/>
    <d v="2026-02-02T00:00:00"/>
    <d v="2026-02-02T00:00:00"/>
    <d v="2026-03-02T00:00:00"/>
    <d v="2026-02-16T00:00:00"/>
    <d v="2026-02-01T00:00:00"/>
    <d v="2026-02-01T00:00:00"/>
    <d v="2026-03-01T00:00:00"/>
    <d v="2026-02-01T00:00:00"/>
  </r>
  <r>
    <s v="WMHL-EX-A44-02"/>
    <x v="1"/>
    <d v="2026-02-02T00:00:00"/>
    <d v="2026-02-02T00:00:00"/>
    <d v="2026-03-02T00:00:00"/>
    <d v="2026-02-16T00:00:00"/>
    <d v="2026-02-01T00:00:00"/>
    <d v="2026-02-01T00:00:00"/>
    <d v="2026-03-01T00:00:00"/>
    <d v="2026-02-01T00:00:00"/>
  </r>
  <r>
    <s v="WMHL-EX-A25-03"/>
    <x v="1"/>
    <d v="2026-02-23T00:00:00"/>
    <d v="2025-03-24T00:00:00"/>
    <d v="2026-03-23T00:00:00"/>
    <d v="2026-04-20T00:00:00"/>
    <d v="2026-02-01T00:00:00"/>
    <d v="2025-03-01T00:00:00"/>
    <d v="2026-03-01T00:00:00"/>
    <d v="2026-04-01T00:00:00"/>
  </r>
  <r>
    <s v="WMHL-EX-A60-03"/>
    <x v="1"/>
    <d v="2026-02-23T00:00:00"/>
    <s v=""/>
    <d v="2026-03-23T00:00:00"/>
    <s v=""/>
    <d v="2026-02-01T00:00:00"/>
    <s v=""/>
    <d v="2026-03-01T00:00:00"/>
    <s v=""/>
  </r>
  <r>
    <s v="WMHL-EX-A20-02-01"/>
    <x v="1"/>
    <d v="2026-02-02T00:00:00"/>
    <d v="2026-02-02T00:00:00"/>
    <d v="2026-03-02T00:00:00"/>
    <d v="2026-02-16T00:00:00"/>
    <d v="2026-02-01T00:00:00"/>
    <d v="2026-02-01T00:00:00"/>
    <d v="2026-03-01T00:00:00"/>
    <d v="2026-02-01T00:00:00"/>
  </r>
  <r>
    <s v="WMHL-EX-A44-03"/>
    <x v="1"/>
    <d v="2026-02-02T00:00:00"/>
    <d v="2026-02-02T00:00:00"/>
    <d v="2026-03-02T00:00:00"/>
    <d v="2026-02-16T00:00:00"/>
    <d v="2026-02-01T00:00:00"/>
    <d v="2026-02-01T00:00:00"/>
    <d v="2026-03-01T00:00:00"/>
    <d v="2026-02-01T00:00:00"/>
  </r>
  <r>
    <s v="WMHL-EX-A25-04"/>
    <x v="1"/>
    <d v="2026-02-23T00:00:00"/>
    <d v="2026-03-23T00:00:00"/>
    <d v="2026-03-23T00:00:00"/>
    <d v="2026-04-20T00:00:00"/>
    <d v="2026-02-01T00:00:00"/>
    <d v="2026-03-01T00:00:00"/>
    <d v="2026-03-01T00:00:00"/>
    <d v="2026-04-01T00:00:00"/>
  </r>
  <r>
    <s v="WMHL-EX-A60-04"/>
    <x v="1"/>
    <d v="2026-02-23T00:00:00"/>
    <s v=""/>
    <d v="2026-03-23T00:00:00"/>
    <s v=""/>
    <d v="2026-02-01T00:00:00"/>
    <s v=""/>
    <d v="2026-03-01T00:00:00"/>
    <s v=""/>
  </r>
  <r>
    <s v="WMHL-EX-A20-03-01"/>
    <x v="1"/>
    <d v="2026-02-02T00:00:00"/>
    <d v="2026-02-02T00:00:00"/>
    <d v="2026-03-02T00:00:00"/>
    <d v="2026-02-16T00:00:00"/>
    <d v="2026-02-01T00:00:00"/>
    <d v="2026-02-01T00:00:00"/>
    <d v="2026-03-01T00:00:00"/>
    <d v="2026-02-01T00:00:00"/>
  </r>
  <r>
    <s v="WMHL-EX-A44-04"/>
    <x v="1"/>
    <d v="2026-02-02T00:00:00"/>
    <d v="2026-02-02T00:00:00"/>
    <d v="2026-03-02T00:00:00"/>
    <d v="2026-02-16T00:00:00"/>
    <d v="2026-02-01T00:00:00"/>
    <d v="2026-02-01T00:00:00"/>
    <d v="2026-03-01T00:00:00"/>
    <d v="2026-02-01T00:00:00"/>
  </r>
  <r>
    <s v="WMHL-EX-A25-05"/>
    <x v="1"/>
    <d v="2026-02-23T00:00:00"/>
    <d v="2025-03-24T00:00:00"/>
    <d v="2026-03-23T00:00:00"/>
    <d v="2026-04-20T00:00:00"/>
    <d v="2026-02-01T00:00:00"/>
    <d v="2025-03-01T00:00:00"/>
    <d v="2026-03-01T00:00:00"/>
    <d v="2026-04-01T00:00:00"/>
  </r>
  <r>
    <s v="WMHL-EX-A60-05"/>
    <x v="1"/>
    <d v="2026-02-23T00:00:00"/>
    <s v=""/>
    <d v="2026-03-23T00:00:00"/>
    <s v=""/>
    <d v="2026-02-01T00:00:00"/>
    <s v=""/>
    <d v="2026-03-01T00:00:00"/>
    <s v=""/>
  </r>
  <r>
    <s v="WMHL-EX-A20-04-01"/>
    <x v="1"/>
    <d v="2026-02-02T00:00:00"/>
    <d v="2026-02-02T00:00:00"/>
    <d v="2026-03-02T00:00:00"/>
    <d v="2026-02-16T00:00:00"/>
    <d v="2026-02-01T00:00:00"/>
    <d v="2026-02-01T00:00:00"/>
    <d v="2026-03-01T00:00:00"/>
    <d v="2026-02-01T00:00:00"/>
  </r>
  <r>
    <s v="WMHL-EX-A44-05"/>
    <x v="1"/>
    <d v="2026-02-02T00:00:00"/>
    <d v="2026-02-02T00:00:00"/>
    <d v="2026-03-02T00:00:00"/>
    <d v="2026-02-16T00:00:00"/>
    <d v="2026-02-01T00:00:00"/>
    <d v="2026-02-01T00:00:00"/>
    <d v="2026-03-01T00:00:00"/>
    <d v="2026-02-01T00:00:00"/>
  </r>
  <r>
    <s v="WMHL-EX-A25-06"/>
    <x v="1"/>
    <d v="2026-02-23T00:00:00"/>
    <d v="2026-04-20T00:00:00"/>
    <d v="2026-03-23T00:00:00"/>
    <d v="2026-04-20T00:00:00"/>
    <d v="2026-02-01T00:00:00"/>
    <d v="2026-04-01T00:00:00"/>
    <d v="2026-03-01T00:00:00"/>
    <d v="2026-04-01T00:00:00"/>
  </r>
  <r>
    <s v="WMHL-EX-A60-06"/>
    <x v="1"/>
    <d v="2026-02-23T00:00:00"/>
    <s v=""/>
    <d v="2026-03-23T00:00:00"/>
    <s v=""/>
    <d v="2026-02-01T00:00:00"/>
    <s v=""/>
    <d v="2026-03-01T00:00:00"/>
    <s v=""/>
  </r>
  <r>
    <s v="WMHL-EX-A20-05-01"/>
    <x v="1"/>
    <d v="2026-02-02T00:00:00"/>
    <d v="2026-02-02T00:00:00"/>
    <d v="2026-03-02T00:00:00"/>
    <d v="2026-04-20T00:00:00"/>
    <d v="2026-02-01T00:00:00"/>
    <d v="2026-02-01T00:00:00"/>
    <d v="2026-03-01T00:00:00"/>
    <d v="2026-04-01T00:00:00"/>
  </r>
  <r>
    <s v="WMHL-EX-A44-06"/>
    <x v="1"/>
    <d v="2026-02-02T00:00:00"/>
    <d v="2026-02-02T00:00:00"/>
    <d v="2026-03-02T00:00:00"/>
    <d v="2026-04-20T00:00:00"/>
    <d v="2026-02-01T00:00:00"/>
    <d v="2026-02-01T00:00:00"/>
    <d v="2026-03-01T00:00:00"/>
    <d v="2026-04-01T00:00:00"/>
  </r>
  <r>
    <m/>
    <x v="3"/>
    <m/>
    <m/>
    <m/>
    <m/>
    <m/>
    <m/>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n v="0"/>
    <n v="0"/>
    <n v="0"/>
    <n v="0"/>
  </r>
  <r>
    <x v="1"/>
    <n v="0"/>
    <n v="0"/>
    <n v="0"/>
    <n v="0"/>
  </r>
  <r>
    <x v="2"/>
    <n v="0.20218579234972678"/>
    <n v="0.14754098360655737"/>
    <n v="8.1967213114754092E-2"/>
    <n v="8.1967213114754092E-2"/>
  </r>
  <r>
    <x v="3"/>
    <n v="2.7322404371584699E-2"/>
    <n v="0.10928961748633879"/>
    <n v="0.13114754098360656"/>
    <n v="1.6393442622950821E-2"/>
  </r>
  <r>
    <x v="4"/>
    <n v="8.7431693989071038E-2"/>
    <n v="1.6393442622950821E-2"/>
    <n v="2.7322404371584699E-2"/>
    <n v="5.4644808743169397E-2"/>
  </r>
  <r>
    <x v="5"/>
    <n v="0.14207650273224043"/>
    <n v="7.1038251366120214E-2"/>
    <n v="8.7431693989071038E-2"/>
    <n v="7.650273224043716E-2"/>
  </r>
  <r>
    <x v="6"/>
    <n v="0.11475409836065574"/>
    <n v="0.10928961748633879"/>
    <n v="0.14754098360655737"/>
    <n v="4.3715846994535519E-2"/>
  </r>
  <r>
    <x v="7"/>
    <n v="0"/>
    <n v="0.10928961748633879"/>
    <n v="0.13114754098360656"/>
    <n v="3.2786885245901641E-2"/>
  </r>
  <r>
    <x v="8"/>
    <n v="0"/>
    <n v="3.825136612021858E-2"/>
    <n v="0"/>
    <n v="6.0109289617486336E-2"/>
  </r>
  <r>
    <x v="9"/>
    <n v="8.1967213114754092E-2"/>
    <n v="4.9180327868852458E-2"/>
    <n v="1.092896174863388E-2"/>
    <n v="0.15846994535519127"/>
  </r>
  <r>
    <x v="10"/>
    <n v="8.7431693989071038E-2"/>
    <n v="0.10382513661202186"/>
    <n v="0.12021857923497267"/>
    <n v="0"/>
  </r>
  <r>
    <x v="11"/>
    <n v="0.12568306010928962"/>
    <n v="7.1038251366120214E-2"/>
    <n v="2.185792349726776E-2"/>
    <n v="0.22950819672131148"/>
  </r>
  <r>
    <x v="12"/>
    <n v="0"/>
    <n v="3.2786885245901641E-2"/>
    <n v="0.10928961748633879"/>
    <n v="5.4644808743169399E-3"/>
  </r>
  <r>
    <x v="13"/>
    <n v="0.13114754098360656"/>
    <n v="7.650273224043716E-2"/>
    <n v="0"/>
    <n v="8.1967213114754092E-2"/>
  </r>
  <r>
    <x v="14"/>
    <n v="0"/>
    <n v="1.092896174863388E-2"/>
    <n v="0.13114754098360656"/>
    <n v="0"/>
  </r>
  <r>
    <x v="15"/>
    <n v="0"/>
    <n v="1.6393442622950821E-2"/>
    <n v="0"/>
    <n v="7.1038251366120214E-2"/>
  </r>
  <r>
    <x v="16"/>
    <n v="0"/>
    <n v="0"/>
    <n v="0"/>
    <n v="4.3715846994535519E-2"/>
  </r>
  <r>
    <x v="17"/>
    <n v="0"/>
    <n v="0"/>
    <n v="0"/>
    <n v="0"/>
  </r>
  <r>
    <x v="18"/>
    <n v="0"/>
    <n v="0"/>
    <n v="0"/>
    <n v="0"/>
  </r>
  <r>
    <x v="19"/>
    <n v="0"/>
    <n v="0"/>
    <n v="0"/>
    <n v="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n v="0"/>
    <n v="0"/>
    <n v="0"/>
    <n v="0"/>
  </r>
  <r>
    <x v="1"/>
    <n v="0"/>
    <n v="0"/>
    <n v="0"/>
    <n v="0"/>
  </r>
  <r>
    <x v="2"/>
    <n v="0.13821138211382114"/>
    <n v="0.14634146341463414"/>
    <n v="0.13821138211382114"/>
    <n v="0.13821138211382114"/>
  </r>
  <r>
    <x v="3"/>
    <n v="0.11382113821138211"/>
    <n v="0.11382113821138211"/>
    <n v="0"/>
    <n v="0"/>
  </r>
  <r>
    <x v="4"/>
    <n v="0.16260162601626016"/>
    <n v="6.5040650406504072E-2"/>
    <n v="0.11382113821138211"/>
    <n v="1.6260162601626018E-2"/>
  </r>
  <r>
    <x v="5"/>
    <n v="2.4390243902439025E-2"/>
    <n v="9.7560975609756101E-2"/>
    <n v="0.16260162601626016"/>
    <n v="0"/>
  </r>
  <r>
    <x v="6"/>
    <n v="0"/>
    <n v="3.2520325203252036E-2"/>
    <n v="2.4390243902439025E-2"/>
    <n v="6.5040650406504072E-2"/>
  </r>
  <r>
    <x v="7"/>
    <n v="8.130081300813009E-3"/>
    <n v="1.6260162601626018E-2"/>
    <n v="8.130081300813009E-3"/>
    <n v="1.6260162601626018E-2"/>
  </r>
  <r>
    <x v="8"/>
    <n v="0"/>
    <n v="0"/>
    <n v="0"/>
    <n v="0.17886178861788618"/>
  </r>
  <r>
    <x v="9"/>
    <n v="4.878048780487805E-2"/>
    <n v="6.5040650406504072E-2"/>
    <n v="0"/>
    <n v="4.065040650406504E-2"/>
  </r>
  <r>
    <x v="10"/>
    <n v="0.15447154471544716"/>
    <n v="0.18699186991869918"/>
    <n v="0.10569105691056911"/>
    <n v="4.065040650406504E-2"/>
  </r>
  <r>
    <x v="11"/>
    <n v="0.34959349593495936"/>
    <n v="0.2032520325203252"/>
    <n v="0.2032520325203252"/>
    <n v="0.36585365853658536"/>
  </r>
  <r>
    <x v="12"/>
    <n v="0"/>
    <n v="1.6260162601626018E-2"/>
    <n v="0.24390243902439024"/>
    <n v="3.2520325203252036E-2"/>
  </r>
  <r>
    <x v="13"/>
    <n v="0"/>
    <n v="0"/>
    <n v="0"/>
    <n v="0"/>
  </r>
  <r>
    <x v="14"/>
    <n v="0"/>
    <n v="4.878048780487805E-2"/>
    <n v="0"/>
    <n v="0"/>
  </r>
  <r>
    <x v="15"/>
    <n v="0"/>
    <n v="8.130081300813009E-3"/>
    <n v="0"/>
    <n v="8.943089430894309E-2"/>
  </r>
  <r>
    <x v="16"/>
    <n v="0"/>
    <n v="0"/>
    <n v="0"/>
    <n v="1.6260162601626018E-2"/>
  </r>
  <r>
    <x v="17"/>
    <n v="0"/>
    <n v="0"/>
    <n v="0"/>
    <n v="0"/>
  </r>
  <r>
    <x v="18"/>
    <n v="0"/>
    <n v="0"/>
    <n v="0"/>
    <n v="0"/>
  </r>
  <r>
    <x v="19"/>
    <n v="0"/>
    <n v="0"/>
    <n v="0"/>
    <n v="0"/>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n v="0"/>
    <n v="0"/>
    <n v="0"/>
    <n v="0"/>
  </r>
  <r>
    <x v="1"/>
    <n v="0"/>
    <n v="0"/>
    <n v="0"/>
    <n v="0"/>
  </r>
  <r>
    <x v="2"/>
    <n v="0.30084745762711862"/>
    <n v="9.3220338983050849E-2"/>
    <n v="0"/>
    <n v="4.2372881355932203E-3"/>
  </r>
  <r>
    <x v="3"/>
    <n v="1.2711864406779662E-2"/>
    <n v="0.14830508474576271"/>
    <n v="0.19915254237288135"/>
    <n v="4.2372881355932202E-2"/>
  </r>
  <r>
    <x v="4"/>
    <n v="0.11864406779661017"/>
    <n v="5.9322033898305086E-2"/>
    <n v="6.7796610169491525E-2"/>
    <n v="8.050847457627118E-2"/>
  </r>
  <r>
    <x v="5"/>
    <n v="0.19915254237288135"/>
    <n v="5.5084745762711863E-2"/>
    <n v="0.15254237288135594"/>
    <n v="0.11864406779661017"/>
  </r>
  <r>
    <x v="6"/>
    <n v="0.11016949152542373"/>
    <n v="0.1271186440677966"/>
    <n v="0.17372881355932204"/>
    <n v="5.9322033898305086E-2"/>
  </r>
  <r>
    <x v="7"/>
    <n v="0"/>
    <n v="0.13135593220338984"/>
    <n v="0.21610169491525424"/>
    <n v="1.2711864406779662E-2"/>
  </r>
  <r>
    <x v="8"/>
    <n v="0"/>
    <n v="5.5084745762711863E-2"/>
    <n v="0"/>
    <n v="0"/>
  </r>
  <r>
    <x v="9"/>
    <n v="0.11864406779661017"/>
    <n v="6.7796610169491525E-2"/>
    <n v="0"/>
    <n v="0.29661016949152541"/>
  </r>
  <r>
    <x v="10"/>
    <n v="0.11864406779661017"/>
    <n v="0.23305084745762711"/>
    <n v="0.17372881355932204"/>
    <n v="0"/>
  </r>
  <r>
    <x v="11"/>
    <n v="2.1186440677966101E-2"/>
    <n v="0"/>
    <n v="8.4745762711864406E-3"/>
    <n v="0.17372881355932204"/>
  </r>
  <r>
    <x v="12"/>
    <n v="0"/>
    <n v="0"/>
    <n v="8.4745762711864406E-3"/>
    <n v="0"/>
  </r>
  <r>
    <x v="13"/>
    <n v="0"/>
    <n v="8.4745762711864406E-3"/>
    <n v="0"/>
    <n v="0.1271186440677966"/>
  </r>
  <r>
    <x v="14"/>
    <n v="0"/>
    <n v="1.6949152542372881E-2"/>
    <n v="0"/>
    <n v="1.2711864406779662E-2"/>
  </r>
  <r>
    <x v="15"/>
    <n v="0"/>
    <n v="4.2372881355932203E-3"/>
    <n v="0"/>
    <n v="1.6949152542372881E-2"/>
  </r>
  <r>
    <x v="16"/>
    <n v="0"/>
    <n v="0"/>
    <n v="0"/>
    <n v="0"/>
  </r>
  <r>
    <x v="17"/>
    <n v="0"/>
    <n v="0"/>
    <n v="0"/>
    <n v="0"/>
  </r>
  <r>
    <x v="18"/>
    <n v="0"/>
    <n v="0"/>
    <n v="0"/>
    <n v="0"/>
  </r>
  <r>
    <x v="19"/>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815A7D-54D2-47DB-9509-3F5DCB1FFD04}" name="PivotTable4"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D22" firstHeaderRow="0" firstDataRow="1" firstDataCol="1"/>
  <pivotFields count="17">
    <pivotField showAll="0"/>
    <pivotField showAll="0">
      <items count="4">
        <item h="1" x="2"/>
        <item h="1" x="0"/>
        <item x="1"/>
        <item t="default"/>
      </items>
    </pivotField>
    <pivotField showAll="0"/>
    <pivotField dataField="1" showAll="0"/>
    <pivotField axis="axisRow" showAll="0">
      <items count="21">
        <item x="15"/>
        <item x="0"/>
        <item x="14"/>
        <item x="16"/>
        <item x="9"/>
        <item x="19"/>
        <item x="13"/>
        <item x="6"/>
        <item x="2"/>
        <item x="5"/>
        <item x="1"/>
        <item x="10"/>
        <item x="18"/>
        <item x="17"/>
        <item x="3"/>
        <item x="8"/>
        <item x="7"/>
        <item x="11"/>
        <item x="12"/>
        <item x="4"/>
        <item t="default"/>
      </items>
    </pivotField>
    <pivotField showAll="0"/>
    <pivotField showAll="0"/>
    <pivotField numFmtId="164" showAll="0"/>
    <pivotField showAll="0"/>
    <pivotField dataField="1" showAll="0"/>
    <pivotField showAll="0"/>
    <pivotField showAll="0"/>
    <pivotField numFmtId="164" showAll="0"/>
    <pivotField dataField="1" showAll="0"/>
    <pivotField numFmtId="164" showAll="0"/>
    <pivotField showAll="0"/>
    <pivotField showAll="0"/>
  </pivotFields>
  <rowFields count="1">
    <field x="4"/>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3">
    <i>
      <x/>
    </i>
    <i i="1">
      <x v="1"/>
    </i>
    <i i="2">
      <x v="2"/>
    </i>
  </colItems>
  <dataFields count="3">
    <dataField name="Total Drgs" fld="3" subtotal="count" baseField="4" baseItem="3"/>
    <dataField name="Submitted" fld="9" subtotal="count" baseField="4" baseItem="3"/>
    <dataField name="Approved" fld="13" subtotal="count" baseField="4" baseItem="3"/>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455FA9-5085-439C-8E77-D3C2CA2BA921}" name="PivotTable3" cacheId="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BI9:BM62" firstHeaderRow="0" firstDataRow="1" firstDataCol="1"/>
  <pivotFields count="5">
    <pivotField axis="axisRow" numFmtId="15"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dataField="1" numFmtId="166" showAll="0"/>
    <pivotField dataField="1" numFmtId="166" showAll="0"/>
    <pivotField dataField="1" numFmtId="166" showAll="0"/>
    <pivotField dataField="1" numFmtId="166" showAll="0"/>
  </pivotFields>
  <rowFields count="1">
    <field x="0"/>
  </rowFields>
  <rowItems count="53">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t="grand">
      <x/>
    </i>
  </rowItems>
  <colFields count="1">
    <field x="-2"/>
  </colFields>
  <colItems count="4">
    <i>
      <x/>
    </i>
    <i i="1">
      <x v="1"/>
    </i>
    <i i="2">
      <x v="2"/>
    </i>
    <i i="3">
      <x v="3"/>
    </i>
  </colItems>
  <dataFields count="4">
    <dataField name=" Submission_1 Plan" fld="1" showDataAs="runTotal" baseField="0" baseItem="1" numFmtId="166"/>
    <dataField name=" Submission_1 Actuals" fld="2" showDataAs="runTotal" baseField="0" baseItem="0" numFmtId="166"/>
    <dataField name=" Approval Plan" fld="3" showDataAs="runTotal" baseField="0" baseItem="26" numFmtId="166"/>
    <dataField name=" Approval Actuals" fld="4" showDataAs="runTotal" baseField="0" baseItem="31" numFmtId="166"/>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filters count="1">
    <filter fld="0" type="dateBetween" evalOrder="-1" id="9" name="Rpt_Week">
      <autoFilter ref="A1">
        <filterColumn colId="0">
          <customFilters and="1">
            <customFilter operator="greaterThanOrEqual" val="45778"/>
            <customFilter operator="lessThanOrEqual" val="4614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09D527-5F68-4416-AF45-D644538F4731}" name="PivotTable2" cacheId="9"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I10:AM80" firstHeaderRow="0" firstDataRow="1" firstDataCol="1"/>
  <pivotFields count="5">
    <pivotField axis="axisRow" numFmtId="15"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dataField="1" numFmtId="166" showAll="0"/>
    <pivotField dataField="1" numFmtId="166" showAll="0"/>
    <pivotField dataField="1" numFmtId="166" showAll="0"/>
    <pivotField dataField="1" numFmtId="166" showAll="0"/>
  </pivotFields>
  <rowFields count="1">
    <field x="0"/>
  </rowFields>
  <rowItems count="70">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t="grand">
      <x/>
    </i>
  </rowItems>
  <colFields count="1">
    <field x="-2"/>
  </colFields>
  <colItems count="4">
    <i>
      <x/>
    </i>
    <i i="1">
      <x v="1"/>
    </i>
    <i i="2">
      <x v="2"/>
    </i>
    <i i="3">
      <x v="3"/>
    </i>
  </colItems>
  <dataFields count="4">
    <dataField name=" Submission_1 Plan" fld="1" showDataAs="runTotal" baseField="0" baseItem="5" numFmtId="166"/>
    <dataField name=" Submission_1 Actuals" fld="2" showDataAs="runTotal" baseField="0" baseItem="15" numFmtId="166"/>
    <dataField name=" Approval Plan" fld="3" showDataAs="runTotal" baseField="0" baseItem="19" numFmtId="166"/>
    <dataField name=" Approval Actuals" fld="4" showDataAs="runTotal" baseField="0" baseItem="19" numFmtId="166"/>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filters count="1">
    <filter fld="0" type="dateBetween" evalOrder="-1" id="15" name="Rpt_Week">
      <autoFilter ref="A1">
        <filterColumn colId="0">
          <customFilters and="1">
            <customFilter operator="greaterThanOrEqual" val="45689"/>
            <customFilter operator="lessThanOrEqual" val="4617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82AF51-E508-4739-BE7C-0E638A318B5C}" name="PivotTable1"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10:E63" firstHeaderRow="0" firstDataRow="1" firstDataCol="1"/>
  <pivotFields count="5">
    <pivotField axis="axisRow" numFmtId="15" showAll="0">
      <items count="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t="default"/>
      </items>
    </pivotField>
    <pivotField dataField="1" numFmtId="166" showAll="0"/>
    <pivotField dataField="1" numFmtId="166" showAll="0"/>
    <pivotField dataField="1" numFmtId="166" showAll="0"/>
    <pivotField dataField="1" numFmtId="166" showAll="0"/>
  </pivotFields>
  <rowFields count="1">
    <field x="0"/>
  </rowFields>
  <rowItems count="53">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t="grand">
      <x/>
    </i>
  </rowItems>
  <colFields count="1">
    <field x="-2"/>
  </colFields>
  <colItems count="4">
    <i>
      <x/>
    </i>
    <i i="1">
      <x v="1"/>
    </i>
    <i i="2">
      <x v="2"/>
    </i>
    <i i="3">
      <x v="3"/>
    </i>
  </colItems>
  <dataFields count="4">
    <dataField name=" Submission_1 Plan" fld="1" showDataAs="runTotal" baseField="0" baseItem="46" numFmtId="166"/>
    <dataField name=" Submission_1 Actuals" fld="2" showDataAs="runTotal" baseField="0" baseItem="8" numFmtId="166"/>
    <dataField name=" Approval Plan" fld="3" showDataAs="runTotal" baseField="0" baseItem="8" numFmtId="166"/>
    <dataField name=" Approval Actuals" fld="4" showDataAs="runTotal" baseField="0" baseItem="8" numFmtId="166"/>
  </dataFields>
  <chartFormats count="8">
    <chartFormat chart="0" format="25" series="1">
      <pivotArea type="data" outline="0" fieldPosition="0">
        <references count="1">
          <reference field="4294967294" count="1" selected="0">
            <x v="0"/>
          </reference>
        </references>
      </pivotArea>
    </chartFormat>
    <chartFormat chart="0" format="26" series="1">
      <pivotArea type="data" outline="0" fieldPosition="0">
        <references count="1">
          <reference field="4294967294" count="1" selected="0">
            <x v="1"/>
          </reference>
        </references>
      </pivotArea>
    </chartFormat>
    <chartFormat chart="0" format="27" series="1">
      <pivotArea type="data" outline="0" fieldPosition="0">
        <references count="1">
          <reference field="4294967294" count="1" selected="0">
            <x v="2"/>
          </reference>
        </references>
      </pivotArea>
    </chartFormat>
    <chartFormat chart="0" format="28" series="1">
      <pivotArea type="data" outline="0" fieldPosition="0">
        <references count="1">
          <reference field="4294967294" count="1" selected="0">
            <x v="3"/>
          </reference>
        </references>
      </pivotArea>
    </chartFormat>
    <chartFormat chart="0" format="29">
      <pivotArea type="data" outline="0" fieldPosition="0">
        <references count="2">
          <reference field="4294967294" count="1" selected="0">
            <x v="0"/>
          </reference>
          <reference field="0" count="1" selected="0">
            <x v="59"/>
          </reference>
        </references>
      </pivotArea>
    </chartFormat>
    <chartFormat chart="0" format="30">
      <pivotArea type="data" outline="0" fieldPosition="0">
        <references count="2">
          <reference field="4294967294" count="1" selected="0">
            <x v="1"/>
          </reference>
          <reference field="0" count="1" selected="0">
            <x v="59"/>
          </reference>
        </references>
      </pivotArea>
    </chartFormat>
    <chartFormat chart="0" format="31">
      <pivotArea type="data" outline="0" fieldPosition="0">
        <references count="2">
          <reference field="4294967294" count="1" selected="0">
            <x v="2"/>
          </reference>
          <reference field="0" count="1" selected="0">
            <x v="59"/>
          </reference>
        </references>
      </pivotArea>
    </chartFormat>
    <chartFormat chart="0" format="32">
      <pivotArea type="data" outline="0" fieldPosition="0">
        <references count="2">
          <reference field="4294967294" count="1" selected="0">
            <x v="3"/>
          </reference>
          <reference field="0" count="1" selected="0">
            <x v="59"/>
          </reference>
        </references>
      </pivotArea>
    </chartFormat>
  </chartFormats>
  <pivotTableStyleInfo name="PivotStyleLight16" showRowHeaders="1" showColHeaders="1" showRowStripes="0" showColStripes="0" showLastColumn="1"/>
  <filters count="1">
    <filter fld="0" type="dateBetween" evalOrder="-1" id="48" name="Rpt_Week">
      <autoFilter ref="A1">
        <filterColumn colId="0">
          <customFilters and="1">
            <customFilter operator="greaterThanOrEqual" val="45717"/>
            <customFilter operator="lessThanOrEqual" val="4608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FDFD66-E5B2-4795-BCAC-6DA562D8BCE9}" name="PivotTable3"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BA1:BE13" firstHeaderRow="0" firstDataRow="1" firstDataCol="1"/>
  <pivotFields count="5">
    <pivotField axis="axisRow" numFmtId="165" showAll="0">
      <items count="21">
        <item x="0"/>
        <item x="1"/>
        <item x="2"/>
        <item x="3"/>
        <item x="4"/>
        <item x="5"/>
        <item x="6"/>
        <item x="7"/>
        <item x="8"/>
        <item x="9"/>
        <item x="10"/>
        <item x="11"/>
        <item x="12"/>
        <item x="13"/>
        <item x="14"/>
        <item x="15"/>
        <item x="16"/>
        <item x="17"/>
        <item x="18"/>
        <item x="19"/>
        <item t="default"/>
      </items>
    </pivotField>
    <pivotField dataField="1" numFmtId="166" showAll="0"/>
    <pivotField dataField="1" numFmtId="166" showAll="0"/>
    <pivotField dataField="1" numFmtId="166" showAll="0"/>
    <pivotField dataField="1" numFmtId="166" showAll="0"/>
  </pivotFields>
  <rowFields count="1">
    <field x="0"/>
  </rowFields>
  <rowItems count="12">
    <i>
      <x v="1"/>
    </i>
    <i>
      <x v="2"/>
    </i>
    <i>
      <x v="3"/>
    </i>
    <i>
      <x v="4"/>
    </i>
    <i>
      <x v="5"/>
    </i>
    <i>
      <x v="6"/>
    </i>
    <i>
      <x v="7"/>
    </i>
    <i>
      <x v="8"/>
    </i>
    <i>
      <x v="9"/>
    </i>
    <i>
      <x v="10"/>
    </i>
    <i>
      <x v="11"/>
    </i>
    <i t="grand">
      <x/>
    </i>
  </rowItems>
  <colFields count="1">
    <field x="-2"/>
  </colFields>
  <colItems count="4">
    <i>
      <x/>
    </i>
    <i i="1">
      <x v="1"/>
    </i>
    <i i="2">
      <x v="2"/>
    </i>
    <i i="3">
      <x v="3"/>
    </i>
  </colItems>
  <dataFields count="4">
    <dataField name=" Submission_1 Plan" fld="1" showDataAs="runTotal" baseField="0" baseItem="1" numFmtId="166"/>
    <dataField name=" Submission_1 Actuals" fld="2" showDataAs="runTotal" baseField="0" baseItem="1" numFmtId="166"/>
    <dataField name=" Approval Plan" fld="3" showDataAs="runTotal" baseField="0" baseItem="1" numFmtId="166"/>
    <dataField name=" Approval Actuals" fld="4" showDataAs="runTotal" baseField="0" baseItem="1" numFmtId="166"/>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filters count="1">
    <filter fld="0" type="dateBetween" evalOrder="-1" id="10" name="Rpt_Month">
      <autoFilter ref="A1">
        <filterColumn colId="0">
          <customFilters and="1">
            <customFilter operator="greaterThanOrEqual" val="45689"/>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565697-B430-4018-A4D8-1FA22018376C}" name="PivotTable2"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A1:AE13" firstHeaderRow="0" firstDataRow="1" firstDataCol="1"/>
  <pivotFields count="5">
    <pivotField axis="axisRow" numFmtId="165" showAll="0">
      <items count="21">
        <item x="0"/>
        <item x="1"/>
        <item x="2"/>
        <item x="3"/>
        <item x="4"/>
        <item x="5"/>
        <item x="6"/>
        <item x="7"/>
        <item x="8"/>
        <item x="9"/>
        <item x="10"/>
        <item x="11"/>
        <item x="12"/>
        <item x="13"/>
        <item x="14"/>
        <item x="15"/>
        <item x="16"/>
        <item x="17"/>
        <item x="18"/>
        <item x="19"/>
        <item t="default"/>
      </items>
    </pivotField>
    <pivotField dataField="1" numFmtId="166" showAll="0"/>
    <pivotField dataField="1" numFmtId="166" showAll="0"/>
    <pivotField dataField="1" numFmtId="166" showAll="0"/>
    <pivotField dataField="1" numFmtId="166" showAll="0"/>
  </pivotFields>
  <rowFields count="1">
    <field x="0"/>
  </rowFields>
  <rowItems count="12">
    <i>
      <x v="2"/>
    </i>
    <i>
      <x v="3"/>
    </i>
    <i>
      <x v="4"/>
    </i>
    <i>
      <x v="5"/>
    </i>
    <i>
      <x v="6"/>
    </i>
    <i>
      <x v="7"/>
    </i>
    <i>
      <x v="8"/>
    </i>
    <i>
      <x v="9"/>
    </i>
    <i>
      <x v="10"/>
    </i>
    <i>
      <x v="11"/>
    </i>
    <i>
      <x v="12"/>
    </i>
    <i t="grand">
      <x/>
    </i>
  </rowItems>
  <colFields count="1">
    <field x="-2"/>
  </colFields>
  <colItems count="4">
    <i>
      <x/>
    </i>
    <i i="1">
      <x v="1"/>
    </i>
    <i i="2">
      <x v="2"/>
    </i>
    <i i="3">
      <x v="3"/>
    </i>
  </colItems>
  <dataFields count="4">
    <dataField name=" Submission_1 Plan" fld="1" showDataAs="runTotal" baseField="0" baseItem="4" numFmtId="166"/>
    <dataField name=" Submission_1 Actuals" fld="2" showDataAs="runTotal" baseField="0" baseItem="11" numFmtId="166"/>
    <dataField name=" Approval Plan" fld="3" showDataAs="runTotal" baseField="0" baseItem="11" numFmtId="166"/>
    <dataField name=" Approval Actuals" fld="4" showDataAs="runTotal" baseField="0" baseItem="11" numFmtId="166"/>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filters count="1">
    <filter fld="0" type="dateBetween" evalOrder="-1" id="6" name="Rpt_Month">
      <autoFilter ref="A1">
        <filterColumn colId="0">
          <customFilters and="1">
            <customFilter operator="greaterThanOrEqual" val="45717"/>
            <customFilter operator="lessThanOrEqual" val="46053"/>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59623A-1BAC-4E94-A755-C1B698322EFA}" name="PivotTable1"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1:E16" firstHeaderRow="0" firstDataRow="1" firstDataCol="1"/>
  <pivotFields count="5">
    <pivotField axis="axisRow" numFmtId="165" showAll="0">
      <items count="21">
        <item x="0"/>
        <item x="1"/>
        <item x="2"/>
        <item x="3"/>
        <item x="4"/>
        <item x="5"/>
        <item x="6"/>
        <item x="7"/>
        <item x="8"/>
        <item x="9"/>
        <item x="10"/>
        <item x="11"/>
        <item x="12"/>
        <item x="13"/>
        <item x="14"/>
        <item x="15"/>
        <item x="16"/>
        <item x="17"/>
        <item x="18"/>
        <item x="19"/>
        <item t="default"/>
      </items>
    </pivotField>
    <pivotField dataField="1" numFmtId="166" showAll="0"/>
    <pivotField dataField="1" numFmtId="166" showAll="0"/>
    <pivotField dataField="1" numFmtId="166" showAll="0"/>
    <pivotField dataField="1" numFmtId="166" showAll="0"/>
  </pivotFields>
  <rowFields count="1">
    <field x="0"/>
  </rowFields>
  <rowItems count="15">
    <i>
      <x v="1"/>
    </i>
    <i>
      <x v="2"/>
    </i>
    <i>
      <x v="3"/>
    </i>
    <i>
      <x v="4"/>
    </i>
    <i>
      <x v="5"/>
    </i>
    <i>
      <x v="6"/>
    </i>
    <i>
      <x v="7"/>
    </i>
    <i>
      <x v="8"/>
    </i>
    <i>
      <x v="9"/>
    </i>
    <i>
      <x v="10"/>
    </i>
    <i>
      <x v="11"/>
    </i>
    <i>
      <x v="12"/>
    </i>
    <i>
      <x v="13"/>
    </i>
    <i>
      <x v="14"/>
    </i>
    <i t="grand">
      <x/>
    </i>
  </rowItems>
  <colFields count="1">
    <field x="-2"/>
  </colFields>
  <colItems count="4">
    <i>
      <x/>
    </i>
    <i i="1">
      <x v="1"/>
    </i>
    <i i="2">
      <x v="2"/>
    </i>
    <i i="3">
      <x v="3"/>
    </i>
  </colItems>
  <dataFields count="4">
    <dataField name=" Submission_1 Plan" fld="1" showDataAs="runTotal" baseField="0" baseItem="11" numFmtId="166"/>
    <dataField name=" Submission_1 Actuals" fld="2" showDataAs="runTotal" baseField="0" baseItem="0" numFmtId="166"/>
    <dataField name=" Approval Plan" fld="3" showDataAs="runTotal" baseField="0" baseItem="0" numFmtId="166"/>
    <dataField name=" Approval Actuals" fld="4" showDataAs="runTotal" baseField="0" baseItem="0" numFmtId="166"/>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filters count="1">
    <filter fld="0" type="dateBetween" evalOrder="-1" id="10" name="Rpt_Month">
      <autoFilter ref="A1">
        <filterColumn colId="0">
          <customFilters and="1">
            <customFilter operator="greaterThanOrEqual" val="45689"/>
            <customFilter operator="lessThanOrEqual" val="4611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3325BA1-DF57-4D6D-BCD7-A6A6F974533D}" name="PivotTable8"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4:D28" firstHeaderRow="0" firstDataRow="1" firstDataCol="1"/>
  <pivotFields count="17">
    <pivotField showAll="0"/>
    <pivotField axis="axisRow" showAll="0">
      <items count="4">
        <item x="2"/>
        <item x="0"/>
        <item x="1"/>
        <item t="default"/>
      </items>
    </pivotField>
    <pivotField showAll="0"/>
    <pivotField dataField="1" showAll="0"/>
    <pivotField showAll="0"/>
    <pivotField showAll="0"/>
    <pivotField showAll="0"/>
    <pivotField numFmtId="164" showAll="0"/>
    <pivotField showAll="0"/>
    <pivotField dataField="1" showAll="0"/>
    <pivotField showAll="0"/>
    <pivotField showAll="0"/>
    <pivotField numFmtId="164" showAll="0"/>
    <pivotField dataField="1" showAll="0"/>
    <pivotField numFmtId="164" showAll="0"/>
    <pivotField showAll="0"/>
    <pivotField showAll="0"/>
  </pivotFields>
  <rowFields count="1">
    <field x="1"/>
  </rowFields>
  <rowItems count="4">
    <i>
      <x/>
    </i>
    <i>
      <x v="1"/>
    </i>
    <i>
      <x v="2"/>
    </i>
    <i t="grand">
      <x/>
    </i>
  </rowItems>
  <colFields count="1">
    <field x="-2"/>
  </colFields>
  <colItems count="3">
    <i>
      <x/>
    </i>
    <i i="1">
      <x v="1"/>
    </i>
    <i i="2">
      <x v="2"/>
    </i>
  </colItems>
  <dataFields count="3">
    <dataField name="Count of DRG ID" fld="3" subtotal="count" baseField="0" baseItem="0"/>
    <dataField name="Count of Actual Submission to Client" fld="9" subtotal="count" baseField="0" baseItem="0"/>
    <dataField name="Count of Actual  Approval Date" fld="13" subtotal="count" baseField="0" baseItem="0"/>
  </dataFields>
  <chartFormats count="4">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 count="1" selected="0">
            <x v="2"/>
          </reference>
        </references>
      </pivotArea>
    </chartFormat>
    <chartFormat chart="4" format="2">
      <pivotArea type="data" outline="0" fieldPosition="0">
        <references count="2">
          <reference field="4294967294" count="1" selected="0">
            <x v="0"/>
          </reference>
          <reference field="1" count="1" selected="0">
            <x v="0"/>
          </reference>
        </references>
      </pivotArea>
    </chartFormat>
    <chartFormat chart="4" format="3">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397CC5-3098-48D4-AB2F-AD987E7F57DD}"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5" firstHeaderRow="1" firstDataRow="1" firstDataCol="1"/>
  <pivotFields count="17">
    <pivotField showAll="0"/>
    <pivotField axis="axisRow" showAll="0">
      <items count="4">
        <item x="2"/>
        <item x="0"/>
        <item x="1"/>
        <item t="default"/>
      </items>
    </pivotField>
    <pivotField showAll="0"/>
    <pivotField dataField="1" showAll="0"/>
    <pivotField showAll="0"/>
    <pivotField showAll="0"/>
    <pivotField showAll="0"/>
    <pivotField numFmtId="164" showAll="0"/>
    <pivotField showAll="0"/>
    <pivotField showAll="0"/>
    <pivotField showAll="0"/>
    <pivotField showAll="0"/>
    <pivotField numFmtId="164" showAll="0"/>
    <pivotField showAll="0"/>
    <pivotField numFmtId="164" showAll="0"/>
    <pivotField showAll="0"/>
    <pivotField showAll="0"/>
  </pivotFields>
  <rowFields count="1">
    <field x="1"/>
  </rowFields>
  <rowItems count="4">
    <i>
      <x/>
    </i>
    <i>
      <x v="1"/>
    </i>
    <i>
      <x v="2"/>
    </i>
    <i t="grand">
      <x/>
    </i>
  </rowItems>
  <colItems count="1">
    <i/>
  </colItems>
  <dataFields count="1">
    <dataField name="Count of DRG ID" fld="3" subtotal="count" baseField="0" baseItem="0"/>
  </dataFields>
  <chartFormats count="4">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 count="1" selected="0">
            <x v="2"/>
          </reference>
        </references>
      </pivotArea>
    </chartFormat>
    <chartFormat chart="4" format="2">
      <pivotArea type="data" outline="0" fieldPosition="0">
        <references count="2">
          <reference field="4294967294" count="1" selected="0">
            <x v="0"/>
          </reference>
          <reference field="1" count="1" selected="0">
            <x v="0"/>
          </reference>
        </references>
      </pivotArea>
    </chartFormat>
    <chartFormat chart="4" format="3">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DAFDE7-0502-438F-B404-C3410F3A17D3}" name="PivotTable1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71:D80" firstHeaderRow="0" firstDataRow="1" firstDataCol="1" rowPageCount="1" colPageCount="1"/>
  <pivotFields count="17">
    <pivotField showAll="0"/>
    <pivotField axis="axisPage" showAll="0">
      <items count="4">
        <item x="2"/>
        <item x="0"/>
        <item x="1"/>
        <item t="default"/>
      </items>
    </pivotField>
    <pivotField axis="axisRow" showAll="0">
      <items count="9">
        <item x="1"/>
        <item x="2"/>
        <item x="7"/>
        <item x="3"/>
        <item x="4"/>
        <item x="5"/>
        <item x="6"/>
        <item x="0"/>
        <item t="default"/>
      </items>
    </pivotField>
    <pivotField dataField="1" showAll="0"/>
    <pivotField showAll="0"/>
    <pivotField showAll="0"/>
    <pivotField showAll="0"/>
    <pivotField numFmtId="164" showAll="0"/>
    <pivotField showAll="0"/>
    <pivotField dataField="1" showAll="0"/>
    <pivotField showAll="0"/>
    <pivotField showAll="0"/>
    <pivotField numFmtId="164" showAll="0"/>
    <pivotField dataField="1" showAll="0"/>
    <pivotField numFmtId="164" showAll="0"/>
    <pivotField showAll="0"/>
    <pivotField showAll="0"/>
  </pivotFields>
  <rowFields count="1">
    <field x="2"/>
  </rowFields>
  <rowItems count="9">
    <i>
      <x/>
    </i>
    <i>
      <x v="1"/>
    </i>
    <i>
      <x v="2"/>
    </i>
    <i>
      <x v="3"/>
    </i>
    <i>
      <x v="4"/>
    </i>
    <i>
      <x v="5"/>
    </i>
    <i>
      <x v="6"/>
    </i>
    <i>
      <x v="7"/>
    </i>
    <i t="grand">
      <x/>
    </i>
  </rowItems>
  <colFields count="1">
    <field x="-2"/>
  </colFields>
  <colItems count="3">
    <i>
      <x/>
    </i>
    <i i="1">
      <x v="1"/>
    </i>
    <i i="2">
      <x v="2"/>
    </i>
  </colItems>
  <pageFields count="1">
    <pageField fld="1" hier="-1"/>
  </pageFields>
  <dataFields count="3">
    <dataField name="Total DRG ID" fld="3" subtotal="count" baseField="2" baseItem="0"/>
    <dataField name="Submitted" fld="9" subtotal="count" baseField="2" baseItem="0"/>
    <dataField name="Approved" fld="13" subtotal="count" baseField="2"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BC87132-F528-4955-9E8E-66322C8FFF4F}" name="PivotTable4" cacheId="1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D3" firstHeaderRow="1" firstDataRow="2" firstDataCol="1"/>
  <pivotFields count="10">
    <pivotField dataField="1" showAll="0"/>
    <pivotField axis="axisCol" showAll="0">
      <items count="5">
        <item x="2"/>
        <item x="0"/>
        <item x="1"/>
        <item h="1" x="3"/>
        <item t="default"/>
      </items>
    </pivotField>
    <pivotField showAll="0"/>
    <pivotField showAll="0"/>
    <pivotField showAll="0"/>
    <pivotField showAll="0"/>
    <pivotField showAll="0"/>
    <pivotField showAll="0"/>
    <pivotField showAll="0"/>
    <pivotField showAll="0"/>
  </pivotFields>
  <rowItems count="1">
    <i/>
  </rowItems>
  <colFields count="1">
    <field x="1"/>
  </colFields>
  <colItems count="3">
    <i>
      <x/>
    </i>
    <i>
      <x v="1"/>
    </i>
    <i>
      <x v="2"/>
    </i>
  </colItems>
  <dataFields count="1">
    <dataField name="Total DRG ID" fld="0" subtotal="count" baseField="1" baseItem="0"/>
  </dataFields>
  <formats count="14">
    <format dxfId="13">
      <pivotArea outline="0" collapsedLevelsAreSubtotals="1" fieldPosition="0"/>
    </format>
    <format dxfId="12">
      <pivotArea dataOnly="0" labelOnly="1" fieldPosition="0">
        <references count="1">
          <reference field="1" count="0"/>
        </references>
      </pivotArea>
    </format>
    <format dxfId="11">
      <pivotArea outline="0" collapsedLevelsAreSubtotals="1" fieldPosition="0"/>
    </format>
    <format dxfId="10">
      <pivotArea dataOnly="0" labelOnly="1" fieldPosition="0">
        <references count="1">
          <reference field="1" count="0"/>
        </references>
      </pivotArea>
    </format>
    <format dxfId="9">
      <pivotArea type="all" dataOnly="0" outline="0" fieldPosition="0"/>
    </format>
    <format dxfId="8">
      <pivotArea outline="0" collapsedLevelsAreSubtotals="1" fieldPosition="0"/>
    </format>
    <format dxfId="7">
      <pivotArea type="origin" dataOnly="0" labelOnly="1" outline="0" offset="A1" fieldPosition="0"/>
    </format>
    <format dxfId="6">
      <pivotArea dataOnly="0" labelOnly="1" outline="0" axis="axisValues" fieldPosition="0"/>
    </format>
    <format dxfId="5">
      <pivotArea field="1" type="button" dataOnly="0" labelOnly="1" outline="0" axis="axisCol" fieldPosition="0"/>
    </format>
    <format dxfId="4">
      <pivotArea type="topRight" dataOnly="0" labelOnly="1" outline="0" fieldPosition="0"/>
    </format>
    <format dxfId="3">
      <pivotArea type="origin" dataOnly="0" labelOnly="1" outline="0" offset="A2" fieldPosition="0"/>
    </format>
    <format dxfId="2">
      <pivotArea dataOnly="0" labelOnly="1" fieldPosition="0">
        <references count="1">
          <reference field="1" count="0"/>
        </references>
      </pivotArea>
    </format>
    <format dxfId="1">
      <pivotArea outline="0" collapsedLevelsAreSubtotals="1" fieldPosition="0"/>
    </format>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ipline" xr10:uid="{0BC8E04A-0D9F-467D-ADA2-1804A4E4C358}" sourceName="Discipline">
  <pivotTables>
    <pivotTable tabId="11" name="PivotTable4"/>
  </pivotTables>
  <data>
    <tabular pivotCacheId="2053257070">
      <items count="3">
        <i x="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ipline1" xr10:uid="{5827A813-159F-4E6F-836D-D2B31E6D7134}" sourceName="Discipline">
  <pivotTables>
    <pivotTable tabId="13" name="PivotTable16"/>
  </pivotTables>
  <data>
    <tabular pivotCacheId="2053257070">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ipline" xr10:uid="{F8E1D2ED-E95D-4403-8650-9D2BDD42EE76}" cache="Slicer_Discipline" caption="Disciplin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ipline 1" xr10:uid="{FEC9AE3D-B078-4140-BE4A-D079C9490B12}" cache="Slicer_Discipline1" caption="Disciplin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pt_Week" xr10:uid="{C54329D0-E440-4416-8F76-4FA497FE18F5}" sourceName="Rpt_Week">
  <pivotTables>
    <pivotTable tabId="8" name="PivotTable1"/>
  </pivotTables>
  <state minimalRefreshVersion="6" lastRefreshVersion="6" pivotCacheId="2107340054" filterType="dateBetween">
    <selection startDate="2025-03-01T00:00:00" endDate="2026-02-28T00:00:00"/>
    <bounds startDate="2025-01-01T00:00:00" endDate="2027-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pt_Week1" xr10:uid="{3C8EF744-B0CC-4C7D-9A0F-567418F22487}" sourceName="Rpt_Week">
  <pivotTables>
    <pivotTable tabId="8" name="PivotTable2"/>
  </pivotTables>
  <state minimalRefreshVersion="6" lastRefreshVersion="6" pivotCacheId="1860465718" filterType="dateBetween">
    <selection startDate="2025-02-01T00:00:00" endDate="2026-05-31T00:00:00"/>
    <bounds startDate="2025-01-01T00:00:00" endDate="2027-01-01T00:00:00"/>
  </state>
</timelineCacheDefinition>
</file>

<file path=xl/timelineCaches/timelineCache3.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pt_Week2" xr10:uid="{9ACAB572-0B73-488C-8DCD-283406D0FFE0}" sourceName="Rpt_Week">
  <pivotTables>
    <pivotTable tabId="8" name="PivotTable3"/>
  </pivotTables>
  <state minimalRefreshVersion="6" lastRefreshVersion="6" pivotCacheId="1133399111" filterType="dateBetween">
    <selection startDate="2025-05-01T00:00:00" endDate="2026-04-30T00:00:00"/>
    <bounds startDate="2025-01-01T00:00:00" endDate="2027-01-01T00:00:00"/>
  </state>
</timelineCacheDefinition>
</file>

<file path=xl/timelineCaches/timelineCache4.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pt_Month" xr10:uid="{47D58356-DF70-4EA3-8DB9-4034957645CF}" sourceName="Rpt_Month">
  <pivotTables>
    <pivotTable tabId="12" name="PivotTable1"/>
  </pivotTables>
  <state minimalRefreshVersion="6" lastRefreshVersion="6" pivotCacheId="2099493827" filterType="dateBetween">
    <selection startDate="2025-02-01T00:00:00" endDate="2026-03-31T00:00:00"/>
    <bounds startDate="2025-01-01T00:00:00" endDate="2027-01-01T00:00:00"/>
  </state>
</timelineCacheDefinition>
</file>

<file path=xl/timelineCaches/timelineCache5.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pt_Month1" xr10:uid="{B15F60D7-028C-48F4-81CE-FB176F044CCC}" sourceName="Rpt_Month">
  <pivotTables>
    <pivotTable tabId="12" name="PivotTable2"/>
  </pivotTables>
  <state minimalRefreshVersion="6" lastRefreshVersion="6" pivotCacheId="735949004" filterType="dateBetween">
    <selection startDate="2025-03-01T00:00:00" endDate="2026-01-31T00:00:00"/>
    <bounds startDate="2025-01-01T00:00:00" endDate="2027-01-01T00:00:00"/>
  </state>
</timelineCacheDefinition>
</file>

<file path=xl/timelineCaches/timelineCache6.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pt_Month2" xr10:uid="{6CDF7BA7-E6ED-47F1-A23D-445B31BE9A66}" sourceName="Rpt_Month">
  <pivotTables>
    <pivotTable tabId="12" name="PivotTable3"/>
  </pivotTables>
  <state minimalRefreshVersion="6" lastRefreshVersion="6" pivotCacheId="470791639" filterType="dateBetween">
    <selection startDate="2025-02-01T00:00:00" endDate="2025-12-31T00:00:00"/>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pt_Week" xr10:uid="{46F0CEBE-31EC-4BD5-BD66-86648B415EA1}" cache="NativeTimeline_Rpt_Week" caption="Rpt_Week" level="2" selectionLevel="2" scrollPosition="2025-02-17T00:00:00"/>
  <timeline name="Rpt_Week 1" xr10:uid="{8A75782C-0FCF-41E4-9DCD-7676481295BC}" cache="NativeTimeline_Rpt_Week1" caption="Rpt_Week" level="2" selectionLevel="2" scrollPosition="2025-01-01T00:00:00"/>
  <timeline name="Rpt_Week 2" xr10:uid="{87E72A06-BD43-4A8A-A757-77BE24F6DF93}" cache="NativeTimeline_Rpt_Week2" caption="Rpt_Week" level="2" selectionLevel="2" scrollPosition="2025-03-14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pt_Month" xr10:uid="{DA10183A-F6D7-4B6F-AEC8-BD5D3C1745E6}" cache="NativeTimeline_Rpt_Month" caption="Rpt_Month" level="2" selectionLevel="2" scrollPosition="2025-01-01T00:00:00"/>
  <timeline name="Rpt_Month 1" xr10:uid="{68009196-0F20-48E2-85B7-C83C25862844}" cache="NativeTimeline_Rpt_Month1" caption="Rpt_Month" level="2" selectionLevel="2" scrollPosition="2025-03-13T00:00:00"/>
  <timeline name="Rpt_Month 2" xr10:uid="{D872F542-1311-4542-B6C7-78EBD388A4F2}" cache="NativeTimeline_Rpt_Month2" caption="Rpt_Month" level="2" selectionLevel="2" scrollPosition="2025-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microsoft.com/office/2011/relationships/timeline" Target="../timelines/timeline1.x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11/relationships/timeline" Target="../timelines/timeline2.x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microsoft.com/office/2007/relationships/slicer" Target="../slicers/slicer2.xml"/><Relationship Id="rId4"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78248-568E-4FB6-8C3F-02DB983E5E83}">
  <dimension ref="A1:D22"/>
  <sheetViews>
    <sheetView topLeftCell="G10" workbookViewId="0">
      <selection activeCell="Y17" sqref="Y17"/>
    </sheetView>
  </sheetViews>
  <sheetFormatPr defaultRowHeight="14.5"/>
  <cols>
    <col min="1" max="1" width="29.6328125" hidden="1" customWidth="1"/>
    <col min="2" max="2" width="9.26953125" hidden="1" customWidth="1"/>
    <col min="3" max="3" width="9.54296875" hidden="1" customWidth="1"/>
    <col min="4" max="4" width="9" hidden="1" customWidth="1"/>
    <col min="5" max="6" width="0" hidden="1" customWidth="1"/>
  </cols>
  <sheetData>
    <row r="1" spans="1:4">
      <c r="A1" s="25" t="s">
        <v>1116</v>
      </c>
      <c r="B1" t="s">
        <v>1122</v>
      </c>
      <c r="C1" t="s">
        <v>1123</v>
      </c>
      <c r="D1" t="s">
        <v>1124</v>
      </c>
    </row>
    <row r="2" spans="1:4">
      <c r="A2" s="27" t="s">
        <v>141</v>
      </c>
      <c r="B2">
        <v>1</v>
      </c>
      <c r="C2">
        <v>1</v>
      </c>
      <c r="D2">
        <v>1</v>
      </c>
    </row>
    <row r="3" spans="1:4">
      <c r="A3" s="27" t="s">
        <v>18</v>
      </c>
      <c r="B3">
        <v>8</v>
      </c>
      <c r="C3">
        <v>8</v>
      </c>
      <c r="D3">
        <v>8</v>
      </c>
    </row>
    <row r="4" spans="1:4">
      <c r="A4" s="27" t="s">
        <v>97</v>
      </c>
      <c r="B4">
        <v>12</v>
      </c>
      <c r="C4">
        <v>12</v>
      </c>
      <c r="D4">
        <v>11</v>
      </c>
    </row>
    <row r="5" spans="1:4">
      <c r="A5" s="27" t="s">
        <v>928</v>
      </c>
      <c r="B5">
        <v>20</v>
      </c>
      <c r="C5">
        <v>19</v>
      </c>
      <c r="D5">
        <v>19</v>
      </c>
    </row>
    <row r="6" spans="1:4">
      <c r="A6" s="27" t="s">
        <v>64</v>
      </c>
      <c r="B6">
        <v>11</v>
      </c>
      <c r="C6">
        <v>11</v>
      </c>
      <c r="D6">
        <v>11</v>
      </c>
    </row>
    <row r="7" spans="1:4">
      <c r="A7" s="27" t="s">
        <v>1058</v>
      </c>
      <c r="B7">
        <v>24</v>
      </c>
      <c r="C7">
        <v>18</v>
      </c>
      <c r="D7">
        <v>18</v>
      </c>
    </row>
    <row r="8" spans="1:4">
      <c r="A8" s="27" t="s">
        <v>86</v>
      </c>
      <c r="B8">
        <v>5</v>
      </c>
      <c r="C8">
        <v>5</v>
      </c>
      <c r="D8">
        <v>5</v>
      </c>
    </row>
    <row r="9" spans="1:4">
      <c r="A9" s="27" t="s">
        <v>49</v>
      </c>
      <c r="B9">
        <v>7</v>
      </c>
      <c r="C9">
        <v>7</v>
      </c>
      <c r="D9">
        <v>7</v>
      </c>
    </row>
    <row r="10" spans="1:4">
      <c r="A10" s="27" t="s">
        <v>29</v>
      </c>
      <c r="B10">
        <v>7</v>
      </c>
      <c r="C10">
        <v>7</v>
      </c>
      <c r="D10">
        <v>7</v>
      </c>
    </row>
    <row r="11" spans="1:4">
      <c r="A11" s="27" t="s">
        <v>44</v>
      </c>
      <c r="B11">
        <v>7</v>
      </c>
      <c r="C11">
        <v>7</v>
      </c>
      <c r="D11">
        <v>7</v>
      </c>
    </row>
    <row r="12" spans="1:4">
      <c r="A12" s="27" t="s">
        <v>24</v>
      </c>
      <c r="B12">
        <v>7</v>
      </c>
      <c r="C12">
        <v>7</v>
      </c>
      <c r="D12">
        <v>7</v>
      </c>
    </row>
    <row r="13" spans="1:4">
      <c r="A13" s="27" t="s">
        <v>69</v>
      </c>
      <c r="B13">
        <v>10</v>
      </c>
      <c r="C13">
        <v>10</v>
      </c>
      <c r="D13">
        <v>10</v>
      </c>
    </row>
    <row r="14" spans="1:4">
      <c r="A14" s="27" t="s">
        <v>1038</v>
      </c>
      <c r="B14">
        <v>9</v>
      </c>
      <c r="C14">
        <v>9</v>
      </c>
      <c r="D14">
        <v>9</v>
      </c>
    </row>
    <row r="15" spans="1:4">
      <c r="A15" s="27" t="s">
        <v>935</v>
      </c>
      <c r="B15">
        <v>7</v>
      </c>
      <c r="C15">
        <v>7</v>
      </c>
      <c r="D15">
        <v>7</v>
      </c>
    </row>
    <row r="16" spans="1:4">
      <c r="A16" s="27" t="s">
        <v>34</v>
      </c>
      <c r="B16">
        <v>7</v>
      </c>
      <c r="C16">
        <v>7</v>
      </c>
      <c r="D16">
        <v>7</v>
      </c>
    </row>
    <row r="17" spans="1:4">
      <c r="A17" s="27" t="s">
        <v>59</v>
      </c>
      <c r="B17">
        <v>7</v>
      </c>
      <c r="C17">
        <v>7</v>
      </c>
      <c r="D17">
        <v>7</v>
      </c>
    </row>
    <row r="18" spans="1:4">
      <c r="A18" s="27" t="s">
        <v>54</v>
      </c>
      <c r="B18">
        <v>7</v>
      </c>
      <c r="C18">
        <v>7</v>
      </c>
      <c r="D18">
        <v>7</v>
      </c>
    </row>
    <row r="19" spans="1:4">
      <c r="A19" s="27" t="s">
        <v>74</v>
      </c>
      <c r="B19">
        <v>16</v>
      </c>
      <c r="C19">
        <v>16</v>
      </c>
      <c r="D19">
        <v>16</v>
      </c>
    </row>
    <row r="20" spans="1:4">
      <c r="A20" s="27" t="s">
        <v>79</v>
      </c>
      <c r="B20">
        <v>4</v>
      </c>
      <c r="C20">
        <v>4</v>
      </c>
      <c r="D20">
        <v>4</v>
      </c>
    </row>
    <row r="21" spans="1:4">
      <c r="A21" s="27" t="s">
        <v>39</v>
      </c>
      <c r="B21">
        <v>7</v>
      </c>
      <c r="C21">
        <v>7</v>
      </c>
      <c r="D21">
        <v>7</v>
      </c>
    </row>
    <row r="22" spans="1:4">
      <c r="A22" s="27" t="s">
        <v>1117</v>
      </c>
      <c r="B22">
        <v>183</v>
      </c>
      <c r="C22">
        <v>176</v>
      </c>
      <c r="D22">
        <v>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D38F2-2606-457D-B11F-59C4F36FFAAB}">
  <dimension ref="A9:BM80"/>
  <sheetViews>
    <sheetView topLeftCell="F10" zoomScale="99" zoomScaleNormal="99" workbookViewId="0">
      <selection activeCell="M1" sqref="M1"/>
    </sheetView>
  </sheetViews>
  <sheetFormatPr defaultRowHeight="14.5"/>
  <cols>
    <col min="1" max="1" width="12.453125" hidden="1" customWidth="1"/>
    <col min="2" max="2" width="17.1796875" hidden="1" customWidth="1"/>
    <col min="3" max="3" width="19.6328125" hidden="1" customWidth="1"/>
    <col min="4" max="4" width="13.08984375" hidden="1" customWidth="1"/>
    <col min="5" max="5" width="15.6328125" hidden="1" customWidth="1"/>
    <col min="6" max="11" width="4.81640625" bestFit="1" customWidth="1"/>
    <col min="12" max="12" width="5.81640625" bestFit="1" customWidth="1"/>
    <col min="13" max="13" width="10.7265625" bestFit="1" customWidth="1"/>
    <col min="14" max="14" width="4.81640625" bestFit="1" customWidth="1"/>
    <col min="15" max="15" width="9.54296875" bestFit="1" customWidth="1"/>
    <col min="16" max="16" width="4.81640625" bestFit="1" customWidth="1"/>
    <col min="17" max="17" width="9.54296875" bestFit="1" customWidth="1"/>
    <col min="18" max="19" width="4.81640625" bestFit="1" customWidth="1"/>
    <col min="20" max="20" width="9.54296875" bestFit="1" customWidth="1"/>
    <col min="21" max="23" width="4.81640625" bestFit="1" customWidth="1"/>
    <col min="24" max="24" width="9.54296875" bestFit="1" customWidth="1"/>
    <col min="25" max="25" width="4.81640625" bestFit="1" customWidth="1"/>
    <col min="26" max="26" width="9.54296875" bestFit="1" customWidth="1"/>
    <col min="27" max="29" width="4.81640625" bestFit="1" customWidth="1"/>
    <col min="30" max="30" width="9.54296875" bestFit="1" customWidth="1"/>
    <col min="31" max="32" width="4.81640625" hidden="1" customWidth="1"/>
    <col min="33" max="33" width="9.54296875" hidden="1" customWidth="1"/>
    <col min="34" max="34" width="4.81640625" hidden="1" customWidth="1"/>
    <col min="35" max="35" width="12.453125" hidden="1" customWidth="1"/>
    <col min="36" max="36" width="17.1796875" hidden="1" customWidth="1"/>
    <col min="37" max="37" width="19.6328125" hidden="1" customWidth="1"/>
    <col min="38" max="38" width="13.08984375" hidden="1" customWidth="1"/>
    <col min="39" max="39" width="15.6328125" hidden="1" customWidth="1"/>
    <col min="40" max="40" width="0" hidden="1" customWidth="1"/>
    <col min="59" max="60" width="0" hidden="1" customWidth="1"/>
    <col min="61" max="61" width="12.453125" hidden="1" customWidth="1"/>
    <col min="62" max="62" width="17.1796875" hidden="1" customWidth="1"/>
    <col min="63" max="63" width="19.6328125" hidden="1" customWidth="1"/>
    <col min="64" max="64" width="13.08984375" hidden="1" customWidth="1"/>
    <col min="65" max="65" width="15.6328125" hidden="1" customWidth="1"/>
    <col min="66" max="67" width="0" hidden="1" customWidth="1"/>
  </cols>
  <sheetData>
    <row r="9" spans="1:65">
      <c r="BI9" s="25" t="s">
        <v>1116</v>
      </c>
      <c r="BJ9" t="s">
        <v>1118</v>
      </c>
      <c r="BK9" t="s">
        <v>1119</v>
      </c>
      <c r="BL9" t="s">
        <v>1120</v>
      </c>
      <c r="BM9" t="s">
        <v>1121</v>
      </c>
    </row>
    <row r="10" spans="1:65">
      <c r="A10" s="25" t="s">
        <v>1116</v>
      </c>
      <c r="B10" t="s">
        <v>1118</v>
      </c>
      <c r="C10" t="s">
        <v>1119</v>
      </c>
      <c r="D10" t="s">
        <v>1120</v>
      </c>
      <c r="E10" t="s">
        <v>1121</v>
      </c>
      <c r="AI10" s="25" t="s">
        <v>1116</v>
      </c>
      <c r="AJ10" t="s">
        <v>1118</v>
      </c>
      <c r="AK10" t="s">
        <v>1119</v>
      </c>
      <c r="AL10" t="s">
        <v>1120</v>
      </c>
      <c r="AM10" t="s">
        <v>1121</v>
      </c>
      <c r="BI10" s="26">
        <v>45782</v>
      </c>
      <c r="BJ10" s="28">
        <v>0</v>
      </c>
      <c r="BK10" s="28">
        <v>0</v>
      </c>
      <c r="BL10" s="28">
        <v>4.2372881355932203E-3</v>
      </c>
      <c r="BM10" s="28">
        <v>0</v>
      </c>
    </row>
    <row r="11" spans="1:65">
      <c r="A11" s="26">
        <v>45719</v>
      </c>
      <c r="B11" s="28">
        <v>7.650273224043716E-2</v>
      </c>
      <c r="C11" s="28">
        <v>8.1967213114754092E-2</v>
      </c>
      <c r="D11" s="28">
        <v>0</v>
      </c>
      <c r="E11" s="28">
        <v>0</v>
      </c>
      <c r="AI11" s="26">
        <v>45691</v>
      </c>
      <c r="AJ11" s="28">
        <v>0</v>
      </c>
      <c r="AK11" s="28">
        <v>0</v>
      </c>
      <c r="AL11" s="28">
        <v>0</v>
      </c>
      <c r="AM11" s="28">
        <v>0</v>
      </c>
      <c r="BI11" s="26">
        <v>45789</v>
      </c>
      <c r="BJ11" s="28">
        <v>6.3559322033898302E-2</v>
      </c>
      <c r="BK11" s="28">
        <v>0</v>
      </c>
      <c r="BL11" s="28">
        <v>8.4745762711864406E-3</v>
      </c>
      <c r="BM11" s="28">
        <v>0</v>
      </c>
    </row>
    <row r="12" spans="1:65">
      <c r="A12" s="26">
        <v>45726</v>
      </c>
      <c r="B12" s="28">
        <v>9.2896174863387984E-2</v>
      </c>
      <c r="C12" s="28">
        <v>0.10382513661202185</v>
      </c>
      <c r="D12" s="28">
        <v>0</v>
      </c>
      <c r="E12" s="28">
        <v>2.185792349726776E-2</v>
      </c>
      <c r="AI12" s="26">
        <v>45698</v>
      </c>
      <c r="AJ12" s="28">
        <v>0</v>
      </c>
      <c r="AK12" s="28">
        <v>0</v>
      </c>
      <c r="AL12" s="28">
        <v>0</v>
      </c>
      <c r="AM12" s="28">
        <v>0</v>
      </c>
      <c r="BI12" s="26">
        <v>45796</v>
      </c>
      <c r="BJ12" s="28">
        <v>6.3559322033898302E-2</v>
      </c>
      <c r="BK12" s="28">
        <v>5.9322033898305086E-2</v>
      </c>
      <c r="BL12" s="28">
        <v>8.4745762711864406E-3</v>
      </c>
      <c r="BM12" s="28">
        <v>0</v>
      </c>
    </row>
    <row r="13" spans="1:65">
      <c r="A13" s="26">
        <v>45733</v>
      </c>
      <c r="B13" s="28">
        <v>9.2896174863387984E-2</v>
      </c>
      <c r="C13" s="28">
        <v>0.10382513661202185</v>
      </c>
      <c r="D13" s="28">
        <v>0</v>
      </c>
      <c r="E13" s="28">
        <v>2.185792349726776E-2</v>
      </c>
      <c r="AI13" s="26">
        <v>45705</v>
      </c>
      <c r="AJ13" s="28">
        <v>0</v>
      </c>
      <c r="AK13" s="28">
        <v>0</v>
      </c>
      <c r="AL13" s="28">
        <v>0</v>
      </c>
      <c r="AM13" s="28">
        <v>0</v>
      </c>
      <c r="BI13" s="26">
        <v>45803</v>
      </c>
      <c r="BJ13" s="28">
        <v>0.11864406779661016</v>
      </c>
      <c r="BK13" s="28">
        <v>5.9322033898305086E-2</v>
      </c>
      <c r="BL13" s="28">
        <v>0.11864406779661017</v>
      </c>
      <c r="BM13" s="28">
        <v>8.050847457627118E-2</v>
      </c>
    </row>
    <row r="14" spans="1:65">
      <c r="A14" s="26">
        <v>45740</v>
      </c>
      <c r="B14" s="28">
        <v>0.11475409836065574</v>
      </c>
      <c r="C14" s="28">
        <v>0.14754098360655737</v>
      </c>
      <c r="D14" s="28">
        <v>7.1038251366120214E-2</v>
      </c>
      <c r="E14" s="28">
        <v>8.1967213114754092E-2</v>
      </c>
      <c r="AI14" s="26">
        <v>45712</v>
      </c>
      <c r="AJ14" s="28">
        <v>0</v>
      </c>
      <c r="AK14" s="28">
        <v>0</v>
      </c>
      <c r="AL14" s="28">
        <v>0</v>
      </c>
      <c r="AM14" s="28">
        <v>0</v>
      </c>
      <c r="BI14" s="26">
        <v>45810</v>
      </c>
      <c r="BJ14" s="28">
        <v>0.11864406779661016</v>
      </c>
      <c r="BK14" s="28">
        <v>5.9322033898305086E-2</v>
      </c>
      <c r="BL14" s="28">
        <v>0.15254237288135594</v>
      </c>
      <c r="BM14" s="28">
        <v>0.19915254237288135</v>
      </c>
    </row>
    <row r="15" spans="1:65">
      <c r="A15" s="26">
        <v>45747</v>
      </c>
      <c r="B15" s="28">
        <v>0.22404371584699453</v>
      </c>
      <c r="C15" s="28">
        <v>0.20765027322404372</v>
      </c>
      <c r="D15" s="28">
        <v>8.1967213114754092E-2</v>
      </c>
      <c r="E15" s="28">
        <v>8.1967213114754092E-2</v>
      </c>
      <c r="AI15" s="26">
        <v>45719</v>
      </c>
      <c r="AJ15" s="28">
        <v>0.13821138211382114</v>
      </c>
      <c r="AK15" s="28">
        <v>0.13821138211382114</v>
      </c>
      <c r="AL15" s="28">
        <v>0</v>
      </c>
      <c r="AM15" s="28">
        <v>0</v>
      </c>
      <c r="BI15" s="26">
        <v>45817</v>
      </c>
      <c r="BJ15" s="28">
        <v>0.1864406779661017</v>
      </c>
      <c r="BK15" s="28">
        <v>5.9322033898305086E-2</v>
      </c>
      <c r="BL15" s="28">
        <v>0.19915254237288138</v>
      </c>
      <c r="BM15" s="28">
        <v>0.19915254237288135</v>
      </c>
    </row>
    <row r="16" spans="1:65">
      <c r="A16" s="26">
        <v>45754</v>
      </c>
      <c r="B16" s="28">
        <v>0.22950819672131148</v>
      </c>
      <c r="C16" s="28">
        <v>0.25136612021857924</v>
      </c>
      <c r="D16" s="28">
        <v>0.10382513661202185</v>
      </c>
      <c r="E16" s="28">
        <v>8.1967213114754092E-2</v>
      </c>
      <c r="AI16" s="26">
        <v>45726</v>
      </c>
      <c r="AJ16" s="28">
        <v>0.13821138211382114</v>
      </c>
      <c r="AK16" s="28">
        <v>0.14634146341463414</v>
      </c>
      <c r="AL16" s="28">
        <v>0</v>
      </c>
      <c r="AM16" s="28">
        <v>0</v>
      </c>
      <c r="BI16" s="26">
        <v>45824</v>
      </c>
      <c r="BJ16" s="28">
        <v>0.19915254237288135</v>
      </c>
      <c r="BK16" s="28">
        <v>0.11440677966101695</v>
      </c>
      <c r="BL16" s="28">
        <v>0.20762711864406783</v>
      </c>
      <c r="BM16" s="28">
        <v>0.19915254237288135</v>
      </c>
    </row>
    <row r="17" spans="1:65">
      <c r="A17" s="26">
        <v>45761</v>
      </c>
      <c r="B17" s="28">
        <v>0.22950819672131148</v>
      </c>
      <c r="C17" s="28">
        <v>0.25683060109289618</v>
      </c>
      <c r="D17" s="28">
        <v>0.19125683060109289</v>
      </c>
      <c r="E17" s="28">
        <v>8.1967213114754092E-2</v>
      </c>
      <c r="AI17" s="26">
        <v>45733</v>
      </c>
      <c r="AJ17" s="28">
        <v>0.13821138211382114</v>
      </c>
      <c r="AK17" s="28">
        <v>0.14634146341463414</v>
      </c>
      <c r="AL17" s="28">
        <v>0</v>
      </c>
      <c r="AM17" s="28">
        <v>0</v>
      </c>
      <c r="BI17" s="26">
        <v>45831</v>
      </c>
      <c r="BJ17" s="28">
        <v>0.31779661016949151</v>
      </c>
      <c r="BK17" s="28">
        <v>0.11440677966101695</v>
      </c>
      <c r="BL17" s="28">
        <v>0.22033898305084748</v>
      </c>
      <c r="BM17" s="28">
        <v>0.19915254237288135</v>
      </c>
    </row>
    <row r="18" spans="1:65">
      <c r="A18" s="26">
        <v>45768</v>
      </c>
      <c r="B18" s="28">
        <v>0.22950819672131148</v>
      </c>
      <c r="C18" s="28">
        <v>0.25683060109289618</v>
      </c>
      <c r="D18" s="28">
        <v>0.21311475409836064</v>
      </c>
      <c r="E18" s="28">
        <v>9.8360655737704916E-2</v>
      </c>
      <c r="AI18" s="26">
        <v>45740</v>
      </c>
      <c r="AJ18" s="28">
        <v>0.13821138211382114</v>
      </c>
      <c r="AK18" s="28">
        <v>0.14634146341463414</v>
      </c>
      <c r="AL18" s="28">
        <v>2.4390243902439025E-2</v>
      </c>
      <c r="AM18" s="28">
        <v>0.13821138211382114</v>
      </c>
      <c r="BI18" s="26">
        <v>45838</v>
      </c>
      <c r="BJ18" s="28">
        <v>0.31779661016949151</v>
      </c>
      <c r="BK18" s="28">
        <v>0.17372881355932204</v>
      </c>
      <c r="BL18" s="28">
        <v>0.27542372881355937</v>
      </c>
      <c r="BM18" s="28">
        <v>0.19915254237288135</v>
      </c>
    </row>
    <row r="19" spans="1:65">
      <c r="A19" s="26">
        <v>45775</v>
      </c>
      <c r="B19" s="28">
        <v>0.22950819672131148</v>
      </c>
      <c r="C19" s="28">
        <v>0.26229508196721313</v>
      </c>
      <c r="D19" s="28">
        <v>0.2349726775956284</v>
      </c>
      <c r="E19" s="28">
        <v>9.8360655737704916E-2</v>
      </c>
      <c r="AI19" s="26">
        <v>45747</v>
      </c>
      <c r="AJ19" s="28">
        <v>0.17886178861788618</v>
      </c>
      <c r="AK19" s="28">
        <v>0.17886178861788618</v>
      </c>
      <c r="AL19" s="28">
        <v>0.13821138211382114</v>
      </c>
      <c r="AM19" s="28">
        <v>0.13821138211382114</v>
      </c>
      <c r="BI19" s="26">
        <v>45845</v>
      </c>
      <c r="BJ19" s="28">
        <v>0.40254237288135591</v>
      </c>
      <c r="BK19" s="28">
        <v>0.23305084745762714</v>
      </c>
      <c r="BL19" s="28">
        <v>0.27966101694915257</v>
      </c>
      <c r="BM19" s="28">
        <v>0.25847457627118642</v>
      </c>
    </row>
    <row r="20" spans="1:65">
      <c r="A20" s="26">
        <v>45782</v>
      </c>
      <c r="B20" s="28">
        <v>0.22950819672131148</v>
      </c>
      <c r="C20" s="28">
        <v>0.26229508196721313</v>
      </c>
      <c r="D20" s="28">
        <v>0.24043715846994534</v>
      </c>
      <c r="E20" s="28">
        <v>9.8360655737704916E-2</v>
      </c>
      <c r="AI20" s="26">
        <v>45754</v>
      </c>
      <c r="AJ20" s="28">
        <v>0.23577235772357724</v>
      </c>
      <c r="AK20" s="28">
        <v>0.22764227642276424</v>
      </c>
      <c r="AL20" s="28">
        <v>0.13821138211382114</v>
      </c>
      <c r="AM20" s="28">
        <v>0.13821138211382114</v>
      </c>
      <c r="BI20" s="26">
        <v>45852</v>
      </c>
      <c r="BJ20" s="28">
        <v>0.4152542372881356</v>
      </c>
      <c r="BK20" s="28">
        <v>0.23305084745762714</v>
      </c>
      <c r="BL20" s="28">
        <v>0.39406779661016955</v>
      </c>
      <c r="BM20" s="28">
        <v>0.25847457627118642</v>
      </c>
    </row>
    <row r="21" spans="1:65">
      <c r="A21" s="26">
        <v>45789</v>
      </c>
      <c r="B21" s="28">
        <v>0.26775956284153007</v>
      </c>
      <c r="C21" s="28">
        <v>0.26229508196721313</v>
      </c>
      <c r="D21" s="28">
        <v>0.24043715846994534</v>
      </c>
      <c r="E21" s="28">
        <v>0.10382513661202186</v>
      </c>
      <c r="AI21" s="26">
        <v>45761</v>
      </c>
      <c r="AJ21" s="28">
        <v>0.25203252032520324</v>
      </c>
      <c r="AK21" s="28">
        <v>0.26016260162601629</v>
      </c>
      <c r="AL21" s="28">
        <v>0.13821138211382114</v>
      </c>
      <c r="AM21" s="28">
        <v>0.13821138211382114</v>
      </c>
      <c r="BI21" s="26">
        <v>45859</v>
      </c>
      <c r="BJ21" s="28">
        <v>0.42796610169491528</v>
      </c>
      <c r="BK21" s="28">
        <v>0.24152542372881358</v>
      </c>
      <c r="BL21" s="28">
        <v>0.39406779661016955</v>
      </c>
      <c r="BM21" s="28">
        <v>0.25847457627118642</v>
      </c>
    </row>
    <row r="22" spans="1:65">
      <c r="A22" s="26">
        <v>45796</v>
      </c>
      <c r="B22" s="28">
        <v>0.26775956284153007</v>
      </c>
      <c r="C22" s="28">
        <v>0.27322404371584702</v>
      </c>
      <c r="D22" s="28">
        <v>0.24043715846994534</v>
      </c>
      <c r="E22" s="28">
        <v>0.10382513661202186</v>
      </c>
      <c r="AI22" s="26">
        <v>45768</v>
      </c>
      <c r="AJ22" s="28">
        <v>0.25203252032520324</v>
      </c>
      <c r="AK22" s="28">
        <v>0.26016260162601629</v>
      </c>
      <c r="AL22" s="28">
        <v>0.13821138211382114</v>
      </c>
      <c r="AM22" s="28">
        <v>0.13821138211382114</v>
      </c>
      <c r="BI22" s="26">
        <v>45866</v>
      </c>
      <c r="BJ22" s="28">
        <v>0.42796610169491528</v>
      </c>
      <c r="BK22" s="28">
        <v>0.24152542372881358</v>
      </c>
      <c r="BL22" s="28">
        <v>0.50423728813559332</v>
      </c>
      <c r="BM22" s="28">
        <v>0.25847457627118642</v>
      </c>
    </row>
    <row r="23" spans="1:65">
      <c r="A23" s="26">
        <v>45803</v>
      </c>
      <c r="B23" s="28">
        <v>0.31693989071038253</v>
      </c>
      <c r="C23" s="28">
        <v>0.27322404371584702</v>
      </c>
      <c r="D23" s="28">
        <v>0.27868852459016391</v>
      </c>
      <c r="E23" s="28">
        <v>0.15300546448087432</v>
      </c>
      <c r="AI23" s="26">
        <v>45775</v>
      </c>
      <c r="AJ23" s="28">
        <v>0.25203252032520324</v>
      </c>
      <c r="AK23" s="28">
        <v>0.26016260162601629</v>
      </c>
      <c r="AL23" s="28">
        <v>0.17886178861788618</v>
      </c>
      <c r="AM23" s="28">
        <v>0.15447154471544716</v>
      </c>
      <c r="BI23" s="26">
        <v>45873</v>
      </c>
      <c r="BJ23" s="28">
        <v>0.42796610169491528</v>
      </c>
      <c r="BK23" s="28">
        <v>0.24152542372881358</v>
      </c>
      <c r="BL23" s="28">
        <v>0.50423728813559332</v>
      </c>
      <c r="BM23" s="28">
        <v>0.25847457627118642</v>
      </c>
    </row>
    <row r="24" spans="1:65">
      <c r="A24" s="26">
        <v>45810</v>
      </c>
      <c r="B24" s="28">
        <v>0.31693989071038253</v>
      </c>
      <c r="C24" s="28">
        <v>0.27322404371584702</v>
      </c>
      <c r="D24" s="28">
        <v>0.27868852459016391</v>
      </c>
      <c r="E24" s="28">
        <v>0.22950819672131148</v>
      </c>
      <c r="AI24" s="26">
        <v>45782</v>
      </c>
      <c r="AJ24" s="28">
        <v>0.30081300813008127</v>
      </c>
      <c r="AK24" s="28">
        <v>0.26016260162601629</v>
      </c>
      <c r="AL24" s="28">
        <v>0.23577235772357724</v>
      </c>
      <c r="AM24" s="28">
        <v>0.15447154471544716</v>
      </c>
      <c r="BI24" s="26">
        <v>45880</v>
      </c>
      <c r="BJ24" s="28">
        <v>0.42796610169491528</v>
      </c>
      <c r="BK24" s="28">
        <v>0.24152542372881358</v>
      </c>
      <c r="BL24" s="28">
        <v>0.61016949152542388</v>
      </c>
      <c r="BM24" s="28">
        <v>0.25847457627118642</v>
      </c>
    </row>
    <row r="25" spans="1:65">
      <c r="A25" s="26">
        <v>45817</v>
      </c>
      <c r="B25" s="28">
        <v>0.3551912568306011</v>
      </c>
      <c r="C25" s="28">
        <v>0.30054644808743169</v>
      </c>
      <c r="D25" s="28">
        <v>0.31693989071038248</v>
      </c>
      <c r="E25" s="28">
        <v>0.22950819672131148</v>
      </c>
      <c r="AI25" s="26">
        <v>45789</v>
      </c>
      <c r="AJ25" s="28">
        <v>0.33333333333333331</v>
      </c>
      <c r="AK25" s="28">
        <v>0.29268292682926833</v>
      </c>
      <c r="AL25" s="28">
        <v>0.25203252032520324</v>
      </c>
      <c r="AM25" s="28">
        <v>0.15447154471544716</v>
      </c>
      <c r="BI25" s="26">
        <v>45887</v>
      </c>
      <c r="BJ25" s="28">
        <v>0.42796610169491528</v>
      </c>
      <c r="BK25" s="28">
        <v>0.24152542372881358</v>
      </c>
      <c r="BL25" s="28">
        <v>0.61016949152542388</v>
      </c>
      <c r="BM25" s="28">
        <v>0.25847457627118642</v>
      </c>
    </row>
    <row r="26" spans="1:65">
      <c r="A26" s="26">
        <v>45824</v>
      </c>
      <c r="B26" s="28">
        <v>0.36612021857923499</v>
      </c>
      <c r="C26" s="28">
        <v>0.33879781420765026</v>
      </c>
      <c r="D26" s="28">
        <v>0.31693989071038248</v>
      </c>
      <c r="E26" s="28">
        <v>0.22950819672131148</v>
      </c>
      <c r="AI26" s="26">
        <v>45796</v>
      </c>
      <c r="AJ26" s="28">
        <v>0.38211382113821135</v>
      </c>
      <c r="AK26" s="28">
        <v>0.32520325203252037</v>
      </c>
      <c r="AL26" s="28">
        <v>0.25203252032520324</v>
      </c>
      <c r="AM26" s="28">
        <v>0.15447154471544716</v>
      </c>
      <c r="BI26" s="26">
        <v>45894</v>
      </c>
      <c r="BJ26" s="28">
        <v>0.42796610169491528</v>
      </c>
      <c r="BK26" s="28">
        <v>0.3728813559322034</v>
      </c>
      <c r="BL26" s="28">
        <v>0.61016949152542388</v>
      </c>
      <c r="BM26" s="28">
        <v>0.2711864406779661</v>
      </c>
    </row>
    <row r="27" spans="1:65">
      <c r="A27" s="26">
        <v>45831</v>
      </c>
      <c r="B27" s="28">
        <v>0.45901639344262296</v>
      </c>
      <c r="C27" s="28">
        <v>0.34426229508196721</v>
      </c>
      <c r="D27" s="28">
        <v>0.32786885245901637</v>
      </c>
      <c r="E27" s="28">
        <v>0.22950819672131148</v>
      </c>
      <c r="AI27" s="26">
        <v>45803</v>
      </c>
      <c r="AJ27" s="28">
        <v>0.41463414634146339</v>
      </c>
      <c r="AK27" s="28">
        <v>0.32520325203252037</v>
      </c>
      <c r="AL27" s="28">
        <v>0.25203252032520324</v>
      </c>
      <c r="AM27" s="28">
        <v>0.15447154471544716</v>
      </c>
      <c r="BI27" s="26">
        <v>45901</v>
      </c>
      <c r="BJ27" s="28">
        <v>0.42796610169491528</v>
      </c>
      <c r="BK27" s="28">
        <v>0.3728813559322034</v>
      </c>
      <c r="BL27" s="28">
        <v>0.61016949152542388</v>
      </c>
      <c r="BM27" s="28">
        <v>0.2711864406779661</v>
      </c>
    </row>
    <row r="28" spans="1:65">
      <c r="A28" s="26">
        <v>45838</v>
      </c>
      <c r="B28" s="28">
        <v>0.45901639344262296</v>
      </c>
      <c r="C28" s="28">
        <v>0.41530054644808745</v>
      </c>
      <c r="D28" s="28">
        <v>0.36612021857923494</v>
      </c>
      <c r="E28" s="28">
        <v>0.23497267759562843</v>
      </c>
      <c r="AI28" s="26">
        <v>45810</v>
      </c>
      <c r="AJ28" s="28">
        <v>0.42276422764227639</v>
      </c>
      <c r="AK28" s="28">
        <v>0.35772357723577242</v>
      </c>
      <c r="AL28" s="28">
        <v>0.30081300813008127</v>
      </c>
      <c r="AM28" s="28">
        <v>0.15447154471544716</v>
      </c>
      <c r="BI28" s="26">
        <v>45908</v>
      </c>
      <c r="BJ28" s="28">
        <v>0.42796610169491528</v>
      </c>
      <c r="BK28" s="28">
        <v>0.42796610169491528</v>
      </c>
      <c r="BL28" s="28">
        <v>0.61016949152542388</v>
      </c>
      <c r="BM28" s="28">
        <v>0.2711864406779661</v>
      </c>
    </row>
    <row r="29" spans="1:65">
      <c r="A29" s="26">
        <v>45845</v>
      </c>
      <c r="B29" s="28">
        <v>0.53551912568306015</v>
      </c>
      <c r="C29" s="28">
        <v>0.45355191256830601</v>
      </c>
      <c r="D29" s="28">
        <v>0.36612021857923494</v>
      </c>
      <c r="E29" s="28">
        <v>0.27322404371584702</v>
      </c>
      <c r="AI29" s="26">
        <v>45817</v>
      </c>
      <c r="AJ29" s="28">
        <v>0.43089430894308939</v>
      </c>
      <c r="AK29" s="28">
        <v>0.37398373983739841</v>
      </c>
      <c r="AL29" s="28">
        <v>0.33333333333333331</v>
      </c>
      <c r="AM29" s="28">
        <v>0.15447154471544716</v>
      </c>
      <c r="BI29" s="26">
        <v>45915</v>
      </c>
      <c r="BJ29" s="28">
        <v>0.42796610169491528</v>
      </c>
      <c r="BK29" s="28">
        <v>0.42796610169491528</v>
      </c>
      <c r="BL29" s="28">
        <v>0.61016949152542388</v>
      </c>
      <c r="BM29" s="28">
        <v>0.2711864406779661</v>
      </c>
    </row>
    <row r="30" spans="1:65">
      <c r="A30" s="26">
        <v>45852</v>
      </c>
      <c r="B30" s="28">
        <v>0.53551912568306015</v>
      </c>
      <c r="C30" s="28">
        <v>0.45355191256830601</v>
      </c>
      <c r="D30" s="28">
        <v>0.45355191256830596</v>
      </c>
      <c r="E30" s="28">
        <v>0.27322404371584702</v>
      </c>
      <c r="AI30" s="26">
        <v>45824</v>
      </c>
      <c r="AJ30" s="28">
        <v>0.43089430894308939</v>
      </c>
      <c r="AK30" s="28">
        <v>0.38211382113821141</v>
      </c>
      <c r="AL30" s="28">
        <v>0.38211382113821135</v>
      </c>
      <c r="AM30" s="28">
        <v>0.15447154471544716</v>
      </c>
      <c r="BI30" s="26">
        <v>45922</v>
      </c>
      <c r="BJ30" s="28">
        <v>0.42796610169491528</v>
      </c>
      <c r="BK30" s="28">
        <v>0.42796610169491528</v>
      </c>
      <c r="BL30" s="28">
        <v>0.61016949152542388</v>
      </c>
      <c r="BM30" s="28">
        <v>0.2711864406779661</v>
      </c>
    </row>
    <row r="31" spans="1:65">
      <c r="A31" s="26">
        <v>45859</v>
      </c>
      <c r="B31" s="28">
        <v>0.57377049180327877</v>
      </c>
      <c r="C31" s="28">
        <v>0.45355191256830601</v>
      </c>
      <c r="D31" s="28">
        <v>0.4699453551912568</v>
      </c>
      <c r="E31" s="28">
        <v>0.27322404371584702</v>
      </c>
      <c r="AI31" s="26">
        <v>45831</v>
      </c>
      <c r="AJ31" s="28">
        <v>0.43902439024390238</v>
      </c>
      <c r="AK31" s="28">
        <v>0.42276422764227645</v>
      </c>
      <c r="AL31" s="28">
        <v>0.41463414634146339</v>
      </c>
      <c r="AM31" s="28">
        <v>0.15447154471544716</v>
      </c>
      <c r="BI31" s="26">
        <v>45929</v>
      </c>
      <c r="BJ31" s="28">
        <v>0.42796610169491528</v>
      </c>
      <c r="BK31" s="28">
        <v>0.42796610169491528</v>
      </c>
      <c r="BL31" s="28">
        <v>0.61016949152542388</v>
      </c>
      <c r="BM31" s="28">
        <v>0.2711864406779661</v>
      </c>
    </row>
    <row r="32" spans="1:65">
      <c r="A32" s="26">
        <v>45866</v>
      </c>
      <c r="B32" s="28">
        <v>0.57377049180327877</v>
      </c>
      <c r="C32" s="28">
        <v>0.45355191256830601</v>
      </c>
      <c r="D32" s="28">
        <v>0.54644808743169393</v>
      </c>
      <c r="E32" s="28">
        <v>0.27322404371584702</v>
      </c>
      <c r="AI32" s="26">
        <v>45838</v>
      </c>
      <c r="AJ32" s="28">
        <v>0.43902439024390238</v>
      </c>
      <c r="AK32" s="28">
        <v>0.42276422764227645</v>
      </c>
      <c r="AL32" s="28">
        <v>0.42276422764227639</v>
      </c>
      <c r="AM32" s="28">
        <v>0.17886178861788618</v>
      </c>
      <c r="BI32" s="26">
        <v>45936</v>
      </c>
      <c r="BJ32" s="28">
        <v>0.42796610169491528</v>
      </c>
      <c r="BK32" s="28">
        <v>0.4364406779661017</v>
      </c>
      <c r="BL32" s="28">
        <v>0.61016949152542388</v>
      </c>
      <c r="BM32" s="28">
        <v>0.2711864406779661</v>
      </c>
    </row>
    <row r="33" spans="1:65">
      <c r="A33" s="26">
        <v>45873</v>
      </c>
      <c r="B33" s="28">
        <v>0.57377049180327877</v>
      </c>
      <c r="C33" s="28">
        <v>0.45355191256830601</v>
      </c>
      <c r="D33" s="28">
        <v>0.54644808743169393</v>
      </c>
      <c r="E33" s="28">
        <v>0.27322404371584702</v>
      </c>
      <c r="AI33" s="26">
        <v>45845</v>
      </c>
      <c r="AJ33" s="28">
        <v>0.43902439024390238</v>
      </c>
      <c r="AK33" s="28">
        <v>0.44715447154471549</v>
      </c>
      <c r="AL33" s="28">
        <v>0.43089430894308939</v>
      </c>
      <c r="AM33" s="28">
        <v>0.1951219512195122</v>
      </c>
      <c r="BI33" s="26">
        <v>45943</v>
      </c>
      <c r="BJ33" s="28">
        <v>0.42796610169491528</v>
      </c>
      <c r="BK33" s="28">
        <v>0.4364406779661017</v>
      </c>
      <c r="BL33" s="28">
        <v>0.61016949152542388</v>
      </c>
      <c r="BM33" s="28">
        <v>0.50847457627118642</v>
      </c>
    </row>
    <row r="34" spans="1:65">
      <c r="A34" s="26">
        <v>45880</v>
      </c>
      <c r="B34" s="28">
        <v>0.57377049180327877</v>
      </c>
      <c r="C34" s="28">
        <v>0.45355191256830601</v>
      </c>
      <c r="D34" s="28">
        <v>0.57923497267759561</v>
      </c>
      <c r="E34" s="28">
        <v>0.27322404371584702</v>
      </c>
      <c r="AI34" s="26">
        <v>45852</v>
      </c>
      <c r="AJ34" s="28">
        <v>0.43902439024390238</v>
      </c>
      <c r="AK34" s="28">
        <v>0.44715447154471549</v>
      </c>
      <c r="AL34" s="28">
        <v>0.43089430894308939</v>
      </c>
      <c r="AM34" s="28">
        <v>0.21951219512195122</v>
      </c>
      <c r="BI34" s="26">
        <v>45950</v>
      </c>
      <c r="BJ34" s="28">
        <v>0.48728813559322037</v>
      </c>
      <c r="BK34" s="28">
        <v>0.4364406779661017</v>
      </c>
      <c r="BL34" s="28">
        <v>0.61016949152542388</v>
      </c>
      <c r="BM34" s="28">
        <v>0.50847457627118642</v>
      </c>
    </row>
    <row r="35" spans="1:65">
      <c r="A35" s="26">
        <v>45887</v>
      </c>
      <c r="B35" s="28">
        <v>0.57377049180327877</v>
      </c>
      <c r="C35" s="28">
        <v>0.45355191256830601</v>
      </c>
      <c r="D35" s="28">
        <v>0.60655737704918034</v>
      </c>
      <c r="E35" s="28">
        <v>0.27322404371584702</v>
      </c>
      <c r="AI35" s="26">
        <v>45859</v>
      </c>
      <c r="AJ35" s="28">
        <v>0.43902439024390238</v>
      </c>
      <c r="AK35" s="28">
        <v>0.45528455284552849</v>
      </c>
      <c r="AL35" s="28">
        <v>0.43902439024390238</v>
      </c>
      <c r="AM35" s="28">
        <v>0.21951219512195122</v>
      </c>
      <c r="BI35" s="26">
        <v>45957</v>
      </c>
      <c r="BJ35" s="28">
        <v>0.54661016949152541</v>
      </c>
      <c r="BK35" s="28">
        <v>0.49576271186440679</v>
      </c>
      <c r="BL35" s="28">
        <v>0.61016949152542388</v>
      </c>
      <c r="BM35" s="28">
        <v>0.56779661016949146</v>
      </c>
    </row>
    <row r="36" spans="1:65">
      <c r="A36" s="26">
        <v>45894</v>
      </c>
      <c r="B36" s="28">
        <v>0.57377049180327877</v>
      </c>
      <c r="C36" s="28">
        <v>0.56284153005464477</v>
      </c>
      <c r="D36" s="28">
        <v>0.60655737704918034</v>
      </c>
      <c r="E36" s="28">
        <v>0.30601092896174864</v>
      </c>
      <c r="AI36" s="26">
        <v>45866</v>
      </c>
      <c r="AJ36" s="28">
        <v>0.44715447154471538</v>
      </c>
      <c r="AK36" s="28">
        <v>0.46341463414634149</v>
      </c>
      <c r="AL36" s="28">
        <v>0.43902439024390238</v>
      </c>
      <c r="AM36" s="28">
        <v>0.21951219512195122</v>
      </c>
      <c r="BI36" s="26">
        <v>45964</v>
      </c>
      <c r="BJ36" s="28">
        <v>0.54661016949152541</v>
      </c>
      <c r="BK36" s="28">
        <v>0.59322033898305082</v>
      </c>
      <c r="BL36" s="28">
        <v>0.66949152542372892</v>
      </c>
      <c r="BM36" s="28">
        <v>0.56779661016949146</v>
      </c>
    </row>
    <row r="37" spans="1:65">
      <c r="A37" s="26">
        <v>45901</v>
      </c>
      <c r="B37" s="28">
        <v>0.57377049180327877</v>
      </c>
      <c r="C37" s="28">
        <v>0.56284153005464477</v>
      </c>
      <c r="D37" s="28">
        <v>0.60655737704918034</v>
      </c>
      <c r="E37" s="28">
        <v>0.30601092896174864</v>
      </c>
      <c r="AI37" s="26">
        <v>45873</v>
      </c>
      <c r="AJ37" s="28">
        <v>0.44715447154471538</v>
      </c>
      <c r="AK37" s="28">
        <v>0.46341463414634149</v>
      </c>
      <c r="AL37" s="28">
        <v>0.43902439024390238</v>
      </c>
      <c r="AM37" s="28">
        <v>0.21951219512195122</v>
      </c>
      <c r="BI37" s="26">
        <v>45971</v>
      </c>
      <c r="BJ37" s="28">
        <v>0.66101694915254239</v>
      </c>
      <c r="BK37" s="28">
        <v>0.71610169491525422</v>
      </c>
      <c r="BL37" s="28">
        <v>0.72881355932203395</v>
      </c>
      <c r="BM37" s="28">
        <v>0.56779661016949146</v>
      </c>
    </row>
    <row r="38" spans="1:65">
      <c r="A38" s="26">
        <v>45908</v>
      </c>
      <c r="B38" s="28">
        <v>0.57377049180327877</v>
      </c>
      <c r="C38" s="28">
        <v>0.60109289617486339</v>
      </c>
      <c r="D38" s="28">
        <v>0.60655737704918034</v>
      </c>
      <c r="E38" s="28">
        <v>0.36612021857923499</v>
      </c>
      <c r="AI38" s="26">
        <v>45880</v>
      </c>
      <c r="AJ38" s="28">
        <v>0.44715447154471538</v>
      </c>
      <c r="AK38" s="28">
        <v>0.46341463414634149</v>
      </c>
      <c r="AL38" s="28">
        <v>0.43902439024390238</v>
      </c>
      <c r="AM38" s="28">
        <v>0.23577235772357724</v>
      </c>
      <c r="BI38" s="26">
        <v>45978</v>
      </c>
      <c r="BJ38" s="28">
        <v>0.66101694915254239</v>
      </c>
      <c r="BK38" s="28">
        <v>0.72033898305084743</v>
      </c>
      <c r="BL38" s="28">
        <v>0.72881355932203395</v>
      </c>
      <c r="BM38" s="28">
        <v>0.56779661016949146</v>
      </c>
    </row>
    <row r="39" spans="1:65">
      <c r="A39" s="26">
        <v>45915</v>
      </c>
      <c r="B39" s="28">
        <v>0.57377049180327877</v>
      </c>
      <c r="C39" s="28">
        <v>0.60109289617486339</v>
      </c>
      <c r="D39" s="28">
        <v>0.60655737704918034</v>
      </c>
      <c r="E39" s="28">
        <v>0.36612021857923499</v>
      </c>
      <c r="AI39" s="26">
        <v>45887</v>
      </c>
      <c r="AJ39" s="28">
        <v>0.44715447154471538</v>
      </c>
      <c r="AK39" s="28">
        <v>0.46341463414634149</v>
      </c>
      <c r="AL39" s="28">
        <v>0.43902439024390238</v>
      </c>
      <c r="AM39" s="28">
        <v>0.23577235772357724</v>
      </c>
      <c r="BI39" s="26">
        <v>45985</v>
      </c>
      <c r="BJ39" s="28">
        <v>0.6652542372881356</v>
      </c>
      <c r="BK39" s="28">
        <v>0.72881355932203384</v>
      </c>
      <c r="BL39" s="28">
        <v>0.78389830508474578</v>
      </c>
      <c r="BM39" s="28">
        <v>0.56779661016949146</v>
      </c>
    </row>
    <row r="40" spans="1:65">
      <c r="A40" s="26">
        <v>45922</v>
      </c>
      <c r="B40" s="28">
        <v>0.57377049180327877</v>
      </c>
      <c r="C40" s="28">
        <v>0.60109289617486339</v>
      </c>
      <c r="D40" s="28">
        <v>0.60655737704918034</v>
      </c>
      <c r="E40" s="28">
        <v>0.36612021857923499</v>
      </c>
      <c r="AI40" s="26">
        <v>45894</v>
      </c>
      <c r="AJ40" s="28">
        <v>0.44715447154471538</v>
      </c>
      <c r="AK40" s="28">
        <v>0.47154471544715448</v>
      </c>
      <c r="AL40" s="28">
        <v>0.44715447154471538</v>
      </c>
      <c r="AM40" s="28">
        <v>0.23577235772357724</v>
      </c>
      <c r="BI40" s="26">
        <v>45992</v>
      </c>
      <c r="BJ40" s="28">
        <v>0.6652542372881356</v>
      </c>
      <c r="BK40" s="28">
        <v>0.72881355932203384</v>
      </c>
      <c r="BL40" s="28">
        <v>0.78389830508474578</v>
      </c>
      <c r="BM40" s="28">
        <v>0.74152542372881347</v>
      </c>
    </row>
    <row r="41" spans="1:65">
      <c r="A41" s="26">
        <v>45929</v>
      </c>
      <c r="B41" s="28">
        <v>0.57377049180327877</v>
      </c>
      <c r="C41" s="28">
        <v>0.60109289617486339</v>
      </c>
      <c r="D41" s="28">
        <v>0.60655737704918034</v>
      </c>
      <c r="E41" s="28">
        <v>0.36612021857923499</v>
      </c>
      <c r="AI41" s="26">
        <v>45901</v>
      </c>
      <c r="AJ41" s="28">
        <v>0.44715447154471538</v>
      </c>
      <c r="AK41" s="28">
        <v>0.47154471544715448</v>
      </c>
      <c r="AL41" s="28">
        <v>0.44715447154471538</v>
      </c>
      <c r="AM41" s="28">
        <v>0.23577235772357724</v>
      </c>
      <c r="BI41" s="26">
        <v>45999</v>
      </c>
      <c r="BJ41" s="28">
        <v>0.6652542372881356</v>
      </c>
      <c r="BK41" s="28">
        <v>0.72881355932203384</v>
      </c>
      <c r="BL41" s="28">
        <v>0.78813559322033899</v>
      </c>
      <c r="BM41" s="28">
        <v>0.74152542372881347</v>
      </c>
    </row>
    <row r="42" spans="1:65">
      <c r="A42" s="26">
        <v>45936</v>
      </c>
      <c r="B42" s="28">
        <v>0.57923497267759572</v>
      </c>
      <c r="C42" s="28">
        <v>0.61202185792349728</v>
      </c>
      <c r="D42" s="28">
        <v>0.60655737704918034</v>
      </c>
      <c r="E42" s="28">
        <v>0.36612021857923499</v>
      </c>
      <c r="AI42" s="26">
        <v>45908</v>
      </c>
      <c r="AJ42" s="28">
        <v>0.44715447154471538</v>
      </c>
      <c r="AK42" s="28">
        <v>0.47154471544715448</v>
      </c>
      <c r="AL42" s="28">
        <v>0.44715447154471538</v>
      </c>
      <c r="AM42" s="28">
        <v>0.41463414634146345</v>
      </c>
      <c r="BI42" s="26">
        <v>46006</v>
      </c>
      <c r="BJ42" s="28">
        <v>0.67372881355932202</v>
      </c>
      <c r="BK42" s="28">
        <v>0.72881355932203384</v>
      </c>
      <c r="BL42" s="28">
        <v>0.78813559322033899</v>
      </c>
      <c r="BM42" s="28">
        <v>0.74152542372881347</v>
      </c>
    </row>
    <row r="43" spans="1:65">
      <c r="A43" s="26">
        <v>45943</v>
      </c>
      <c r="B43" s="28">
        <v>0.57923497267759572</v>
      </c>
      <c r="C43" s="28">
        <v>0.61202185792349728</v>
      </c>
      <c r="D43" s="28">
        <v>0.61748633879781423</v>
      </c>
      <c r="E43" s="28">
        <v>0.48633879781420764</v>
      </c>
      <c r="AI43" s="26">
        <v>45915</v>
      </c>
      <c r="AJ43" s="28">
        <v>0.44715447154471538</v>
      </c>
      <c r="AK43" s="28">
        <v>0.47154471544715448</v>
      </c>
      <c r="AL43" s="28">
        <v>0.44715447154471538</v>
      </c>
      <c r="AM43" s="28">
        <v>0.41463414634146345</v>
      </c>
      <c r="BI43" s="26">
        <v>46013</v>
      </c>
      <c r="BJ43" s="28">
        <v>0.67372881355932202</v>
      </c>
      <c r="BK43" s="28">
        <v>0.72881355932203384</v>
      </c>
      <c r="BL43" s="28">
        <v>0.7923728813559322</v>
      </c>
      <c r="BM43" s="28">
        <v>0.74152542372881347</v>
      </c>
    </row>
    <row r="44" spans="1:65">
      <c r="A44" s="26">
        <v>45950</v>
      </c>
      <c r="B44" s="28">
        <v>0.61748633879781434</v>
      </c>
      <c r="C44" s="28">
        <v>0.61202185792349728</v>
      </c>
      <c r="D44" s="28">
        <v>0.61748633879781423</v>
      </c>
      <c r="E44" s="28">
        <v>0.48633879781420764</v>
      </c>
      <c r="AI44" s="26">
        <v>45922</v>
      </c>
      <c r="AJ44" s="28">
        <v>0.44715447154471538</v>
      </c>
      <c r="AK44" s="28">
        <v>0.47154471544715448</v>
      </c>
      <c r="AL44" s="28">
        <v>0.44715447154471538</v>
      </c>
      <c r="AM44" s="28">
        <v>0.41463414634146345</v>
      </c>
      <c r="BI44" s="26">
        <v>46020</v>
      </c>
      <c r="BJ44" s="28">
        <v>0.68644067796610164</v>
      </c>
      <c r="BK44" s="28">
        <v>0.72881355932203384</v>
      </c>
      <c r="BL44" s="28">
        <v>0.7923728813559322</v>
      </c>
      <c r="BM44" s="28">
        <v>0.74152542372881347</v>
      </c>
    </row>
    <row r="45" spans="1:65">
      <c r="A45" s="26">
        <v>45957</v>
      </c>
      <c r="B45" s="28">
        <v>0.65573770491803296</v>
      </c>
      <c r="C45" s="28">
        <v>0.6502732240437159</v>
      </c>
      <c r="D45" s="28">
        <v>0.61748633879781423</v>
      </c>
      <c r="E45" s="28">
        <v>0.52459016393442626</v>
      </c>
      <c r="AI45" s="26">
        <v>45929</v>
      </c>
      <c r="AJ45" s="28">
        <v>0.44715447154471538</v>
      </c>
      <c r="AK45" s="28">
        <v>0.47154471544715448</v>
      </c>
      <c r="AL45" s="28">
        <v>0.44715447154471538</v>
      </c>
      <c r="AM45" s="28">
        <v>0.42276422764227645</v>
      </c>
      <c r="BI45" s="26">
        <v>46027</v>
      </c>
      <c r="BJ45" s="28">
        <v>0.68644067796610164</v>
      </c>
      <c r="BK45" s="28">
        <v>0.72881355932203384</v>
      </c>
      <c r="BL45" s="28">
        <v>0.79661016949152541</v>
      </c>
      <c r="BM45" s="28">
        <v>0.74152542372881347</v>
      </c>
    </row>
    <row r="46" spans="1:65">
      <c r="A46" s="26">
        <v>45964</v>
      </c>
      <c r="B46" s="28">
        <v>0.65573770491803296</v>
      </c>
      <c r="C46" s="28">
        <v>0.68852459016393452</v>
      </c>
      <c r="D46" s="28">
        <v>0.65573770491803285</v>
      </c>
      <c r="E46" s="28">
        <v>0.52459016393442626</v>
      </c>
      <c r="AI46" s="26">
        <v>45936</v>
      </c>
      <c r="AJ46" s="28">
        <v>0.44715447154471538</v>
      </c>
      <c r="AK46" s="28">
        <v>0.47154471544715448</v>
      </c>
      <c r="AL46" s="28">
        <v>0.44715447154471538</v>
      </c>
      <c r="AM46" s="28">
        <v>0.42276422764227645</v>
      </c>
      <c r="BI46" s="26">
        <v>46034</v>
      </c>
      <c r="BJ46" s="28">
        <v>0.68644067796610164</v>
      </c>
      <c r="BK46" s="28">
        <v>0.72881355932203384</v>
      </c>
      <c r="BL46" s="28">
        <v>0.79661016949152541</v>
      </c>
      <c r="BM46" s="28">
        <v>0.74152542372881347</v>
      </c>
    </row>
    <row r="47" spans="1:65">
      <c r="A47" s="26">
        <v>45971</v>
      </c>
      <c r="B47" s="28">
        <v>0.7213114754098362</v>
      </c>
      <c r="C47" s="28">
        <v>0.74316939890710387</v>
      </c>
      <c r="D47" s="28">
        <v>0.69945355191256842</v>
      </c>
      <c r="E47" s="28">
        <v>0.52459016393442626</v>
      </c>
      <c r="AI47" s="26">
        <v>45943</v>
      </c>
      <c r="AJ47" s="28">
        <v>0.46341463414634138</v>
      </c>
      <c r="AK47" s="28">
        <v>0.48780487804878048</v>
      </c>
      <c r="AL47" s="28">
        <v>0.44715447154471538</v>
      </c>
      <c r="AM47" s="28">
        <v>0.42276422764227645</v>
      </c>
      <c r="BI47" s="26">
        <v>46041</v>
      </c>
      <c r="BJ47" s="28">
        <v>0.68644067796610164</v>
      </c>
      <c r="BK47" s="28">
        <v>0.72881355932203384</v>
      </c>
      <c r="BL47" s="28">
        <v>0.79661016949152541</v>
      </c>
      <c r="BM47" s="28">
        <v>0.74152542372881347</v>
      </c>
    </row>
    <row r="48" spans="1:65">
      <c r="A48" s="26">
        <v>45978</v>
      </c>
      <c r="B48" s="28">
        <v>0.7213114754098362</v>
      </c>
      <c r="C48" s="28">
        <v>0.74863387978142082</v>
      </c>
      <c r="D48" s="28">
        <v>0.69945355191256842</v>
      </c>
      <c r="E48" s="28">
        <v>0.52459016393442626</v>
      </c>
      <c r="AI48" s="26">
        <v>45950</v>
      </c>
      <c r="AJ48" s="28">
        <v>0.47967479674796737</v>
      </c>
      <c r="AK48" s="28">
        <v>0.53658536585365857</v>
      </c>
      <c r="AL48" s="28">
        <v>0.44715447154471538</v>
      </c>
      <c r="AM48" s="28">
        <v>0.43902439024390244</v>
      </c>
      <c r="BI48" s="26">
        <v>46048</v>
      </c>
      <c r="BJ48" s="28">
        <v>0.68644067796610164</v>
      </c>
      <c r="BK48" s="28">
        <v>0.72881355932203384</v>
      </c>
      <c r="BL48" s="28">
        <v>0.80084745762711862</v>
      </c>
      <c r="BM48" s="28">
        <v>0.74152542372881347</v>
      </c>
    </row>
    <row r="49" spans="1:65">
      <c r="A49" s="26">
        <v>45985</v>
      </c>
      <c r="B49" s="28">
        <v>0.74316939890710398</v>
      </c>
      <c r="C49" s="28">
        <v>0.75409836065573776</v>
      </c>
      <c r="D49" s="28">
        <v>0.73770491803278704</v>
      </c>
      <c r="E49" s="28">
        <v>0.52459016393442626</v>
      </c>
      <c r="AI49" s="26">
        <v>45957</v>
      </c>
      <c r="AJ49" s="28">
        <v>0.49593495934959336</v>
      </c>
      <c r="AK49" s="28">
        <v>0.53658536585365857</v>
      </c>
      <c r="AL49" s="28">
        <v>0.44715447154471538</v>
      </c>
      <c r="AM49" s="28">
        <v>0.45528455284552843</v>
      </c>
      <c r="BI49" s="26">
        <v>46055</v>
      </c>
      <c r="BJ49" s="28">
        <v>0.68644067796610164</v>
      </c>
      <c r="BK49" s="28">
        <v>0.73728813559322026</v>
      </c>
      <c r="BL49" s="28">
        <v>0.80084745762711862</v>
      </c>
      <c r="BM49" s="28">
        <v>0.74576271186440668</v>
      </c>
    </row>
    <row r="50" spans="1:65">
      <c r="A50" s="26">
        <v>45992</v>
      </c>
      <c r="B50" s="28">
        <v>0.74316939890710398</v>
      </c>
      <c r="C50" s="28">
        <v>0.75956284153005471</v>
      </c>
      <c r="D50" s="28">
        <v>0.73770491803278704</v>
      </c>
      <c r="E50" s="28">
        <v>0.64480874316939896</v>
      </c>
      <c r="AI50" s="26">
        <v>45964</v>
      </c>
      <c r="AJ50" s="28">
        <v>0.50406504065040636</v>
      </c>
      <c r="AK50" s="28">
        <v>0.56097560975609762</v>
      </c>
      <c r="AL50" s="28">
        <v>0.44715447154471538</v>
      </c>
      <c r="AM50" s="28">
        <v>0.45528455284552843</v>
      </c>
      <c r="BI50" s="26">
        <v>46062</v>
      </c>
      <c r="BJ50" s="28">
        <v>0.68644067796610164</v>
      </c>
      <c r="BK50" s="28">
        <v>0.73728813559322026</v>
      </c>
      <c r="BL50" s="28">
        <v>0.80084745762711862</v>
      </c>
      <c r="BM50" s="28">
        <v>0.74576271186440668</v>
      </c>
    </row>
    <row r="51" spans="1:65">
      <c r="A51" s="26">
        <v>45999</v>
      </c>
      <c r="B51" s="28">
        <v>0.75409836065573788</v>
      </c>
      <c r="C51" s="28">
        <v>0.79781420765027333</v>
      </c>
      <c r="D51" s="28">
        <v>0.73770491803278704</v>
      </c>
      <c r="E51" s="28">
        <v>0.69398907103825147</v>
      </c>
      <c r="AI51" s="26">
        <v>45971</v>
      </c>
      <c r="AJ51" s="28">
        <v>0.56910569105691045</v>
      </c>
      <c r="AK51" s="28">
        <v>0.60975609756097571</v>
      </c>
      <c r="AL51" s="28">
        <v>0.55284552845528445</v>
      </c>
      <c r="AM51" s="28">
        <v>0.49593495934959347</v>
      </c>
      <c r="BI51" s="26">
        <v>46069</v>
      </c>
      <c r="BJ51" s="28">
        <v>0.68644067796610164</v>
      </c>
      <c r="BK51" s="28">
        <v>0.73728813559322026</v>
      </c>
      <c r="BL51" s="28">
        <v>0.80084745762711862</v>
      </c>
      <c r="BM51" s="28">
        <v>0.84745762711864403</v>
      </c>
    </row>
    <row r="52" spans="1:65">
      <c r="A52" s="26">
        <v>46006</v>
      </c>
      <c r="B52" s="28">
        <v>0.77049180327868871</v>
      </c>
      <c r="C52" s="28">
        <v>0.81967213114754112</v>
      </c>
      <c r="D52" s="28">
        <v>0.74316939890710398</v>
      </c>
      <c r="E52" s="28">
        <v>0.75409836065573776</v>
      </c>
      <c r="AI52" s="26">
        <v>45978</v>
      </c>
      <c r="AJ52" s="28">
        <v>0.56910569105691045</v>
      </c>
      <c r="AK52" s="28">
        <v>0.64227642276422769</v>
      </c>
      <c r="AL52" s="28">
        <v>0.55284552845528445</v>
      </c>
      <c r="AM52" s="28">
        <v>0.49593495934959347</v>
      </c>
      <c r="BI52" s="26">
        <v>46076</v>
      </c>
      <c r="BJ52" s="28">
        <v>0.68644067796610164</v>
      </c>
      <c r="BK52" s="28">
        <v>0.73728813559322026</v>
      </c>
      <c r="BL52" s="28">
        <v>0.80084745762711862</v>
      </c>
      <c r="BM52" s="28">
        <v>0.86864406779661008</v>
      </c>
    </row>
    <row r="53" spans="1:65">
      <c r="A53" s="26">
        <v>46013</v>
      </c>
      <c r="B53" s="28">
        <v>0.77595628415300566</v>
      </c>
      <c r="C53" s="28">
        <v>0.81967213114754112</v>
      </c>
      <c r="D53" s="28">
        <v>0.75956284153005482</v>
      </c>
      <c r="E53" s="28">
        <v>0.75409836065573776</v>
      </c>
      <c r="AI53" s="26">
        <v>45985</v>
      </c>
      <c r="AJ53" s="28">
        <v>0.65040650406504052</v>
      </c>
      <c r="AK53" s="28">
        <v>0.72357723577235777</v>
      </c>
      <c r="AL53" s="28">
        <v>0.55284552845528445</v>
      </c>
      <c r="AM53" s="28">
        <v>0.49593495934959347</v>
      </c>
      <c r="BI53" s="26">
        <v>46083</v>
      </c>
      <c r="BJ53" s="28">
        <v>0.68644067796610164</v>
      </c>
      <c r="BK53" s="28">
        <v>0.74576271186440668</v>
      </c>
      <c r="BL53" s="28">
        <v>0.80084745762711862</v>
      </c>
      <c r="BM53" s="28">
        <v>0.8813559322033897</v>
      </c>
    </row>
    <row r="54" spans="1:65">
      <c r="A54" s="26">
        <v>46020</v>
      </c>
      <c r="B54" s="28">
        <v>0.86885245901639363</v>
      </c>
      <c r="C54" s="28">
        <v>0.82513661202185806</v>
      </c>
      <c r="D54" s="28">
        <v>0.76502732240437177</v>
      </c>
      <c r="E54" s="28">
        <v>0.75409836065573776</v>
      </c>
      <c r="AI54" s="26">
        <v>45992</v>
      </c>
      <c r="AJ54" s="28">
        <v>0.7479674796747966</v>
      </c>
      <c r="AK54" s="28">
        <v>0.80487804878048785</v>
      </c>
      <c r="AL54" s="28">
        <v>0.55284552845528445</v>
      </c>
      <c r="AM54" s="28">
        <v>0.58536585365853655</v>
      </c>
      <c r="BI54" s="26">
        <v>46090</v>
      </c>
      <c r="BJ54" s="28">
        <v>0.68644067796610164</v>
      </c>
      <c r="BK54" s="28">
        <v>0.74576271186440668</v>
      </c>
      <c r="BL54" s="28">
        <v>0.80084745762711862</v>
      </c>
      <c r="BM54" s="28">
        <v>0.8813559322033897</v>
      </c>
    </row>
    <row r="55" spans="1:65">
      <c r="A55" s="26">
        <v>46027</v>
      </c>
      <c r="B55" s="28">
        <v>0.86885245901639363</v>
      </c>
      <c r="C55" s="28">
        <v>0.82513661202185806</v>
      </c>
      <c r="D55" s="28">
        <v>0.77049180327868871</v>
      </c>
      <c r="E55" s="28">
        <v>0.75956284153005471</v>
      </c>
      <c r="AI55" s="26">
        <v>45999</v>
      </c>
      <c r="AJ55" s="28">
        <v>0.84552845528455267</v>
      </c>
      <c r="AK55" s="28">
        <v>0.88617886178861793</v>
      </c>
      <c r="AL55" s="28">
        <v>0.61788617886178854</v>
      </c>
      <c r="AM55" s="28">
        <v>0.78048780487804881</v>
      </c>
      <c r="BI55" s="26">
        <v>46097</v>
      </c>
      <c r="BJ55" s="28">
        <v>0.68644067796610164</v>
      </c>
      <c r="BK55" s="28">
        <v>0.74576271186440668</v>
      </c>
      <c r="BL55" s="28">
        <v>0.80084745762711862</v>
      </c>
      <c r="BM55" s="28">
        <v>0.8813559322033897</v>
      </c>
    </row>
    <row r="56" spans="1:65">
      <c r="A56" s="26">
        <v>46034</v>
      </c>
      <c r="B56" s="28">
        <v>0.86885245901639363</v>
      </c>
      <c r="C56" s="28">
        <v>0.83606557377049195</v>
      </c>
      <c r="D56" s="28">
        <v>0.78142076502732261</v>
      </c>
      <c r="E56" s="28">
        <v>0.75956284153005471</v>
      </c>
      <c r="AI56" s="26">
        <v>46006</v>
      </c>
      <c r="AJ56" s="28">
        <v>0.9349593495934958</v>
      </c>
      <c r="AK56" s="28">
        <v>0.92682926829268297</v>
      </c>
      <c r="AL56" s="28">
        <v>0.61788617886178854</v>
      </c>
      <c r="AM56" s="28">
        <v>0.86178861788617889</v>
      </c>
      <c r="BI56" s="26">
        <v>46104</v>
      </c>
      <c r="BJ56" s="28">
        <v>0.68644067796610164</v>
      </c>
      <c r="BK56" s="28">
        <v>0.7542372881355931</v>
      </c>
      <c r="BL56" s="28">
        <v>0.80084745762711862</v>
      </c>
      <c r="BM56" s="28">
        <v>0.8813559322033897</v>
      </c>
    </row>
    <row r="57" spans="1:65">
      <c r="A57" s="26">
        <v>46041</v>
      </c>
      <c r="B57" s="28">
        <v>0.86885245901639363</v>
      </c>
      <c r="C57" s="28">
        <v>0.85792349726775974</v>
      </c>
      <c r="D57" s="28">
        <v>0.81967213114754123</v>
      </c>
      <c r="E57" s="28">
        <v>0.75956284153005471</v>
      </c>
      <c r="AI57" s="26">
        <v>46013</v>
      </c>
      <c r="AJ57" s="28">
        <v>0.9837398373983739</v>
      </c>
      <c r="AK57" s="28">
        <v>0.92682926829268297</v>
      </c>
      <c r="AL57" s="28">
        <v>0.71544715447154461</v>
      </c>
      <c r="AM57" s="28">
        <v>0.86178861788617889</v>
      </c>
      <c r="BI57" s="26">
        <v>46111</v>
      </c>
      <c r="BJ57" s="28">
        <v>0.68644067796610164</v>
      </c>
      <c r="BK57" s="28">
        <v>0.7542372881355931</v>
      </c>
      <c r="BL57" s="28">
        <v>0.80084745762711862</v>
      </c>
      <c r="BM57" s="28">
        <v>0.8813559322033897</v>
      </c>
    </row>
    <row r="58" spans="1:65">
      <c r="A58" s="26">
        <v>46048</v>
      </c>
      <c r="B58" s="28">
        <v>0.86885245901639363</v>
      </c>
      <c r="C58" s="28">
        <v>0.85792349726775974</v>
      </c>
      <c r="D58" s="28">
        <v>0.86885245901639374</v>
      </c>
      <c r="E58" s="28">
        <v>0.75956284153005471</v>
      </c>
      <c r="AI58" s="26">
        <v>46020</v>
      </c>
      <c r="AJ58" s="28">
        <v>0.99999999999999989</v>
      </c>
      <c r="AK58" s="28">
        <v>0.92682926829268297</v>
      </c>
      <c r="AL58" s="28">
        <v>0.80487804878048774</v>
      </c>
      <c r="AM58" s="28">
        <v>0.86178861788617889</v>
      </c>
      <c r="BI58" s="26">
        <v>46118</v>
      </c>
      <c r="BJ58" s="28">
        <v>0.68644067796610164</v>
      </c>
      <c r="BK58" s="28">
        <v>0.7542372881355931</v>
      </c>
      <c r="BL58" s="28">
        <v>0.80084745762711862</v>
      </c>
      <c r="BM58" s="28">
        <v>0.8813559322033897</v>
      </c>
    </row>
    <row r="59" spans="1:65">
      <c r="A59" s="26">
        <v>46055</v>
      </c>
      <c r="B59" s="28">
        <v>0.93442622950819687</v>
      </c>
      <c r="C59" s="28">
        <v>0.92349726775956298</v>
      </c>
      <c r="D59" s="28">
        <v>0.86885245901639374</v>
      </c>
      <c r="E59" s="28">
        <v>0.75956284153005471</v>
      </c>
      <c r="AI59" s="26">
        <v>46027</v>
      </c>
      <c r="AJ59" s="28">
        <v>0.99999999999999989</v>
      </c>
      <c r="AK59" s="28">
        <v>0.93495934959349603</v>
      </c>
      <c r="AL59" s="28">
        <v>0.89430894308943087</v>
      </c>
      <c r="AM59" s="28">
        <v>0.89430894308943087</v>
      </c>
      <c r="BI59" s="26">
        <v>46125</v>
      </c>
      <c r="BJ59" s="28">
        <v>0.68644067796610164</v>
      </c>
      <c r="BK59" s="28">
        <v>0.75847457627118631</v>
      </c>
      <c r="BL59" s="28">
        <v>0.80084745762711862</v>
      </c>
      <c r="BM59" s="28">
        <v>0.8813559322033897</v>
      </c>
    </row>
    <row r="60" spans="1:65">
      <c r="A60" s="26">
        <v>46062</v>
      </c>
      <c r="B60" s="28">
        <v>0.93442622950819687</v>
      </c>
      <c r="C60" s="28">
        <v>0.93442622950819687</v>
      </c>
      <c r="D60" s="28">
        <v>0.86885245901639374</v>
      </c>
      <c r="E60" s="28">
        <v>0.75956284153005471</v>
      </c>
      <c r="AI60" s="26">
        <v>46034</v>
      </c>
      <c r="AJ60" s="28">
        <v>0.99999999999999989</v>
      </c>
      <c r="AK60" s="28">
        <v>0.93495934959349603</v>
      </c>
      <c r="AL60" s="28">
        <v>0.93495934959349591</v>
      </c>
      <c r="AM60" s="28">
        <v>0.89430894308943087</v>
      </c>
      <c r="BI60" s="26">
        <v>46132</v>
      </c>
      <c r="BJ60" s="28">
        <v>0.68644067796610164</v>
      </c>
      <c r="BK60" s="28">
        <v>0.75847457627118631</v>
      </c>
      <c r="BL60" s="28">
        <v>0.80084745762711862</v>
      </c>
      <c r="BM60" s="28">
        <v>0.89830508474576254</v>
      </c>
    </row>
    <row r="61" spans="1:65">
      <c r="A61" s="26">
        <v>46069</v>
      </c>
      <c r="B61" s="28">
        <v>0.93442622950819687</v>
      </c>
      <c r="C61" s="28">
        <v>0.93442622950819687</v>
      </c>
      <c r="D61" s="28">
        <v>0.86885245901639374</v>
      </c>
      <c r="E61" s="28">
        <v>0.84153005464480879</v>
      </c>
      <c r="AI61" s="26">
        <v>46041</v>
      </c>
      <c r="AJ61" s="28">
        <v>0.99999999999999989</v>
      </c>
      <c r="AK61" s="28">
        <v>0.94308943089430908</v>
      </c>
      <c r="AL61" s="28">
        <v>0.98373983739837401</v>
      </c>
      <c r="AM61" s="28">
        <v>0.89430894308943087</v>
      </c>
      <c r="BI61" s="26">
        <v>46139</v>
      </c>
      <c r="BJ61" s="28">
        <v>0.68644067796610164</v>
      </c>
      <c r="BK61" s="28">
        <v>0.75847457627118631</v>
      </c>
      <c r="BL61" s="28">
        <v>0.80084745762711862</v>
      </c>
      <c r="BM61" s="28">
        <v>0.89830508474576254</v>
      </c>
    </row>
    <row r="62" spans="1:65">
      <c r="A62" s="26">
        <v>46076</v>
      </c>
      <c r="B62" s="28">
        <v>1.0000000000000002</v>
      </c>
      <c r="C62" s="28">
        <v>0.93442622950819687</v>
      </c>
      <c r="D62" s="28">
        <v>0.86885245901639374</v>
      </c>
      <c r="E62" s="28">
        <v>0.84153005464480879</v>
      </c>
      <c r="AI62" s="26">
        <v>46048</v>
      </c>
      <c r="AJ62" s="28">
        <v>0.99999999999999989</v>
      </c>
      <c r="AK62" s="28">
        <v>0.94308943089430908</v>
      </c>
      <c r="AL62" s="28">
        <v>1</v>
      </c>
      <c r="AM62" s="28">
        <v>0.89430894308943087</v>
      </c>
      <c r="BI62" s="26" t="s">
        <v>1117</v>
      </c>
      <c r="BJ62" s="28"/>
      <c r="BK62" s="28"/>
      <c r="BL62" s="28"/>
      <c r="BM62" s="28"/>
    </row>
    <row r="63" spans="1:65">
      <c r="A63" s="26" t="s">
        <v>1117</v>
      </c>
      <c r="B63" s="28"/>
      <c r="C63" s="28"/>
      <c r="D63" s="28"/>
      <c r="E63" s="28"/>
      <c r="AI63" s="26">
        <v>46055</v>
      </c>
      <c r="AJ63" s="28">
        <v>0.99999999999999989</v>
      </c>
      <c r="AK63" s="28">
        <v>0.94308943089430908</v>
      </c>
      <c r="AL63" s="28">
        <v>1</v>
      </c>
      <c r="AM63" s="28">
        <v>0.89430894308943087</v>
      </c>
    </row>
    <row r="64" spans="1:65">
      <c r="AI64" s="26">
        <v>46062</v>
      </c>
      <c r="AJ64" s="28">
        <v>0.99999999999999989</v>
      </c>
      <c r="AK64" s="28">
        <v>0.94308943089430908</v>
      </c>
      <c r="AL64" s="28">
        <v>1</v>
      </c>
      <c r="AM64" s="28">
        <v>0.89430894308943087</v>
      </c>
    </row>
    <row r="65" spans="35:39">
      <c r="AI65" s="26">
        <v>46069</v>
      </c>
      <c r="AJ65" s="28">
        <v>0.99999999999999989</v>
      </c>
      <c r="AK65" s="28">
        <v>0.94308943089430908</v>
      </c>
      <c r="AL65" s="28">
        <v>1</v>
      </c>
      <c r="AM65" s="28">
        <v>0.89430894308943087</v>
      </c>
    </row>
    <row r="66" spans="35:39">
      <c r="AI66" s="26">
        <v>46076</v>
      </c>
      <c r="AJ66" s="28">
        <v>0.99999999999999989</v>
      </c>
      <c r="AK66" s="28">
        <v>0.94308943089430908</v>
      </c>
      <c r="AL66" s="28">
        <v>1</v>
      </c>
      <c r="AM66" s="28">
        <v>0.89430894308943087</v>
      </c>
    </row>
    <row r="67" spans="35:39">
      <c r="AI67" s="26">
        <v>46083</v>
      </c>
      <c r="AJ67" s="28">
        <v>0.99999999999999989</v>
      </c>
      <c r="AK67" s="28">
        <v>0.96747967479674812</v>
      </c>
      <c r="AL67" s="28">
        <v>1</v>
      </c>
      <c r="AM67" s="28">
        <v>0.89430894308943087</v>
      </c>
    </row>
    <row r="68" spans="35:39">
      <c r="AI68" s="26">
        <v>46090</v>
      </c>
      <c r="AJ68" s="28">
        <v>0.99999999999999989</v>
      </c>
      <c r="AK68" s="28">
        <v>0.99186991869918717</v>
      </c>
      <c r="AL68" s="28">
        <v>1</v>
      </c>
      <c r="AM68" s="28">
        <v>0.89430894308943087</v>
      </c>
    </row>
    <row r="69" spans="35:39">
      <c r="AI69" s="26">
        <v>46097</v>
      </c>
      <c r="AJ69" s="28">
        <v>0.99999999999999989</v>
      </c>
      <c r="AK69" s="28">
        <v>0.99186991869918717</v>
      </c>
      <c r="AL69" s="28">
        <v>1</v>
      </c>
      <c r="AM69" s="28">
        <v>0.89430894308943087</v>
      </c>
    </row>
    <row r="70" spans="35:39">
      <c r="AI70" s="26">
        <v>46104</v>
      </c>
      <c r="AJ70" s="28">
        <v>0.99999999999999989</v>
      </c>
      <c r="AK70" s="28">
        <v>0.99186991869918717</v>
      </c>
      <c r="AL70" s="28">
        <v>1</v>
      </c>
      <c r="AM70" s="28">
        <v>0.89430894308943087</v>
      </c>
    </row>
    <row r="71" spans="35:39">
      <c r="AI71" s="26">
        <v>46111</v>
      </c>
      <c r="AJ71" s="28">
        <v>0.99999999999999989</v>
      </c>
      <c r="AK71" s="28">
        <v>0.99186991869918717</v>
      </c>
      <c r="AL71" s="28">
        <v>1</v>
      </c>
      <c r="AM71" s="28">
        <v>0.89430894308943087</v>
      </c>
    </row>
    <row r="72" spans="35:39">
      <c r="AI72" s="26">
        <v>46118</v>
      </c>
      <c r="AJ72" s="28">
        <v>0.99999999999999989</v>
      </c>
      <c r="AK72" s="28">
        <v>1.0000000000000002</v>
      </c>
      <c r="AL72" s="28">
        <v>1</v>
      </c>
      <c r="AM72" s="28">
        <v>0.89430894308943087</v>
      </c>
    </row>
    <row r="73" spans="35:39">
      <c r="AI73" s="26">
        <v>46125</v>
      </c>
      <c r="AJ73" s="28">
        <v>0.99999999999999989</v>
      </c>
      <c r="AK73" s="28">
        <v>1.0000000000000002</v>
      </c>
      <c r="AL73" s="28">
        <v>1</v>
      </c>
      <c r="AM73" s="28">
        <v>0.89430894308943087</v>
      </c>
    </row>
    <row r="74" spans="35:39">
      <c r="AI74" s="26">
        <v>46132</v>
      </c>
      <c r="AJ74" s="28">
        <v>0.99999999999999989</v>
      </c>
      <c r="AK74" s="28">
        <v>1.0000000000000002</v>
      </c>
      <c r="AL74" s="28">
        <v>1</v>
      </c>
      <c r="AM74" s="28">
        <v>0.98373983739837401</v>
      </c>
    </row>
    <row r="75" spans="35:39">
      <c r="AI75" s="26">
        <v>46139</v>
      </c>
      <c r="AJ75" s="28">
        <v>0.99999999999999989</v>
      </c>
      <c r="AK75" s="28">
        <v>1.0000000000000002</v>
      </c>
      <c r="AL75" s="28">
        <v>1</v>
      </c>
      <c r="AM75" s="28">
        <v>0.98373983739837401</v>
      </c>
    </row>
    <row r="76" spans="35:39">
      <c r="AI76" s="26">
        <v>46146</v>
      </c>
      <c r="AJ76" s="28">
        <v>0.99999999999999989</v>
      </c>
      <c r="AK76" s="28">
        <v>1.0000000000000002</v>
      </c>
      <c r="AL76" s="28">
        <v>1</v>
      </c>
      <c r="AM76" s="28">
        <v>0.98373983739837401</v>
      </c>
    </row>
    <row r="77" spans="35:39">
      <c r="AI77" s="26">
        <v>46153</v>
      </c>
      <c r="AJ77" s="28">
        <v>0.99999999999999989</v>
      </c>
      <c r="AK77" s="28">
        <v>1.0000000000000002</v>
      </c>
      <c r="AL77" s="28">
        <v>1</v>
      </c>
      <c r="AM77" s="28">
        <v>1</v>
      </c>
    </row>
    <row r="78" spans="35:39">
      <c r="AI78" s="26">
        <v>46160</v>
      </c>
      <c r="AJ78" s="28">
        <v>0.99999999999999989</v>
      </c>
      <c r="AK78" s="28">
        <v>1.0000000000000002</v>
      </c>
      <c r="AL78" s="28">
        <v>1</v>
      </c>
      <c r="AM78" s="28">
        <v>1</v>
      </c>
    </row>
    <row r="79" spans="35:39">
      <c r="AI79" s="26">
        <v>46167</v>
      </c>
      <c r="AJ79" s="28">
        <v>0.99999999999999989</v>
      </c>
      <c r="AK79" s="28">
        <v>1.0000000000000002</v>
      </c>
      <c r="AL79" s="28">
        <v>1</v>
      </c>
      <c r="AM79" s="28">
        <v>1</v>
      </c>
    </row>
    <row r="80" spans="35:39">
      <c r="AI80" s="26" t="s">
        <v>1117</v>
      </c>
      <c r="AJ80" s="28"/>
      <c r="AK80" s="28"/>
      <c r="AL80" s="28"/>
      <c r="AM80" s="28"/>
    </row>
  </sheetData>
  <pageMargins left="0.7" right="0.7" top="0.75" bottom="0.75" header="0.3" footer="0.3"/>
  <drawing r:id="rId4"/>
  <extLst>
    <ext xmlns:x15="http://schemas.microsoft.com/office/spreadsheetml/2010/11/main" uri="{7E03D99C-DC04-49d9-9315-930204A7B6E9}">
      <x15:timelineRefs>
        <x15:timelineRef r:id="rId5"/>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98ACB-FA76-4BC3-81E8-A32E037E0CD9}">
  <dimension ref="A1:BE16"/>
  <sheetViews>
    <sheetView topLeftCell="G1" workbookViewId="0">
      <selection activeCell="BY22" sqref="BY22"/>
    </sheetView>
  </sheetViews>
  <sheetFormatPr defaultRowHeight="14.5"/>
  <cols>
    <col min="1" max="1" width="12.36328125" hidden="1" customWidth="1"/>
    <col min="2" max="2" width="17" hidden="1" customWidth="1"/>
    <col min="3" max="3" width="19.453125" hidden="1" customWidth="1"/>
    <col min="4" max="4" width="13" hidden="1" customWidth="1"/>
    <col min="5" max="5" width="15.453125" hidden="1" customWidth="1"/>
    <col min="6" max="6" width="0" hidden="1" customWidth="1"/>
    <col min="26" max="26" width="0" hidden="1" customWidth="1"/>
    <col min="27" max="27" width="12.36328125" hidden="1" customWidth="1"/>
    <col min="28" max="28" width="17" hidden="1" customWidth="1"/>
    <col min="29" max="29" width="19.453125" hidden="1" customWidth="1"/>
    <col min="30" max="30" width="13" hidden="1" customWidth="1"/>
    <col min="31" max="31" width="15.453125" hidden="1" customWidth="1"/>
    <col min="32" max="32" width="0" hidden="1" customWidth="1"/>
    <col min="51" max="52" width="0" hidden="1" customWidth="1"/>
    <col min="53" max="53" width="12.36328125" hidden="1" customWidth="1"/>
    <col min="54" max="54" width="22.90625" hidden="1" customWidth="1"/>
    <col min="55" max="55" width="25.453125" hidden="1" customWidth="1"/>
    <col min="56" max="56" width="18.90625" hidden="1" customWidth="1"/>
    <col min="57" max="57" width="21.453125" hidden="1" customWidth="1"/>
    <col min="58" max="59" width="0" hidden="1" customWidth="1"/>
  </cols>
  <sheetData>
    <row r="1" spans="1:57">
      <c r="A1" s="25" t="s">
        <v>1116</v>
      </c>
      <c r="B1" t="s">
        <v>1118</v>
      </c>
      <c r="C1" t="s">
        <v>1119</v>
      </c>
      <c r="D1" t="s">
        <v>1120</v>
      </c>
      <c r="E1" t="s">
        <v>1121</v>
      </c>
      <c r="AA1" s="25" t="s">
        <v>1116</v>
      </c>
      <c r="AB1" t="s">
        <v>1118</v>
      </c>
      <c r="AC1" t="s">
        <v>1119</v>
      </c>
      <c r="AD1" t="s">
        <v>1120</v>
      </c>
      <c r="AE1" t="s">
        <v>1121</v>
      </c>
      <c r="BA1" s="25" t="s">
        <v>1116</v>
      </c>
      <c r="BB1" t="s">
        <v>1118</v>
      </c>
      <c r="BC1" t="s">
        <v>1119</v>
      </c>
      <c r="BD1" t="s">
        <v>1120</v>
      </c>
      <c r="BE1" t="s">
        <v>1121</v>
      </c>
    </row>
    <row r="2" spans="1:57">
      <c r="A2" s="32">
        <v>45689</v>
      </c>
      <c r="B2" s="28">
        <v>0</v>
      </c>
      <c r="C2" s="28">
        <v>0</v>
      </c>
      <c r="D2" s="28">
        <v>0</v>
      </c>
      <c r="E2" s="28">
        <v>0</v>
      </c>
      <c r="AA2" s="32">
        <v>45717</v>
      </c>
      <c r="AB2" s="28">
        <v>0.13821138211382114</v>
      </c>
      <c r="AC2" s="28">
        <v>0.14634146341463414</v>
      </c>
      <c r="AD2" s="28">
        <v>0.13821138211382114</v>
      </c>
      <c r="AE2" s="28">
        <v>0.13821138211382114</v>
      </c>
      <c r="BA2" s="32">
        <v>45689</v>
      </c>
      <c r="BB2" s="28">
        <v>0</v>
      </c>
      <c r="BC2" s="28">
        <v>0</v>
      </c>
      <c r="BD2" s="28">
        <v>0</v>
      </c>
      <c r="BE2" s="28">
        <v>0</v>
      </c>
    </row>
    <row r="3" spans="1:57">
      <c r="A3" s="32">
        <v>45717</v>
      </c>
      <c r="B3" s="28">
        <v>0.20218579234972678</v>
      </c>
      <c r="C3" s="28">
        <v>0.14754098360655737</v>
      </c>
      <c r="D3" s="28">
        <v>8.1967213114754092E-2</v>
      </c>
      <c r="E3" s="28">
        <v>8.1967213114754092E-2</v>
      </c>
      <c r="AA3" s="32">
        <v>45748</v>
      </c>
      <c r="AB3" s="28">
        <v>0.25203252032520324</v>
      </c>
      <c r="AC3" s="28">
        <v>0.26016260162601623</v>
      </c>
      <c r="AD3" s="28">
        <v>0.13821138211382114</v>
      </c>
      <c r="AE3" s="28">
        <v>0.13821138211382114</v>
      </c>
      <c r="BA3" s="32">
        <v>45717</v>
      </c>
      <c r="BB3" s="28">
        <v>0.30084745762711862</v>
      </c>
      <c r="BC3" s="28">
        <v>9.3220338983050849E-2</v>
      </c>
      <c r="BD3" s="28">
        <v>0</v>
      </c>
      <c r="BE3" s="28">
        <v>4.2372881355932203E-3</v>
      </c>
    </row>
    <row r="4" spans="1:57">
      <c r="A4" s="32">
        <v>45748</v>
      </c>
      <c r="B4" s="28">
        <v>0.22950819672131148</v>
      </c>
      <c r="C4" s="28">
        <v>0.25683060109289618</v>
      </c>
      <c r="D4" s="28">
        <v>0.21311475409836067</v>
      </c>
      <c r="E4" s="28">
        <v>9.8360655737704916E-2</v>
      </c>
      <c r="AA4" s="32">
        <v>45778</v>
      </c>
      <c r="AB4" s="28">
        <v>0.41463414634146339</v>
      </c>
      <c r="AC4" s="28">
        <v>0.32520325203252032</v>
      </c>
      <c r="AD4" s="28">
        <v>0.25203252032520324</v>
      </c>
      <c r="AE4" s="28">
        <v>0.15447154471544716</v>
      </c>
      <c r="BA4" s="32">
        <v>45748</v>
      </c>
      <c r="BB4" s="28">
        <v>0.3135593220338983</v>
      </c>
      <c r="BC4" s="28">
        <v>0.24152542372881355</v>
      </c>
      <c r="BD4" s="28">
        <v>0.19915254237288135</v>
      </c>
      <c r="BE4" s="28">
        <v>4.6610169491525424E-2</v>
      </c>
    </row>
    <row r="5" spans="1:57">
      <c r="A5" s="32">
        <v>45778</v>
      </c>
      <c r="B5" s="28">
        <v>0.31693989071038253</v>
      </c>
      <c r="C5" s="28">
        <v>0.27322404371584702</v>
      </c>
      <c r="D5" s="28">
        <v>0.24043715846994537</v>
      </c>
      <c r="E5" s="28">
        <v>0.15300546448087432</v>
      </c>
      <c r="AA5" s="32">
        <v>45809</v>
      </c>
      <c r="AB5" s="28">
        <v>0.43902439024390244</v>
      </c>
      <c r="AC5" s="28">
        <v>0.42276422764227639</v>
      </c>
      <c r="AD5" s="28">
        <v>0.41463414634146339</v>
      </c>
      <c r="AE5" s="28">
        <v>0.15447154471544716</v>
      </c>
      <c r="BA5" s="32">
        <v>45778</v>
      </c>
      <c r="BB5" s="28">
        <v>0.43220338983050849</v>
      </c>
      <c r="BC5" s="28">
        <v>0.30084745762711862</v>
      </c>
      <c r="BD5" s="28">
        <v>0.26694915254237289</v>
      </c>
      <c r="BE5" s="28">
        <v>0.1271186440677966</v>
      </c>
    </row>
    <row r="6" spans="1:57">
      <c r="A6" s="32">
        <v>45809</v>
      </c>
      <c r="B6" s="28">
        <v>0.45901639344262296</v>
      </c>
      <c r="C6" s="28">
        <v>0.34426229508196726</v>
      </c>
      <c r="D6" s="28">
        <v>0.32786885245901642</v>
      </c>
      <c r="E6" s="28">
        <v>0.22950819672131148</v>
      </c>
      <c r="AA6" s="32">
        <v>45839</v>
      </c>
      <c r="AB6" s="28">
        <v>0.43902439024390244</v>
      </c>
      <c r="AC6" s="28">
        <v>0.45528455284552843</v>
      </c>
      <c r="AD6" s="28">
        <v>0.43902439024390244</v>
      </c>
      <c r="AE6" s="28">
        <v>0.21951219512195125</v>
      </c>
      <c r="BA6" s="32">
        <v>45809</v>
      </c>
      <c r="BB6" s="28">
        <v>0.63135593220338981</v>
      </c>
      <c r="BC6" s="28">
        <v>0.3559322033898305</v>
      </c>
      <c r="BD6" s="28">
        <v>0.41949152542372881</v>
      </c>
      <c r="BE6" s="28">
        <v>0.24576271186440679</v>
      </c>
    </row>
    <row r="7" spans="1:57">
      <c r="A7" s="32">
        <v>45839</v>
      </c>
      <c r="B7" s="28">
        <v>0.57377049180327866</v>
      </c>
      <c r="C7" s="28">
        <v>0.45355191256830607</v>
      </c>
      <c r="D7" s="28">
        <v>0.4754098360655738</v>
      </c>
      <c r="E7" s="28">
        <v>0.27322404371584702</v>
      </c>
      <c r="AA7" s="32">
        <v>45870</v>
      </c>
      <c r="AB7" s="28">
        <v>0.44715447154471544</v>
      </c>
      <c r="AC7" s="28">
        <v>0.47154471544715443</v>
      </c>
      <c r="AD7" s="28">
        <v>0.44715447154471544</v>
      </c>
      <c r="AE7" s="28">
        <v>0.23577235772357727</v>
      </c>
      <c r="BA7" s="32">
        <v>45839</v>
      </c>
      <c r="BB7" s="28">
        <v>0.74152542372881358</v>
      </c>
      <c r="BC7" s="28">
        <v>0.48305084745762711</v>
      </c>
      <c r="BD7" s="28">
        <v>0.59322033898305082</v>
      </c>
      <c r="BE7" s="28">
        <v>0.30508474576271188</v>
      </c>
    </row>
    <row r="8" spans="1:57">
      <c r="A8" s="32">
        <v>45870</v>
      </c>
      <c r="B8" s="28">
        <v>0.57377049180327866</v>
      </c>
      <c r="C8" s="28">
        <v>0.56284153005464488</v>
      </c>
      <c r="D8" s="28">
        <v>0.60655737704918034</v>
      </c>
      <c r="E8" s="28">
        <v>0.30601092896174864</v>
      </c>
      <c r="AA8" s="32">
        <v>45901</v>
      </c>
      <c r="AB8" s="28">
        <v>0.44715447154471544</v>
      </c>
      <c r="AC8" s="28">
        <v>0.47154471544715443</v>
      </c>
      <c r="AD8" s="28">
        <v>0.44715447154471544</v>
      </c>
      <c r="AE8" s="28">
        <v>0.41463414634146345</v>
      </c>
      <c r="BA8" s="32">
        <v>45870</v>
      </c>
      <c r="BB8" s="28">
        <v>0.74152542372881358</v>
      </c>
      <c r="BC8" s="28">
        <v>0.61440677966101698</v>
      </c>
      <c r="BD8" s="28">
        <v>0.80932203389830504</v>
      </c>
      <c r="BE8" s="28">
        <v>0.31779661016949157</v>
      </c>
    </row>
    <row r="9" spans="1:57">
      <c r="A9" s="32">
        <v>45901</v>
      </c>
      <c r="B9" s="28">
        <v>0.57377049180327866</v>
      </c>
      <c r="C9" s="28">
        <v>0.6010928961748635</v>
      </c>
      <c r="D9" s="28">
        <v>0.60655737704918034</v>
      </c>
      <c r="E9" s="28">
        <v>0.36612021857923499</v>
      </c>
      <c r="AA9" s="32">
        <v>45931</v>
      </c>
      <c r="AB9" s="28">
        <v>0.49593495934959347</v>
      </c>
      <c r="AC9" s="28">
        <v>0.53658536585365846</v>
      </c>
      <c r="AD9" s="28">
        <v>0.44715447154471544</v>
      </c>
      <c r="AE9" s="28">
        <v>0.45528455284552849</v>
      </c>
      <c r="BA9" s="32">
        <v>45901</v>
      </c>
      <c r="BB9" s="28">
        <v>0.74152542372881358</v>
      </c>
      <c r="BC9" s="28">
        <v>0.66949152542372881</v>
      </c>
      <c r="BD9" s="28">
        <v>0.80932203389830504</v>
      </c>
      <c r="BE9" s="28">
        <v>0.31779661016949157</v>
      </c>
    </row>
    <row r="10" spans="1:57">
      <c r="A10" s="32">
        <v>45931</v>
      </c>
      <c r="B10" s="28">
        <v>0.65573770491803274</v>
      </c>
      <c r="C10" s="28">
        <v>0.6502732240437159</v>
      </c>
      <c r="D10" s="28">
        <v>0.61748633879781423</v>
      </c>
      <c r="E10" s="28">
        <v>0.52459016393442626</v>
      </c>
      <c r="AA10" s="32">
        <v>45962</v>
      </c>
      <c r="AB10" s="28">
        <v>0.65040650406504064</v>
      </c>
      <c r="AC10" s="28">
        <v>0.72357723577235766</v>
      </c>
      <c r="AD10" s="28">
        <v>0.55284552845528456</v>
      </c>
      <c r="AE10" s="28">
        <v>0.49593495934959353</v>
      </c>
      <c r="BA10" s="32">
        <v>45931</v>
      </c>
      <c r="BB10" s="28">
        <v>0.86016949152542377</v>
      </c>
      <c r="BC10" s="28">
        <v>0.73728813559322037</v>
      </c>
      <c r="BD10" s="28">
        <v>0.80932203389830504</v>
      </c>
      <c r="BE10" s="28">
        <v>0.61440677966101698</v>
      </c>
    </row>
    <row r="11" spans="1:57">
      <c r="A11" s="32">
        <v>45962</v>
      </c>
      <c r="B11" s="28">
        <v>0.74316939890710376</v>
      </c>
      <c r="C11" s="28">
        <v>0.75409836065573776</v>
      </c>
      <c r="D11" s="28">
        <v>0.73770491803278693</v>
      </c>
      <c r="E11" s="28">
        <v>0.52459016393442626</v>
      </c>
      <c r="AA11" s="32">
        <v>45992</v>
      </c>
      <c r="AB11" s="28">
        <v>1</v>
      </c>
      <c r="AC11" s="28">
        <v>0.92682926829268286</v>
      </c>
      <c r="AD11" s="28">
        <v>0.75609756097560976</v>
      </c>
      <c r="AE11" s="28">
        <v>0.86178861788617889</v>
      </c>
      <c r="BA11" s="32">
        <v>45962</v>
      </c>
      <c r="BB11" s="28">
        <v>0.97881355932203395</v>
      </c>
      <c r="BC11" s="28">
        <v>0.97033898305084754</v>
      </c>
      <c r="BD11" s="28">
        <v>0.98305084745762705</v>
      </c>
      <c r="BE11" s="28">
        <v>0.61440677966101698</v>
      </c>
    </row>
    <row r="12" spans="1:57">
      <c r="A12" s="32">
        <v>45992</v>
      </c>
      <c r="B12" s="28">
        <v>0.86885245901639341</v>
      </c>
      <c r="C12" s="28">
        <v>0.82513661202185795</v>
      </c>
      <c r="D12" s="28">
        <v>0.75956284153005471</v>
      </c>
      <c r="E12" s="28">
        <v>0.75409836065573776</v>
      </c>
      <c r="AA12" s="32">
        <v>46023</v>
      </c>
      <c r="AB12" s="28">
        <v>1</v>
      </c>
      <c r="AC12" s="28">
        <v>0.94308943089430886</v>
      </c>
      <c r="AD12" s="28">
        <v>1</v>
      </c>
      <c r="AE12" s="28">
        <v>0.89430894308943087</v>
      </c>
      <c r="BA12" s="32">
        <v>45992</v>
      </c>
      <c r="BB12" s="28">
        <v>1</v>
      </c>
      <c r="BC12" s="28">
        <v>0.97033898305084754</v>
      </c>
      <c r="BD12" s="28">
        <v>0.99152542372881347</v>
      </c>
      <c r="BE12" s="28">
        <v>0.78813559322033899</v>
      </c>
    </row>
    <row r="13" spans="1:57">
      <c r="A13" s="32">
        <v>46023</v>
      </c>
      <c r="B13" s="28">
        <v>0.86885245901639341</v>
      </c>
      <c r="C13" s="28">
        <v>0.85792349726775963</v>
      </c>
      <c r="D13" s="28">
        <v>0.86885245901639352</v>
      </c>
      <c r="E13" s="28">
        <v>0.75956284153005471</v>
      </c>
      <c r="AA13" s="32" t="s">
        <v>1117</v>
      </c>
      <c r="AB13" s="28"/>
      <c r="AC13" s="28"/>
      <c r="AD13" s="28"/>
      <c r="AE13" s="28"/>
      <c r="BA13" s="32" t="s">
        <v>1117</v>
      </c>
      <c r="BB13" s="28"/>
      <c r="BC13" s="28"/>
      <c r="BD13" s="28"/>
      <c r="BE13" s="28"/>
    </row>
    <row r="14" spans="1:57">
      <c r="A14" s="32">
        <v>46054</v>
      </c>
      <c r="B14" s="28">
        <v>1</v>
      </c>
      <c r="C14" s="28">
        <v>0.93442622950819676</v>
      </c>
      <c r="D14" s="28">
        <v>0.86885245901639352</v>
      </c>
      <c r="E14" s="28">
        <v>0.84153005464480879</v>
      </c>
    </row>
    <row r="15" spans="1:57">
      <c r="A15" s="32">
        <v>46082</v>
      </c>
      <c r="B15" s="28">
        <v>1</v>
      </c>
      <c r="C15" s="28">
        <v>0.94535519125683065</v>
      </c>
      <c r="D15" s="28">
        <v>1</v>
      </c>
      <c r="E15" s="28">
        <v>0.84153005464480879</v>
      </c>
    </row>
    <row r="16" spans="1:57">
      <c r="A16" s="32" t="s">
        <v>1117</v>
      </c>
      <c r="B16" s="28"/>
      <c r="C16" s="28"/>
      <c r="D16" s="28"/>
      <c r="E16" s="28"/>
    </row>
  </sheetData>
  <pageMargins left="0.7" right="0.7" top="0.75" bottom="0.75" header="0.3" footer="0.3"/>
  <drawing r:id="rId4"/>
  <extLst>
    <ext xmlns:x15="http://schemas.microsoft.com/office/spreadsheetml/2010/11/main" uri="{7E03D99C-DC04-49d9-9315-930204A7B6E9}">
      <x15:timelineRefs>
        <x15:timelineRef r:id="rId5"/>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F2806-617B-4F1D-B667-21689FAB5CC0}">
  <dimension ref="A1:I80"/>
  <sheetViews>
    <sheetView topLeftCell="A58" workbookViewId="0">
      <selection activeCell="G65" sqref="G65"/>
    </sheetView>
  </sheetViews>
  <sheetFormatPr defaultRowHeight="14.5"/>
  <cols>
    <col min="1" max="1" width="14.26953125" bestFit="1" customWidth="1"/>
    <col min="2" max="2" width="11.453125" bestFit="1" customWidth="1"/>
    <col min="3" max="3" width="9.54296875" bestFit="1" customWidth="1"/>
    <col min="4" max="4" width="9" bestFit="1" customWidth="1"/>
    <col min="5" max="24" width="31.7265625" bestFit="1" customWidth="1"/>
    <col min="25" max="25" width="19.36328125" bestFit="1" customWidth="1"/>
    <col min="26" max="26" width="36.54296875" bestFit="1" customWidth="1"/>
    <col min="27" max="27" width="31.90625" bestFit="1" customWidth="1"/>
  </cols>
  <sheetData>
    <row r="1" spans="1:2">
      <c r="A1" s="25" t="s">
        <v>1116</v>
      </c>
      <c r="B1" t="s">
        <v>1125</v>
      </c>
    </row>
    <row r="2" spans="1:2">
      <c r="A2" s="27" t="s">
        <v>695</v>
      </c>
      <c r="B2">
        <v>123</v>
      </c>
    </row>
    <row r="3" spans="1:2">
      <c r="A3" s="27" t="s">
        <v>15</v>
      </c>
      <c r="B3">
        <v>236</v>
      </c>
    </row>
    <row r="4" spans="1:2">
      <c r="A4" s="27" t="s">
        <v>1107</v>
      </c>
      <c r="B4">
        <v>183</v>
      </c>
    </row>
    <row r="5" spans="1:2">
      <c r="A5" s="27" t="s">
        <v>1117</v>
      </c>
      <c r="B5">
        <v>542</v>
      </c>
    </row>
    <row r="24" spans="1:8">
      <c r="A24" s="25" t="s">
        <v>1116</v>
      </c>
      <c r="B24" t="s">
        <v>1125</v>
      </c>
      <c r="C24" t="s">
        <v>1126</v>
      </c>
      <c r="D24" t="s">
        <v>1127</v>
      </c>
      <c r="F24" s="12" t="s">
        <v>1</v>
      </c>
      <c r="G24" s="12" t="s">
        <v>1128</v>
      </c>
      <c r="H24" s="12" t="s">
        <v>1129</v>
      </c>
    </row>
    <row r="25" spans="1:8">
      <c r="A25" s="27" t="s">
        <v>695</v>
      </c>
      <c r="B25">
        <v>123</v>
      </c>
      <c r="C25">
        <v>123</v>
      </c>
      <c r="D25">
        <v>123</v>
      </c>
      <c r="F25" t="str">
        <f>A25</f>
        <v>Architecture</v>
      </c>
      <c r="G25" s="33">
        <f>GETPIVOTDATA("Count of Actual Submission to Client",$A$24,"Discipline","Architecture")/GETPIVOTDATA("Count of DRG ID",$A$24,"Discipline","Architecture")</f>
        <v>1</v>
      </c>
      <c r="H25" s="33">
        <f>GETPIVOTDATA("Count of Actual  Approval Date",$A$24,"Discipline","Architecture")/GETPIVOTDATA("Count of DRG ID",$A$24,"Discipline","Architecture")</f>
        <v>1</v>
      </c>
    </row>
    <row r="26" spans="1:8">
      <c r="A26" s="27" t="s">
        <v>15</v>
      </c>
      <c r="B26">
        <v>236</v>
      </c>
      <c r="C26">
        <v>236</v>
      </c>
      <c r="D26">
        <v>223</v>
      </c>
      <c r="F26" t="str">
        <f t="shared" ref="F26:F27" si="0">A26</f>
        <v>MEP</v>
      </c>
      <c r="G26" s="33">
        <f>GETPIVOTDATA("Count of Actual Submission to Client",$A$24,"Discipline","MEP")/GETPIVOTDATA("Count of DRG ID",$A$24,"Discipline","MEP")</f>
        <v>1</v>
      </c>
      <c r="H26" s="33">
        <f>GETPIVOTDATA("Count of Actual  Approval Date",$A$24,"Discipline","MEP")/GETPIVOTDATA("Count of DRG ID",$A$24,"Discipline","MEP")</f>
        <v>0.94491525423728817</v>
      </c>
    </row>
    <row r="27" spans="1:8">
      <c r="A27" s="27" t="s">
        <v>1107</v>
      </c>
      <c r="B27">
        <v>183</v>
      </c>
      <c r="C27">
        <v>176</v>
      </c>
      <c r="D27">
        <v>175</v>
      </c>
      <c r="F27" t="str">
        <f t="shared" si="0"/>
        <v>Structural</v>
      </c>
      <c r="G27" s="33">
        <f>GETPIVOTDATA("Count of Actual Submission to Client",$A$24,"Discipline","Structural")/GETPIVOTDATA("Count of DRG ID",$A$24,"Discipline","Structural")</f>
        <v>0.96174863387978138</v>
      </c>
      <c r="H27" s="33">
        <f>GETPIVOTDATA("Count of Actual  Approval Date",$A$24,"Discipline","Structural")/GETPIVOTDATA("Count of DRG ID",$A$24,"Discipline","Structural")</f>
        <v>0.95628415300546443</v>
      </c>
    </row>
    <row r="28" spans="1:8">
      <c r="A28" s="27" t="s">
        <v>1117</v>
      </c>
      <c r="B28">
        <v>542</v>
      </c>
      <c r="C28">
        <v>535</v>
      </c>
      <c r="D28">
        <v>521</v>
      </c>
    </row>
    <row r="39" spans="1:4">
      <c r="A39" t="s">
        <v>1135</v>
      </c>
      <c r="B39" t="s">
        <v>1136</v>
      </c>
      <c r="C39" t="s">
        <v>1137</v>
      </c>
      <c r="D39" t="s">
        <v>1136</v>
      </c>
    </row>
    <row r="40" spans="1:4">
      <c r="A40" t="s">
        <v>1130</v>
      </c>
      <c r="B40" s="27">
        <v>0</v>
      </c>
      <c r="C40" t="s">
        <v>1136</v>
      </c>
      <c r="D40" s="34">
        <f>H27*100</f>
        <v>95.628415300546436</v>
      </c>
    </row>
    <row r="41" spans="1:4">
      <c r="A41" t="s">
        <v>1131</v>
      </c>
      <c r="B41" s="27">
        <v>30</v>
      </c>
      <c r="C41" t="s">
        <v>1137</v>
      </c>
      <c r="D41" s="27">
        <v>2</v>
      </c>
    </row>
    <row r="42" spans="1:4">
      <c r="A42" t="s">
        <v>1132</v>
      </c>
      <c r="B42" s="27">
        <v>40</v>
      </c>
      <c r="C42" t="s">
        <v>1133</v>
      </c>
      <c r="D42" s="34">
        <f>SUM(B40:B44)-SUM(D40:D41)</f>
        <v>102.37158469945356</v>
      </c>
    </row>
    <row r="43" spans="1:4">
      <c r="A43" t="s">
        <v>1133</v>
      </c>
      <c r="B43" s="27">
        <v>30</v>
      </c>
      <c r="D43" s="27"/>
    </row>
    <row r="44" spans="1:4">
      <c r="A44" t="s">
        <v>1134</v>
      </c>
      <c r="B44" s="27">
        <v>100</v>
      </c>
    </row>
    <row r="63" spans="9:9">
      <c r="I63" s="33"/>
    </row>
    <row r="64" spans="9:9">
      <c r="I64" s="33"/>
    </row>
    <row r="65" spans="1:9">
      <c r="I65" s="33"/>
    </row>
    <row r="66" spans="1:9">
      <c r="I66" s="33"/>
    </row>
    <row r="67" spans="1:9">
      <c r="I67" s="33"/>
    </row>
    <row r="69" spans="1:9">
      <c r="A69" s="25" t="s">
        <v>1</v>
      </c>
      <c r="B69" t="s">
        <v>1138</v>
      </c>
    </row>
    <row r="71" spans="1:9">
      <c r="A71" s="25" t="s">
        <v>1116</v>
      </c>
      <c r="B71" t="s">
        <v>1110</v>
      </c>
      <c r="C71" t="s">
        <v>1123</v>
      </c>
      <c r="D71" t="s">
        <v>1124</v>
      </c>
    </row>
    <row r="72" spans="1:9">
      <c r="A72" s="27" t="s">
        <v>125</v>
      </c>
      <c r="B72">
        <v>79</v>
      </c>
      <c r="C72">
        <v>79</v>
      </c>
      <c r="D72">
        <v>76</v>
      </c>
    </row>
    <row r="73" spans="1:9">
      <c r="A73" s="27" t="s">
        <v>263</v>
      </c>
      <c r="B73">
        <v>65</v>
      </c>
      <c r="C73">
        <v>65</v>
      </c>
      <c r="D73">
        <v>56</v>
      </c>
    </row>
    <row r="74" spans="1:9">
      <c r="A74" s="27" t="s">
        <v>1058</v>
      </c>
      <c r="B74">
        <v>24</v>
      </c>
      <c r="C74">
        <v>18</v>
      </c>
      <c r="D74">
        <v>18</v>
      </c>
    </row>
    <row r="75" spans="1:9">
      <c r="A75" s="27" t="s">
        <v>397</v>
      </c>
      <c r="B75">
        <v>46</v>
      </c>
      <c r="C75">
        <v>46</v>
      </c>
      <c r="D75">
        <v>46</v>
      </c>
    </row>
    <row r="76" spans="1:9">
      <c r="A76" s="27" t="s">
        <v>490</v>
      </c>
      <c r="B76">
        <v>76</v>
      </c>
      <c r="C76">
        <v>76</v>
      </c>
      <c r="D76">
        <v>75</v>
      </c>
    </row>
    <row r="77" spans="1:9">
      <c r="A77" s="27" t="s">
        <v>15</v>
      </c>
      <c r="B77">
        <v>26</v>
      </c>
      <c r="C77">
        <v>26</v>
      </c>
      <c r="D77">
        <v>26</v>
      </c>
    </row>
    <row r="78" spans="1:9">
      <c r="A78" s="27" t="s">
        <v>696</v>
      </c>
      <c r="B78">
        <v>180</v>
      </c>
      <c r="C78">
        <v>179</v>
      </c>
      <c r="D78">
        <v>179</v>
      </c>
    </row>
    <row r="79" spans="1:9">
      <c r="A79" s="27" t="s">
        <v>16</v>
      </c>
      <c r="B79">
        <v>46</v>
      </c>
      <c r="C79">
        <v>46</v>
      </c>
      <c r="D79">
        <v>45</v>
      </c>
    </row>
    <row r="80" spans="1:9">
      <c r="A80" s="27" t="s">
        <v>1117</v>
      </c>
      <c r="B80">
        <v>542</v>
      </c>
      <c r="C80">
        <v>535</v>
      </c>
      <c r="D80">
        <v>521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031FC-D67B-4925-A9F1-BEE658CA5C8F}">
  <dimension ref="A1:Q543"/>
  <sheetViews>
    <sheetView workbookViewId="0">
      <pane ySplit="1" topLeftCell="A245" activePane="bottomLeft" state="frozen"/>
      <selection pane="bottomLeft" activeCell="B250" sqref="B250"/>
    </sheetView>
  </sheetViews>
  <sheetFormatPr defaultRowHeight="14.5"/>
  <cols>
    <col min="1" max="1" width="6.7265625" bestFit="1" customWidth="1"/>
    <col min="2" max="2" width="11" bestFit="1" customWidth="1"/>
    <col min="3" max="3" width="14.26953125" bestFit="1" customWidth="1"/>
    <col min="4" max="4" width="56.26953125" bestFit="1" customWidth="1"/>
    <col min="5" max="5" width="29.6328125" bestFit="1" customWidth="1"/>
    <col min="6" max="6" width="67.54296875" bestFit="1" customWidth="1"/>
    <col min="7" max="7" width="19.54296875" bestFit="1" customWidth="1"/>
    <col min="8" max="8" width="19.81640625" bestFit="1" customWidth="1"/>
    <col min="9" max="9" width="42.54296875" bestFit="1" customWidth="1"/>
    <col min="10" max="10" width="26.08984375" bestFit="1" customWidth="1"/>
    <col min="11" max="11" width="29.81640625" bestFit="1" customWidth="1"/>
    <col min="12" max="12" width="25.26953125" bestFit="1" customWidth="1"/>
    <col min="13" max="13" width="22.54296875" bestFit="1" customWidth="1"/>
    <col min="14" max="14" width="21.453125" bestFit="1" customWidth="1"/>
    <col min="15" max="15" width="27.90625" bestFit="1" customWidth="1"/>
    <col min="16" max="16" width="26.1796875" bestFit="1" customWidth="1"/>
    <col min="17" max="17" width="61.81640625" bestFit="1" customWidth="1"/>
  </cols>
  <sheetData>
    <row r="1" spans="1:17" s="11" customFormat="1">
      <c r="A1" s="12" t="s">
        <v>0</v>
      </c>
      <c r="B1" s="12" t="s">
        <v>1</v>
      </c>
      <c r="C1" s="12" t="s">
        <v>2</v>
      </c>
      <c r="D1" s="12" t="s">
        <v>3</v>
      </c>
      <c r="E1" s="12" t="s">
        <v>1105</v>
      </c>
      <c r="F1" s="12" t="s">
        <v>1106</v>
      </c>
      <c r="G1" s="12" t="s">
        <v>4</v>
      </c>
      <c r="H1" s="15" t="s">
        <v>5</v>
      </c>
      <c r="I1" s="12" t="s">
        <v>6</v>
      </c>
      <c r="J1" s="15" t="s">
        <v>7</v>
      </c>
      <c r="K1" s="12" t="s">
        <v>8</v>
      </c>
      <c r="L1" s="12" t="s">
        <v>9</v>
      </c>
      <c r="M1" s="15" t="s">
        <v>10</v>
      </c>
      <c r="N1" s="15" t="s">
        <v>11</v>
      </c>
      <c r="O1" s="12" t="s">
        <v>12</v>
      </c>
      <c r="P1" s="12" t="s">
        <v>13</v>
      </c>
      <c r="Q1" s="12" t="s">
        <v>14</v>
      </c>
    </row>
    <row r="2" spans="1:17">
      <c r="A2" s="13">
        <v>1</v>
      </c>
      <c r="B2" s="13" t="s">
        <v>15</v>
      </c>
      <c r="C2" s="13" t="s">
        <v>16</v>
      </c>
      <c r="D2" s="13" t="s">
        <v>17</v>
      </c>
      <c r="E2" s="13" t="s">
        <v>18</v>
      </c>
      <c r="F2" s="13" t="s">
        <v>19</v>
      </c>
      <c r="G2" s="13" t="s">
        <v>20</v>
      </c>
      <c r="H2" s="14">
        <v>45747</v>
      </c>
      <c r="I2" s="14">
        <v>45747</v>
      </c>
      <c r="J2" s="14">
        <v>45751</v>
      </c>
      <c r="K2" s="14">
        <v>45759</v>
      </c>
      <c r="L2" s="14">
        <v>45751</v>
      </c>
      <c r="M2" s="14">
        <v>45766</v>
      </c>
      <c r="N2" s="14">
        <v>45808</v>
      </c>
      <c r="O2" s="14">
        <v>45773</v>
      </c>
      <c r="P2" s="14"/>
      <c r="Q2" s="13"/>
    </row>
    <row r="3" spans="1:17">
      <c r="A3" s="13">
        <v>2</v>
      </c>
      <c r="B3" s="13" t="s">
        <v>15</v>
      </c>
      <c r="C3" s="13" t="s">
        <v>16</v>
      </c>
      <c r="D3" s="13" t="s">
        <v>21</v>
      </c>
      <c r="E3" s="13" t="s">
        <v>18</v>
      </c>
      <c r="F3" s="13" t="s">
        <v>22</v>
      </c>
      <c r="G3" s="13" t="s">
        <v>20</v>
      </c>
      <c r="H3" s="14">
        <v>45747</v>
      </c>
      <c r="I3" s="14">
        <v>45747</v>
      </c>
      <c r="J3" s="14">
        <v>45751</v>
      </c>
      <c r="K3" s="14">
        <v>45759</v>
      </c>
      <c r="L3" s="14">
        <v>45751</v>
      </c>
      <c r="M3" s="14">
        <v>45766</v>
      </c>
      <c r="N3" s="14">
        <v>45808</v>
      </c>
      <c r="O3" s="14">
        <v>45773</v>
      </c>
      <c r="P3" s="14"/>
      <c r="Q3" s="13"/>
    </row>
    <row r="4" spans="1:17">
      <c r="A4" s="13">
        <v>3</v>
      </c>
      <c r="B4" s="13" t="s">
        <v>15</v>
      </c>
      <c r="C4" s="13" t="s">
        <v>16</v>
      </c>
      <c r="D4" s="13" t="s">
        <v>23</v>
      </c>
      <c r="E4" s="13" t="s">
        <v>24</v>
      </c>
      <c r="F4" s="13" t="s">
        <v>25</v>
      </c>
      <c r="G4" s="13" t="s">
        <v>20</v>
      </c>
      <c r="H4" s="14">
        <v>45747</v>
      </c>
      <c r="I4" s="14">
        <v>45747</v>
      </c>
      <c r="J4" s="14">
        <v>45754</v>
      </c>
      <c r="K4" s="14">
        <v>45759</v>
      </c>
      <c r="L4" s="14">
        <v>45805</v>
      </c>
      <c r="M4" s="14">
        <v>45766</v>
      </c>
      <c r="N4" s="14">
        <v>45812</v>
      </c>
      <c r="O4" s="14">
        <v>45773</v>
      </c>
      <c r="P4" s="14"/>
      <c r="Q4" s="13"/>
    </row>
    <row r="5" spans="1:17">
      <c r="A5" s="13">
        <v>4</v>
      </c>
      <c r="B5" s="13" t="s">
        <v>15</v>
      </c>
      <c r="C5" s="13" t="s">
        <v>16</v>
      </c>
      <c r="D5" s="13" t="s">
        <v>26</v>
      </c>
      <c r="E5" s="13" t="s">
        <v>24</v>
      </c>
      <c r="F5" s="13" t="s">
        <v>27</v>
      </c>
      <c r="G5" s="13" t="s">
        <v>20</v>
      </c>
      <c r="H5" s="14">
        <v>45747</v>
      </c>
      <c r="I5" s="14">
        <v>45747</v>
      </c>
      <c r="J5" s="14">
        <v>45754</v>
      </c>
      <c r="K5" s="14">
        <v>45759</v>
      </c>
      <c r="L5" s="14">
        <v>45805</v>
      </c>
      <c r="M5" s="14">
        <v>45766</v>
      </c>
      <c r="N5" s="14">
        <v>45812</v>
      </c>
      <c r="O5" s="14">
        <v>45773</v>
      </c>
      <c r="P5" s="14"/>
      <c r="Q5" s="13"/>
    </row>
    <row r="6" spans="1:17">
      <c r="A6" s="13">
        <v>5</v>
      </c>
      <c r="B6" s="13" t="s">
        <v>15</v>
      </c>
      <c r="C6" s="13" t="s">
        <v>16</v>
      </c>
      <c r="D6" s="13" t="s">
        <v>28</v>
      </c>
      <c r="E6" s="13" t="s">
        <v>29</v>
      </c>
      <c r="F6" s="13" t="s">
        <v>30</v>
      </c>
      <c r="G6" s="13" t="s">
        <v>20</v>
      </c>
      <c r="H6" s="14">
        <v>45976</v>
      </c>
      <c r="I6" s="14">
        <v>45747</v>
      </c>
      <c r="J6" s="14">
        <v>45974</v>
      </c>
      <c r="K6" s="14">
        <v>45759</v>
      </c>
      <c r="L6" s="14">
        <v>45796</v>
      </c>
      <c r="M6" s="14">
        <v>45990</v>
      </c>
      <c r="N6" s="14">
        <v>45995</v>
      </c>
      <c r="O6" s="14">
        <v>45997</v>
      </c>
      <c r="P6" s="14"/>
      <c r="Q6" s="13"/>
    </row>
    <row r="7" spans="1:17">
      <c r="A7" s="13">
        <v>6</v>
      </c>
      <c r="B7" s="13" t="s">
        <v>15</v>
      </c>
      <c r="C7" s="13" t="s">
        <v>16</v>
      </c>
      <c r="D7" s="13" t="s">
        <v>31</v>
      </c>
      <c r="E7" s="13" t="s">
        <v>29</v>
      </c>
      <c r="F7" s="13" t="s">
        <v>32</v>
      </c>
      <c r="G7" s="13" t="s">
        <v>20</v>
      </c>
      <c r="H7" s="14">
        <v>45976</v>
      </c>
      <c r="I7" s="14">
        <v>45747</v>
      </c>
      <c r="J7" s="14">
        <v>45974</v>
      </c>
      <c r="K7" s="14">
        <v>45759</v>
      </c>
      <c r="L7" s="14">
        <v>45796</v>
      </c>
      <c r="M7" s="14">
        <v>45990</v>
      </c>
      <c r="N7" s="14">
        <v>45995</v>
      </c>
      <c r="O7" s="14">
        <v>45997</v>
      </c>
      <c r="P7" s="14"/>
      <c r="Q7" s="13"/>
    </row>
    <row r="8" spans="1:17">
      <c r="A8" s="13">
        <v>7</v>
      </c>
      <c r="B8" s="13" t="s">
        <v>15</v>
      </c>
      <c r="C8" s="13" t="s">
        <v>16</v>
      </c>
      <c r="D8" s="13" t="s">
        <v>33</v>
      </c>
      <c r="E8" s="13" t="s">
        <v>34</v>
      </c>
      <c r="F8" s="13" t="s">
        <v>35</v>
      </c>
      <c r="G8" s="13" t="s">
        <v>20</v>
      </c>
      <c r="H8" s="14">
        <v>45960</v>
      </c>
      <c r="I8" s="14">
        <v>45760</v>
      </c>
      <c r="J8" s="14">
        <v>45966</v>
      </c>
      <c r="K8" s="14">
        <v>45772</v>
      </c>
      <c r="L8" s="14">
        <v>45751</v>
      </c>
      <c r="M8" s="14">
        <v>45974</v>
      </c>
      <c r="N8" s="14">
        <v>45995</v>
      </c>
      <c r="O8" s="14">
        <v>45981</v>
      </c>
      <c r="P8" s="14"/>
      <c r="Q8" s="13"/>
    </row>
    <row r="9" spans="1:17">
      <c r="A9" s="13">
        <v>8</v>
      </c>
      <c r="B9" s="13" t="s">
        <v>15</v>
      </c>
      <c r="C9" s="13" t="s">
        <v>16</v>
      </c>
      <c r="D9" s="13" t="s">
        <v>36</v>
      </c>
      <c r="E9" s="13" t="s">
        <v>34</v>
      </c>
      <c r="F9" s="13" t="s">
        <v>37</v>
      </c>
      <c r="G9" s="13" t="s">
        <v>20</v>
      </c>
      <c r="H9" s="14">
        <v>45960</v>
      </c>
      <c r="I9" s="14">
        <v>45760</v>
      </c>
      <c r="J9" s="14">
        <v>45966</v>
      </c>
      <c r="K9" s="14">
        <v>45772</v>
      </c>
      <c r="L9" s="14">
        <v>45751</v>
      </c>
      <c r="M9" s="14">
        <v>45974</v>
      </c>
      <c r="N9" s="14">
        <v>45995</v>
      </c>
      <c r="O9" s="14">
        <v>45981</v>
      </c>
      <c r="P9" s="14"/>
      <c r="Q9" s="13"/>
    </row>
    <row r="10" spans="1:17">
      <c r="A10" s="13">
        <v>9</v>
      </c>
      <c r="B10" s="13" t="s">
        <v>15</v>
      </c>
      <c r="C10" s="13" t="s">
        <v>16</v>
      </c>
      <c r="D10" s="13" t="s">
        <v>38</v>
      </c>
      <c r="E10" s="13" t="s">
        <v>39</v>
      </c>
      <c r="F10" s="13" t="s">
        <v>40</v>
      </c>
      <c r="G10" s="13" t="s">
        <v>20</v>
      </c>
      <c r="H10" s="14">
        <v>45955</v>
      </c>
      <c r="I10" s="14">
        <v>45776</v>
      </c>
      <c r="J10" s="14">
        <v>45958</v>
      </c>
      <c r="K10" s="14">
        <v>45788</v>
      </c>
      <c r="L10" s="14">
        <v>45889</v>
      </c>
      <c r="M10" s="14">
        <v>45969</v>
      </c>
      <c r="N10" s="14">
        <v>45995</v>
      </c>
      <c r="O10" s="14">
        <v>45976</v>
      </c>
      <c r="P10" s="14"/>
      <c r="Q10" s="13"/>
    </row>
    <row r="11" spans="1:17">
      <c r="A11" s="13">
        <v>10</v>
      </c>
      <c r="B11" s="13" t="s">
        <v>15</v>
      </c>
      <c r="C11" s="13" t="s">
        <v>16</v>
      </c>
      <c r="D11" s="13" t="s">
        <v>41</v>
      </c>
      <c r="E11" s="13" t="s">
        <v>39</v>
      </c>
      <c r="F11" s="13" t="s">
        <v>42</v>
      </c>
      <c r="G11" s="13" t="s">
        <v>20</v>
      </c>
      <c r="H11" s="14">
        <v>45955</v>
      </c>
      <c r="I11" s="14">
        <v>45776</v>
      </c>
      <c r="J11" s="14">
        <v>45958</v>
      </c>
      <c r="K11" s="14">
        <v>45788</v>
      </c>
      <c r="L11" s="14">
        <v>45889</v>
      </c>
      <c r="M11" s="14">
        <v>45969</v>
      </c>
      <c r="N11" s="14">
        <v>45995</v>
      </c>
      <c r="O11" s="14">
        <v>45976</v>
      </c>
      <c r="P11" s="14"/>
      <c r="Q11" s="13"/>
    </row>
    <row r="12" spans="1:17">
      <c r="A12" s="13">
        <v>11</v>
      </c>
      <c r="B12" s="13" t="s">
        <v>15</v>
      </c>
      <c r="C12" s="13" t="s">
        <v>16</v>
      </c>
      <c r="D12" s="13" t="s">
        <v>43</v>
      </c>
      <c r="E12" s="13" t="s">
        <v>44</v>
      </c>
      <c r="F12" s="13" t="s">
        <v>45</v>
      </c>
      <c r="G12" s="13" t="s">
        <v>20</v>
      </c>
      <c r="H12" s="14">
        <v>45790</v>
      </c>
      <c r="I12" s="14">
        <v>45790</v>
      </c>
      <c r="J12" s="14">
        <v>45796</v>
      </c>
      <c r="K12" s="14">
        <v>45802</v>
      </c>
      <c r="L12" s="14">
        <v>45751</v>
      </c>
      <c r="M12" s="14">
        <v>45804</v>
      </c>
      <c r="N12" s="14">
        <v>45812</v>
      </c>
      <c r="O12" s="14">
        <v>45811</v>
      </c>
      <c r="P12" s="14"/>
      <c r="Q12" s="13"/>
    </row>
    <row r="13" spans="1:17">
      <c r="A13" s="13">
        <v>12</v>
      </c>
      <c r="B13" s="13" t="s">
        <v>15</v>
      </c>
      <c r="C13" s="13" t="s">
        <v>16</v>
      </c>
      <c r="D13" s="13" t="s">
        <v>46</v>
      </c>
      <c r="E13" s="13" t="s">
        <v>44</v>
      </c>
      <c r="F13" s="13" t="s">
        <v>47</v>
      </c>
      <c r="G13" s="13" t="s">
        <v>20</v>
      </c>
      <c r="H13" s="14">
        <v>45790</v>
      </c>
      <c r="I13" s="14">
        <v>45790</v>
      </c>
      <c r="J13" s="14">
        <v>45796</v>
      </c>
      <c r="K13" s="14">
        <v>45802</v>
      </c>
      <c r="L13" s="14">
        <v>45751</v>
      </c>
      <c r="M13" s="14">
        <v>45809</v>
      </c>
      <c r="N13" s="14">
        <v>45812</v>
      </c>
      <c r="O13" s="14">
        <v>45816</v>
      </c>
      <c r="P13" s="14"/>
      <c r="Q13" s="13"/>
    </row>
    <row r="14" spans="1:17">
      <c r="A14" s="13">
        <v>13</v>
      </c>
      <c r="B14" s="13" t="s">
        <v>15</v>
      </c>
      <c r="C14" s="13" t="s">
        <v>16</v>
      </c>
      <c r="D14" s="13" t="s">
        <v>48</v>
      </c>
      <c r="E14" s="13" t="s">
        <v>49</v>
      </c>
      <c r="F14" s="13" t="s">
        <v>50</v>
      </c>
      <c r="G14" s="13" t="s">
        <v>20</v>
      </c>
      <c r="H14" s="14">
        <v>45806</v>
      </c>
      <c r="I14" s="14">
        <v>45806</v>
      </c>
      <c r="J14" s="14">
        <v>45840</v>
      </c>
      <c r="K14" s="14">
        <v>45818</v>
      </c>
      <c r="L14" s="14">
        <v>45877</v>
      </c>
      <c r="M14" s="14">
        <v>45825</v>
      </c>
      <c r="N14" s="14">
        <v>45946</v>
      </c>
      <c r="O14" s="14">
        <v>45832</v>
      </c>
      <c r="P14" s="14"/>
      <c r="Q14" s="13"/>
    </row>
    <row r="15" spans="1:17">
      <c r="A15" s="13">
        <v>14</v>
      </c>
      <c r="B15" s="13" t="s">
        <v>15</v>
      </c>
      <c r="C15" s="13" t="s">
        <v>16</v>
      </c>
      <c r="D15" s="13" t="s">
        <v>51</v>
      </c>
      <c r="E15" s="13" t="s">
        <v>49</v>
      </c>
      <c r="F15" s="13" t="s">
        <v>52</v>
      </c>
      <c r="G15" s="13" t="s">
        <v>20</v>
      </c>
      <c r="H15" s="14">
        <v>45806</v>
      </c>
      <c r="I15" s="14">
        <v>45806</v>
      </c>
      <c r="J15" s="14">
        <v>45840</v>
      </c>
      <c r="K15" s="14">
        <v>45818</v>
      </c>
      <c r="L15" s="14">
        <v>45877</v>
      </c>
      <c r="M15" s="14">
        <v>45825</v>
      </c>
      <c r="N15" s="14">
        <v>45946</v>
      </c>
      <c r="O15" s="14">
        <v>45832</v>
      </c>
      <c r="P15" s="14"/>
      <c r="Q15" s="13"/>
    </row>
    <row r="16" spans="1:17">
      <c r="A16" s="13">
        <v>15</v>
      </c>
      <c r="B16" s="13" t="s">
        <v>15</v>
      </c>
      <c r="C16" s="13" t="s">
        <v>16</v>
      </c>
      <c r="D16" s="13" t="s">
        <v>53</v>
      </c>
      <c r="E16" s="13" t="s">
        <v>54</v>
      </c>
      <c r="F16" s="13" t="s">
        <v>55</v>
      </c>
      <c r="G16" s="13" t="s">
        <v>20</v>
      </c>
      <c r="H16" s="14">
        <v>45821</v>
      </c>
      <c r="I16" s="14">
        <v>45821</v>
      </c>
      <c r="J16" s="14">
        <v>45847</v>
      </c>
      <c r="K16" s="14">
        <v>45833</v>
      </c>
      <c r="L16" s="14">
        <v>45883</v>
      </c>
      <c r="M16" s="14">
        <v>45840</v>
      </c>
      <c r="N16" s="14">
        <v>45946</v>
      </c>
      <c r="O16" s="14">
        <v>45847</v>
      </c>
      <c r="P16" s="14"/>
      <c r="Q16" s="13"/>
    </row>
    <row r="17" spans="1:17">
      <c r="A17" s="13">
        <v>16</v>
      </c>
      <c r="B17" s="13" t="s">
        <v>15</v>
      </c>
      <c r="C17" s="13" t="s">
        <v>16</v>
      </c>
      <c r="D17" s="13" t="s">
        <v>56</v>
      </c>
      <c r="E17" s="13" t="s">
        <v>54</v>
      </c>
      <c r="F17" s="13" t="s">
        <v>57</v>
      </c>
      <c r="G17" s="13" t="s">
        <v>20</v>
      </c>
      <c r="H17" s="14">
        <v>45821</v>
      </c>
      <c r="I17" s="14">
        <v>45821</v>
      </c>
      <c r="J17" s="14">
        <v>45847</v>
      </c>
      <c r="K17" s="14">
        <v>45833</v>
      </c>
      <c r="L17" s="14">
        <v>45883</v>
      </c>
      <c r="M17" s="14">
        <v>45840</v>
      </c>
      <c r="N17" s="14">
        <v>45946</v>
      </c>
      <c r="O17" s="14">
        <v>45847</v>
      </c>
      <c r="P17" s="14"/>
      <c r="Q17" s="13"/>
    </row>
    <row r="18" spans="1:17">
      <c r="A18" s="13">
        <v>17</v>
      </c>
      <c r="B18" s="13" t="s">
        <v>15</v>
      </c>
      <c r="C18" s="13" t="s">
        <v>16</v>
      </c>
      <c r="D18" s="13" t="s">
        <v>58</v>
      </c>
      <c r="E18" s="13" t="s">
        <v>59</v>
      </c>
      <c r="F18" s="13" t="s">
        <v>60</v>
      </c>
      <c r="G18" s="13" t="s">
        <v>20</v>
      </c>
      <c r="H18" s="14">
        <v>45837</v>
      </c>
      <c r="I18" s="14">
        <v>45837</v>
      </c>
      <c r="J18" s="14">
        <v>45896</v>
      </c>
      <c r="K18" s="14">
        <v>45849</v>
      </c>
      <c r="L18" s="14"/>
      <c r="M18" s="14">
        <v>45856</v>
      </c>
      <c r="N18" s="14">
        <v>45946</v>
      </c>
      <c r="O18" s="14">
        <v>45863</v>
      </c>
      <c r="P18" s="14"/>
      <c r="Q18" s="13"/>
    </row>
    <row r="19" spans="1:17">
      <c r="A19" s="13">
        <v>18</v>
      </c>
      <c r="B19" s="13" t="s">
        <v>15</v>
      </c>
      <c r="C19" s="13" t="s">
        <v>16</v>
      </c>
      <c r="D19" s="13" t="s">
        <v>61</v>
      </c>
      <c r="E19" s="13" t="s">
        <v>59</v>
      </c>
      <c r="F19" s="13" t="s">
        <v>62</v>
      </c>
      <c r="G19" s="13" t="s">
        <v>20</v>
      </c>
      <c r="H19" s="14">
        <v>45837</v>
      </c>
      <c r="I19" s="14">
        <v>45837</v>
      </c>
      <c r="J19" s="14">
        <v>45896</v>
      </c>
      <c r="K19" s="14">
        <v>45849</v>
      </c>
      <c r="L19" s="14"/>
      <c r="M19" s="14">
        <v>45856</v>
      </c>
      <c r="N19" s="14">
        <v>45946</v>
      </c>
      <c r="O19" s="14">
        <v>45863</v>
      </c>
      <c r="P19" s="14"/>
      <c r="Q19" s="13"/>
    </row>
    <row r="20" spans="1:17">
      <c r="A20" s="13">
        <v>19</v>
      </c>
      <c r="B20" s="13" t="s">
        <v>15</v>
      </c>
      <c r="C20" s="13" t="s">
        <v>16</v>
      </c>
      <c r="D20" s="13" t="s">
        <v>63</v>
      </c>
      <c r="E20" s="13" t="s">
        <v>64</v>
      </c>
      <c r="F20" s="13" t="s">
        <v>65</v>
      </c>
      <c r="G20" s="13" t="s">
        <v>20</v>
      </c>
      <c r="H20" s="14">
        <v>45837</v>
      </c>
      <c r="I20" s="14">
        <v>45837</v>
      </c>
      <c r="J20" s="14">
        <v>45899</v>
      </c>
      <c r="K20" s="14">
        <v>45849</v>
      </c>
      <c r="L20" s="14"/>
      <c r="M20" s="14">
        <v>45856</v>
      </c>
      <c r="N20" s="14">
        <v>45959</v>
      </c>
      <c r="O20" s="14">
        <v>45863</v>
      </c>
      <c r="P20" s="14"/>
      <c r="Q20" s="13"/>
    </row>
    <row r="21" spans="1:17">
      <c r="A21" s="13">
        <v>20</v>
      </c>
      <c r="B21" s="13" t="s">
        <v>15</v>
      </c>
      <c r="C21" s="13" t="s">
        <v>16</v>
      </c>
      <c r="D21" s="13" t="s">
        <v>66</v>
      </c>
      <c r="E21" s="13" t="s">
        <v>64</v>
      </c>
      <c r="F21" s="13" t="s">
        <v>67</v>
      </c>
      <c r="G21" s="13" t="s">
        <v>20</v>
      </c>
      <c r="H21" s="14">
        <v>45837</v>
      </c>
      <c r="I21" s="14">
        <v>45837</v>
      </c>
      <c r="J21" s="14">
        <v>45899</v>
      </c>
      <c r="K21" s="14">
        <v>45849</v>
      </c>
      <c r="L21" s="14"/>
      <c r="M21" s="14">
        <v>45856</v>
      </c>
      <c r="N21" s="14">
        <v>45959</v>
      </c>
      <c r="O21" s="14">
        <v>45863</v>
      </c>
      <c r="P21" s="14"/>
      <c r="Q21" s="13"/>
    </row>
    <row r="22" spans="1:17">
      <c r="A22" s="13">
        <v>21</v>
      </c>
      <c r="B22" s="13" t="s">
        <v>15</v>
      </c>
      <c r="C22" s="13" t="s">
        <v>16</v>
      </c>
      <c r="D22" s="13" t="s">
        <v>68</v>
      </c>
      <c r="E22" s="13" t="s">
        <v>69</v>
      </c>
      <c r="F22" s="13" t="s">
        <v>70</v>
      </c>
      <c r="G22" s="13" t="s">
        <v>20</v>
      </c>
      <c r="H22" s="14">
        <v>45851</v>
      </c>
      <c r="I22" s="14">
        <v>45851</v>
      </c>
      <c r="J22" s="14">
        <v>45826</v>
      </c>
      <c r="K22" s="14">
        <v>45863</v>
      </c>
      <c r="L22" s="14"/>
      <c r="M22" s="14">
        <v>45870</v>
      </c>
      <c r="N22" s="14">
        <v>45850</v>
      </c>
      <c r="O22" s="14">
        <v>45877</v>
      </c>
      <c r="P22" s="14"/>
      <c r="Q22" s="13"/>
    </row>
    <row r="23" spans="1:17">
      <c r="A23" s="13">
        <v>22</v>
      </c>
      <c r="B23" s="13" t="s">
        <v>15</v>
      </c>
      <c r="C23" s="13" t="s">
        <v>16</v>
      </c>
      <c r="D23" s="13" t="s">
        <v>71</v>
      </c>
      <c r="E23" s="13" t="s">
        <v>69</v>
      </c>
      <c r="F23" s="13" t="s">
        <v>72</v>
      </c>
      <c r="G23" s="13" t="s">
        <v>20</v>
      </c>
      <c r="H23" s="14">
        <v>45851</v>
      </c>
      <c r="I23" s="14">
        <v>45851</v>
      </c>
      <c r="J23" s="14">
        <v>45826</v>
      </c>
      <c r="K23" s="14">
        <v>45863</v>
      </c>
      <c r="L23" s="14"/>
      <c r="M23" s="14">
        <v>45870</v>
      </c>
      <c r="N23" s="14">
        <v>45850</v>
      </c>
      <c r="O23" s="14">
        <v>45877</v>
      </c>
      <c r="P23" s="14"/>
      <c r="Q23" s="13"/>
    </row>
    <row r="24" spans="1:17">
      <c r="A24" s="13">
        <v>23</v>
      </c>
      <c r="B24" s="13" t="s">
        <v>15</v>
      </c>
      <c r="C24" s="13" t="s">
        <v>16</v>
      </c>
      <c r="D24" s="13" t="s">
        <v>73</v>
      </c>
      <c r="E24" s="13" t="s">
        <v>74</v>
      </c>
      <c r="F24" s="13" t="s">
        <v>75</v>
      </c>
      <c r="G24" s="13" t="s">
        <v>20</v>
      </c>
      <c r="H24" s="14">
        <v>45851</v>
      </c>
      <c r="I24" s="14">
        <v>45851</v>
      </c>
      <c r="J24" s="14">
        <v>45910</v>
      </c>
      <c r="K24" s="14">
        <v>45863</v>
      </c>
      <c r="L24" s="14"/>
      <c r="M24" s="14">
        <v>45870</v>
      </c>
      <c r="N24" s="14">
        <v>45946</v>
      </c>
      <c r="O24" s="14">
        <v>45877</v>
      </c>
      <c r="P24" s="14"/>
      <c r="Q24" s="13"/>
    </row>
    <row r="25" spans="1:17">
      <c r="A25" s="13">
        <v>24</v>
      </c>
      <c r="B25" s="13" t="s">
        <v>15</v>
      </c>
      <c r="C25" s="13" t="s">
        <v>16</v>
      </c>
      <c r="D25" s="13" t="s">
        <v>76</v>
      </c>
      <c r="E25" s="13" t="s">
        <v>74</v>
      </c>
      <c r="F25" s="13" t="s">
        <v>77</v>
      </c>
      <c r="G25" s="13" t="s">
        <v>20</v>
      </c>
      <c r="H25" s="14">
        <v>45851</v>
      </c>
      <c r="I25" s="14">
        <v>45851</v>
      </c>
      <c r="J25" s="14">
        <v>45910</v>
      </c>
      <c r="K25" s="14">
        <v>45863</v>
      </c>
      <c r="L25" s="14"/>
      <c r="M25" s="14">
        <v>45870</v>
      </c>
      <c r="N25" s="14">
        <v>45946</v>
      </c>
      <c r="O25" s="14">
        <v>45877</v>
      </c>
      <c r="P25" s="14"/>
      <c r="Q25" s="13"/>
    </row>
    <row r="26" spans="1:17">
      <c r="A26" s="13">
        <v>25</v>
      </c>
      <c r="B26" s="13" t="s">
        <v>15</v>
      </c>
      <c r="C26" s="13" t="s">
        <v>16</v>
      </c>
      <c r="D26" s="13" t="s">
        <v>78</v>
      </c>
      <c r="E26" s="13" t="s">
        <v>79</v>
      </c>
      <c r="F26" s="13" t="s">
        <v>80</v>
      </c>
      <c r="G26" s="13" t="s">
        <v>20</v>
      </c>
      <c r="H26" s="14">
        <v>45976</v>
      </c>
      <c r="I26" s="14">
        <v>45866</v>
      </c>
      <c r="J26" s="14">
        <v>45974</v>
      </c>
      <c r="K26" s="14">
        <v>45878</v>
      </c>
      <c r="L26" s="14"/>
      <c r="M26" s="14">
        <v>45885</v>
      </c>
      <c r="N26" s="14">
        <v>46071</v>
      </c>
      <c r="O26" s="14">
        <v>45892</v>
      </c>
      <c r="P26" s="14"/>
      <c r="Q26" s="13"/>
    </row>
    <row r="27" spans="1:17">
      <c r="A27" s="13">
        <v>26</v>
      </c>
      <c r="B27" s="13" t="s">
        <v>15</v>
      </c>
      <c r="C27" s="13" t="s">
        <v>16</v>
      </c>
      <c r="D27" s="13" t="s">
        <v>81</v>
      </c>
      <c r="E27" s="13" t="s">
        <v>79</v>
      </c>
      <c r="F27" s="13" t="s">
        <v>82</v>
      </c>
      <c r="G27" s="13" t="s">
        <v>20</v>
      </c>
      <c r="H27" s="14">
        <v>45976</v>
      </c>
      <c r="I27" s="14">
        <v>45866</v>
      </c>
      <c r="J27" s="14">
        <v>45974</v>
      </c>
      <c r="K27" s="14">
        <v>45878</v>
      </c>
      <c r="L27" s="14"/>
      <c r="M27" s="14">
        <v>45885</v>
      </c>
      <c r="N27" s="14">
        <v>46071</v>
      </c>
      <c r="O27" s="14">
        <v>45892</v>
      </c>
      <c r="P27" s="14"/>
      <c r="Q27" s="13"/>
    </row>
    <row r="28" spans="1:17">
      <c r="A28" s="13">
        <v>27</v>
      </c>
      <c r="B28" s="13" t="s">
        <v>15</v>
      </c>
      <c r="C28" s="13" t="s">
        <v>16</v>
      </c>
      <c r="D28" s="13" t="s">
        <v>83</v>
      </c>
      <c r="E28" s="13" t="s">
        <v>79</v>
      </c>
      <c r="F28" s="13" t="s">
        <v>84</v>
      </c>
      <c r="G28" s="13" t="s">
        <v>20</v>
      </c>
      <c r="H28" s="14">
        <v>45976</v>
      </c>
      <c r="I28" s="14">
        <v>45866</v>
      </c>
      <c r="J28" s="14">
        <v>45986</v>
      </c>
      <c r="K28" s="14">
        <v>45878</v>
      </c>
      <c r="L28" s="14"/>
      <c r="M28" s="14">
        <v>45885</v>
      </c>
      <c r="N28" s="14">
        <v>46071</v>
      </c>
      <c r="O28" s="14">
        <v>45892</v>
      </c>
      <c r="P28" s="14"/>
      <c r="Q28" s="13"/>
    </row>
    <row r="29" spans="1:17">
      <c r="A29" s="13">
        <v>28</v>
      </c>
      <c r="B29" s="13" t="s">
        <v>15</v>
      </c>
      <c r="C29" s="13" t="s">
        <v>16</v>
      </c>
      <c r="D29" s="13" t="s">
        <v>85</v>
      </c>
      <c r="E29" s="13" t="s">
        <v>86</v>
      </c>
      <c r="F29" s="13" t="s">
        <v>87</v>
      </c>
      <c r="G29" s="13" t="s">
        <v>20</v>
      </c>
      <c r="H29" s="14">
        <v>45731</v>
      </c>
      <c r="I29" s="14">
        <v>45731</v>
      </c>
      <c r="J29" s="14">
        <v>45966</v>
      </c>
      <c r="K29" s="14">
        <v>45799</v>
      </c>
      <c r="L29" s="14">
        <v>45902</v>
      </c>
      <c r="M29" s="14">
        <v>45806</v>
      </c>
      <c r="N29" s="14">
        <v>46071</v>
      </c>
      <c r="O29" s="14">
        <v>45813</v>
      </c>
      <c r="P29" s="14"/>
      <c r="Q29" s="13"/>
    </row>
    <row r="30" spans="1:17">
      <c r="A30" s="13">
        <v>29</v>
      </c>
      <c r="B30" s="13" t="s">
        <v>15</v>
      </c>
      <c r="C30" s="13" t="s">
        <v>16</v>
      </c>
      <c r="D30" s="13" t="s">
        <v>88</v>
      </c>
      <c r="E30" s="13" t="s">
        <v>86</v>
      </c>
      <c r="F30" s="13" t="s">
        <v>89</v>
      </c>
      <c r="G30" s="13" t="s">
        <v>20</v>
      </c>
      <c r="H30" s="14">
        <v>45731</v>
      </c>
      <c r="I30" s="14">
        <v>45731</v>
      </c>
      <c r="J30" s="14">
        <v>45966</v>
      </c>
      <c r="K30" s="14">
        <v>45799</v>
      </c>
      <c r="L30" s="14">
        <v>45902</v>
      </c>
      <c r="M30" s="14">
        <v>45806</v>
      </c>
      <c r="N30" s="14">
        <v>46071</v>
      </c>
      <c r="O30" s="14">
        <v>45813</v>
      </c>
      <c r="P30" s="14"/>
      <c r="Q30" s="13"/>
    </row>
    <row r="31" spans="1:17">
      <c r="A31" s="13">
        <v>30</v>
      </c>
      <c r="B31" s="13" t="s">
        <v>15</v>
      </c>
      <c r="C31" s="13" t="s">
        <v>16</v>
      </c>
      <c r="D31" s="13" t="s">
        <v>90</v>
      </c>
      <c r="E31" s="13" t="s">
        <v>86</v>
      </c>
      <c r="F31" s="13" t="s">
        <v>91</v>
      </c>
      <c r="G31" s="13" t="s">
        <v>20</v>
      </c>
      <c r="H31" s="14">
        <v>45731</v>
      </c>
      <c r="I31" s="14">
        <v>45731</v>
      </c>
      <c r="J31" s="14">
        <v>45966</v>
      </c>
      <c r="K31" s="14">
        <v>45799</v>
      </c>
      <c r="L31" s="14">
        <v>45902</v>
      </c>
      <c r="M31" s="14">
        <v>45806</v>
      </c>
      <c r="N31" s="14">
        <v>46071</v>
      </c>
      <c r="O31" s="14">
        <v>45813</v>
      </c>
      <c r="P31" s="14"/>
      <c r="Q31" s="13"/>
    </row>
    <row r="32" spans="1:17">
      <c r="A32" s="13">
        <v>31</v>
      </c>
      <c r="B32" s="13" t="s">
        <v>15</v>
      </c>
      <c r="C32" s="13" t="s">
        <v>16</v>
      </c>
      <c r="D32" s="13" t="s">
        <v>92</v>
      </c>
      <c r="E32" s="13" t="s">
        <v>86</v>
      </c>
      <c r="F32" s="13" t="s">
        <v>93</v>
      </c>
      <c r="G32" s="13" t="s">
        <v>20</v>
      </c>
      <c r="H32" s="14">
        <v>45731</v>
      </c>
      <c r="I32" s="14">
        <v>45731</v>
      </c>
      <c r="J32" s="14">
        <v>45966</v>
      </c>
      <c r="K32" s="14">
        <v>45799</v>
      </c>
      <c r="L32" s="14">
        <v>45902</v>
      </c>
      <c r="M32" s="14">
        <v>45806</v>
      </c>
      <c r="N32" s="14">
        <v>46071</v>
      </c>
      <c r="O32" s="14">
        <v>45813</v>
      </c>
      <c r="P32" s="14"/>
      <c r="Q32" s="13"/>
    </row>
    <row r="33" spans="1:17">
      <c r="A33" s="13">
        <v>32</v>
      </c>
      <c r="B33" s="13" t="s">
        <v>15</v>
      </c>
      <c r="C33" s="13" t="s">
        <v>16</v>
      </c>
      <c r="D33" s="13" t="s">
        <v>94</v>
      </c>
      <c r="E33" s="13" t="s">
        <v>86</v>
      </c>
      <c r="F33" s="13" t="s">
        <v>95</v>
      </c>
      <c r="G33" s="13" t="s">
        <v>20</v>
      </c>
      <c r="H33" s="14">
        <v>45731</v>
      </c>
      <c r="I33" s="14">
        <v>45731</v>
      </c>
      <c r="J33" s="14">
        <v>45966</v>
      </c>
      <c r="K33" s="14">
        <v>45799</v>
      </c>
      <c r="L33" s="14">
        <v>45902</v>
      </c>
      <c r="M33" s="14">
        <v>45806</v>
      </c>
      <c r="N33" s="14">
        <v>46071</v>
      </c>
      <c r="O33" s="14">
        <v>45813</v>
      </c>
      <c r="P33" s="14"/>
      <c r="Q33" s="13"/>
    </row>
    <row r="34" spans="1:17">
      <c r="A34" s="13">
        <v>33</v>
      </c>
      <c r="B34" s="13" t="s">
        <v>15</v>
      </c>
      <c r="C34" s="13" t="s">
        <v>16</v>
      </c>
      <c r="D34" s="13" t="s">
        <v>96</v>
      </c>
      <c r="E34" s="13" t="s">
        <v>97</v>
      </c>
      <c r="F34" s="13" t="s">
        <v>98</v>
      </c>
      <c r="G34" s="13" t="s">
        <v>20</v>
      </c>
      <c r="H34" s="14">
        <v>45731</v>
      </c>
      <c r="I34" s="14">
        <v>45731</v>
      </c>
      <c r="J34" s="14">
        <v>45731</v>
      </c>
      <c r="K34" s="14">
        <v>45799</v>
      </c>
      <c r="L34" s="14">
        <v>45902</v>
      </c>
      <c r="M34" s="14">
        <v>45806</v>
      </c>
      <c r="N34" s="14">
        <v>46080</v>
      </c>
      <c r="O34" s="14">
        <v>45813</v>
      </c>
      <c r="P34" s="14"/>
      <c r="Q34" s="13"/>
    </row>
    <row r="35" spans="1:17">
      <c r="A35" s="13">
        <v>34</v>
      </c>
      <c r="B35" s="13" t="s">
        <v>15</v>
      </c>
      <c r="C35" s="13" t="s">
        <v>16</v>
      </c>
      <c r="D35" s="13" t="s">
        <v>99</v>
      </c>
      <c r="E35" s="13" t="s">
        <v>97</v>
      </c>
      <c r="F35" s="13" t="s">
        <v>100</v>
      </c>
      <c r="G35" s="13" t="s">
        <v>20</v>
      </c>
      <c r="H35" s="14">
        <v>45826</v>
      </c>
      <c r="I35" s="14">
        <v>45826</v>
      </c>
      <c r="J35" s="14">
        <v>45898</v>
      </c>
      <c r="K35" s="14">
        <v>45799</v>
      </c>
      <c r="L35" s="14"/>
      <c r="M35" s="14">
        <v>45833</v>
      </c>
      <c r="N35" s="14">
        <v>45898</v>
      </c>
      <c r="O35" s="14">
        <v>45840</v>
      </c>
      <c r="P35" s="14"/>
      <c r="Q35" s="13"/>
    </row>
    <row r="36" spans="1:17">
      <c r="A36" s="13">
        <v>35</v>
      </c>
      <c r="B36" s="13" t="s">
        <v>15</v>
      </c>
      <c r="C36" s="13" t="s">
        <v>16</v>
      </c>
      <c r="D36" s="13" t="s">
        <v>101</v>
      </c>
      <c r="E36" s="13" t="s">
        <v>97</v>
      </c>
      <c r="F36" s="13" t="s">
        <v>102</v>
      </c>
      <c r="G36" s="13" t="s">
        <v>20</v>
      </c>
      <c r="H36" s="14">
        <v>45826</v>
      </c>
      <c r="I36" s="14">
        <v>45826</v>
      </c>
      <c r="J36" s="14">
        <v>45898</v>
      </c>
      <c r="K36" s="14">
        <v>45799</v>
      </c>
      <c r="L36" s="14"/>
      <c r="M36" s="14">
        <v>45833</v>
      </c>
      <c r="N36" s="14">
        <v>45898</v>
      </c>
      <c r="O36" s="14">
        <v>45840</v>
      </c>
      <c r="P36" s="14"/>
      <c r="Q36" s="13"/>
    </row>
    <row r="37" spans="1:17">
      <c r="A37" s="13">
        <v>36</v>
      </c>
      <c r="B37" s="13" t="s">
        <v>15</v>
      </c>
      <c r="C37" s="13" t="s">
        <v>16</v>
      </c>
      <c r="D37" s="13" t="s">
        <v>103</v>
      </c>
      <c r="E37" s="13" t="s">
        <v>97</v>
      </c>
      <c r="F37" s="13" t="s">
        <v>104</v>
      </c>
      <c r="G37" s="13" t="s">
        <v>20</v>
      </c>
      <c r="H37" s="14">
        <v>45826</v>
      </c>
      <c r="I37" s="14" t="e">
        <v>#REF!</v>
      </c>
      <c r="J37" s="14">
        <v>45986</v>
      </c>
      <c r="K37" s="14" t="e">
        <v>#REF!</v>
      </c>
      <c r="L37" s="14"/>
      <c r="M37" s="14">
        <v>45833</v>
      </c>
      <c r="N37" s="14"/>
      <c r="O37" s="14">
        <v>45840</v>
      </c>
      <c r="P37" s="14"/>
      <c r="Q37" s="13"/>
    </row>
    <row r="38" spans="1:17">
      <c r="A38" s="13">
        <v>37</v>
      </c>
      <c r="B38" s="13" t="s">
        <v>15</v>
      </c>
      <c r="C38" s="13" t="s">
        <v>16</v>
      </c>
      <c r="D38" s="13" t="s">
        <v>105</v>
      </c>
      <c r="E38" s="13" t="s">
        <v>18</v>
      </c>
      <c r="F38" s="13" t="s">
        <v>106</v>
      </c>
      <c r="G38" s="13" t="s">
        <v>20</v>
      </c>
      <c r="H38" s="14">
        <v>45731</v>
      </c>
      <c r="I38" s="14">
        <v>45731</v>
      </c>
      <c r="J38" s="14">
        <v>45731</v>
      </c>
      <c r="K38" s="14">
        <v>45799</v>
      </c>
      <c r="L38" s="14"/>
      <c r="M38" s="14">
        <v>45806</v>
      </c>
      <c r="N38" s="14">
        <v>45808</v>
      </c>
      <c r="O38" s="14">
        <v>45813</v>
      </c>
      <c r="P38" s="14"/>
      <c r="Q38" s="13"/>
    </row>
    <row r="39" spans="1:17">
      <c r="A39" s="13">
        <v>38</v>
      </c>
      <c r="B39" s="13" t="s">
        <v>15</v>
      </c>
      <c r="C39" s="13" t="s">
        <v>16</v>
      </c>
      <c r="D39" s="13" t="s">
        <v>107</v>
      </c>
      <c r="E39" s="13" t="s">
        <v>97</v>
      </c>
      <c r="F39" s="13" t="s">
        <v>108</v>
      </c>
      <c r="G39" s="13" t="s">
        <v>20</v>
      </c>
      <c r="H39" s="14">
        <v>45731</v>
      </c>
      <c r="I39" s="14">
        <v>45731</v>
      </c>
      <c r="J39" s="14">
        <v>45898</v>
      </c>
      <c r="K39" s="14">
        <v>45799</v>
      </c>
      <c r="L39" s="14"/>
      <c r="M39" s="14">
        <v>45806</v>
      </c>
      <c r="N39" s="14">
        <v>45898</v>
      </c>
      <c r="O39" s="14">
        <v>45813</v>
      </c>
      <c r="P39" s="14"/>
      <c r="Q39" s="13"/>
    </row>
    <row r="40" spans="1:17">
      <c r="A40" s="13">
        <v>39</v>
      </c>
      <c r="B40" s="13" t="s">
        <v>15</v>
      </c>
      <c r="C40" s="13" t="s">
        <v>16</v>
      </c>
      <c r="D40" s="13" t="s">
        <v>109</v>
      </c>
      <c r="E40" s="13" t="s">
        <v>97</v>
      </c>
      <c r="F40" s="13" t="s">
        <v>110</v>
      </c>
      <c r="G40" s="13" t="s">
        <v>20</v>
      </c>
      <c r="H40" s="14">
        <v>45731</v>
      </c>
      <c r="I40" s="14">
        <v>45731</v>
      </c>
      <c r="J40" s="14">
        <v>45731</v>
      </c>
      <c r="K40" s="14">
        <v>45799</v>
      </c>
      <c r="L40" s="14">
        <v>45902</v>
      </c>
      <c r="M40" s="14">
        <v>45806</v>
      </c>
      <c r="N40" s="14">
        <v>46071</v>
      </c>
      <c r="O40" s="14">
        <v>45813</v>
      </c>
      <c r="P40" s="14"/>
      <c r="Q40" s="13"/>
    </row>
    <row r="41" spans="1:17">
      <c r="A41" s="13">
        <v>40</v>
      </c>
      <c r="B41" s="13" t="s">
        <v>15</v>
      </c>
      <c r="C41" s="13" t="s">
        <v>16</v>
      </c>
      <c r="D41" s="13" t="s">
        <v>111</v>
      </c>
      <c r="E41" s="13" t="s">
        <v>18</v>
      </c>
      <c r="F41" s="13" t="s">
        <v>112</v>
      </c>
      <c r="G41" s="13" t="s">
        <v>20</v>
      </c>
      <c r="H41" s="14">
        <v>45731</v>
      </c>
      <c r="I41" s="14">
        <v>45731</v>
      </c>
      <c r="J41" s="14">
        <v>45731</v>
      </c>
      <c r="K41" s="14">
        <v>45799</v>
      </c>
      <c r="L41" s="14"/>
      <c r="M41" s="14">
        <v>45806</v>
      </c>
      <c r="N41" s="14">
        <v>45808</v>
      </c>
      <c r="O41" s="14">
        <v>45813</v>
      </c>
      <c r="P41" s="14"/>
      <c r="Q41" s="13"/>
    </row>
    <row r="42" spans="1:17">
      <c r="A42" s="13">
        <v>41</v>
      </c>
      <c r="B42" s="13" t="s">
        <v>15</v>
      </c>
      <c r="C42" s="13" t="s">
        <v>16</v>
      </c>
      <c r="D42" s="13" t="s">
        <v>113</v>
      </c>
      <c r="E42" s="13" t="s">
        <v>97</v>
      </c>
      <c r="F42" s="13" t="s">
        <v>114</v>
      </c>
      <c r="G42" s="13" t="s">
        <v>20</v>
      </c>
      <c r="H42" s="14">
        <v>45731</v>
      </c>
      <c r="I42" s="14">
        <v>45731</v>
      </c>
      <c r="J42" s="14">
        <v>45731</v>
      </c>
      <c r="K42" s="14">
        <v>45799</v>
      </c>
      <c r="L42" s="14"/>
      <c r="M42" s="14">
        <v>45806</v>
      </c>
      <c r="N42" s="14">
        <v>45808</v>
      </c>
      <c r="O42" s="14">
        <v>45813</v>
      </c>
      <c r="P42" s="14"/>
      <c r="Q42" s="13"/>
    </row>
    <row r="43" spans="1:17">
      <c r="A43" s="13">
        <v>42</v>
      </c>
      <c r="B43" s="13" t="s">
        <v>15</v>
      </c>
      <c r="C43" s="13" t="s">
        <v>16</v>
      </c>
      <c r="D43" s="13" t="s">
        <v>115</v>
      </c>
      <c r="E43" s="13" t="s">
        <v>97</v>
      </c>
      <c r="F43" s="13" t="s">
        <v>116</v>
      </c>
      <c r="G43" s="13" t="s">
        <v>20</v>
      </c>
      <c r="H43" s="14">
        <v>45731</v>
      </c>
      <c r="I43" s="14">
        <v>45731</v>
      </c>
      <c r="J43" s="14">
        <v>45731</v>
      </c>
      <c r="K43" s="14">
        <v>45748</v>
      </c>
      <c r="L43" s="14">
        <v>45731</v>
      </c>
      <c r="M43" s="14">
        <v>45761</v>
      </c>
      <c r="N43" s="14">
        <v>45761</v>
      </c>
      <c r="O43" s="14">
        <v>45768</v>
      </c>
      <c r="P43" s="14"/>
      <c r="Q43" s="13"/>
    </row>
    <row r="44" spans="1:17">
      <c r="A44" s="13">
        <v>43</v>
      </c>
      <c r="B44" s="13" t="s">
        <v>15</v>
      </c>
      <c r="C44" s="13" t="s">
        <v>16</v>
      </c>
      <c r="D44" s="13" t="s">
        <v>117</v>
      </c>
      <c r="E44" s="13" t="s">
        <v>97</v>
      </c>
      <c r="F44" s="13" t="s">
        <v>118</v>
      </c>
      <c r="G44" s="13" t="s">
        <v>20</v>
      </c>
      <c r="H44" s="14">
        <v>45731</v>
      </c>
      <c r="I44" s="14">
        <v>45731</v>
      </c>
      <c r="J44" s="14">
        <v>45731</v>
      </c>
      <c r="K44" s="14">
        <v>45748</v>
      </c>
      <c r="L44" s="14">
        <v>45731</v>
      </c>
      <c r="M44" s="14">
        <v>45757</v>
      </c>
      <c r="N44" s="14">
        <v>45757</v>
      </c>
      <c r="O44" s="14">
        <v>45764</v>
      </c>
      <c r="P44" s="14"/>
      <c r="Q44" s="13"/>
    </row>
    <row r="45" spans="1:17">
      <c r="A45" s="13">
        <v>44</v>
      </c>
      <c r="B45" s="13" t="s">
        <v>15</v>
      </c>
      <c r="C45" s="13" t="s">
        <v>16</v>
      </c>
      <c r="D45" s="13" t="s">
        <v>119</v>
      </c>
      <c r="E45" s="13" t="s">
        <v>97</v>
      </c>
      <c r="F45" s="13" t="s">
        <v>120</v>
      </c>
      <c r="G45" s="13" t="s">
        <v>20</v>
      </c>
      <c r="H45" s="14">
        <v>45731</v>
      </c>
      <c r="I45" s="14">
        <v>45731</v>
      </c>
      <c r="J45" s="14">
        <v>45731</v>
      </c>
      <c r="K45" s="14">
        <v>45748</v>
      </c>
      <c r="L45" s="14">
        <v>45731</v>
      </c>
      <c r="M45" s="14">
        <v>45757</v>
      </c>
      <c r="N45" s="14">
        <v>45757</v>
      </c>
      <c r="O45" s="14">
        <v>45764</v>
      </c>
      <c r="P45" s="14"/>
      <c r="Q45" s="13"/>
    </row>
    <row r="46" spans="1:17">
      <c r="A46" s="13">
        <v>45</v>
      </c>
      <c r="B46" s="13" t="s">
        <v>15</v>
      </c>
      <c r="C46" s="13" t="s">
        <v>16</v>
      </c>
      <c r="D46" s="13" t="s">
        <v>121</v>
      </c>
      <c r="E46" s="13" t="s">
        <v>97</v>
      </c>
      <c r="F46" s="13" t="s">
        <v>122</v>
      </c>
      <c r="G46" s="13" t="s">
        <v>20</v>
      </c>
      <c r="H46" s="14">
        <v>45731</v>
      </c>
      <c r="I46" s="14">
        <v>45731</v>
      </c>
      <c r="J46" s="14">
        <v>45731</v>
      </c>
      <c r="K46" s="14">
        <v>45748</v>
      </c>
      <c r="L46" s="14">
        <v>45731</v>
      </c>
      <c r="M46" s="14">
        <v>45757</v>
      </c>
      <c r="N46" s="14">
        <v>45757</v>
      </c>
      <c r="O46" s="14">
        <v>45764</v>
      </c>
      <c r="P46" s="14"/>
      <c r="Q46" s="13"/>
    </row>
    <row r="47" spans="1:17">
      <c r="A47" s="13">
        <v>46</v>
      </c>
      <c r="B47" s="13" t="s">
        <v>15</v>
      </c>
      <c r="C47" s="13" t="s">
        <v>16</v>
      </c>
      <c r="D47" s="13" t="s">
        <v>123</v>
      </c>
      <c r="E47" s="13" t="s">
        <v>86</v>
      </c>
      <c r="F47" s="13" t="s">
        <v>124</v>
      </c>
      <c r="G47" s="13" t="s">
        <v>20</v>
      </c>
      <c r="H47" s="14">
        <v>45731</v>
      </c>
      <c r="I47" s="14">
        <v>45731</v>
      </c>
      <c r="J47" s="14">
        <v>45966</v>
      </c>
      <c r="K47" s="14">
        <v>45799</v>
      </c>
      <c r="L47" s="14">
        <v>45902</v>
      </c>
      <c r="M47" s="14">
        <v>45806</v>
      </c>
      <c r="N47" s="14">
        <v>46071</v>
      </c>
      <c r="O47" s="14">
        <v>45813</v>
      </c>
      <c r="P47" s="14"/>
      <c r="Q47" s="13"/>
    </row>
    <row r="48" spans="1:17">
      <c r="A48" s="13">
        <v>47</v>
      </c>
      <c r="B48" s="13" t="s">
        <v>15</v>
      </c>
      <c r="C48" s="13" t="s">
        <v>125</v>
      </c>
      <c r="D48" s="13" t="s">
        <v>126</v>
      </c>
      <c r="E48" s="13" t="s">
        <v>86</v>
      </c>
      <c r="F48" s="13" t="s">
        <v>127</v>
      </c>
      <c r="G48" s="13" t="s">
        <v>128</v>
      </c>
      <c r="H48" s="14">
        <v>45731</v>
      </c>
      <c r="I48" s="14">
        <v>45731</v>
      </c>
      <c r="J48" s="14">
        <v>45966</v>
      </c>
      <c r="K48" s="14">
        <v>45799</v>
      </c>
      <c r="L48" s="14">
        <v>45898</v>
      </c>
      <c r="M48" s="14">
        <v>45810</v>
      </c>
      <c r="N48" s="14">
        <v>46087</v>
      </c>
      <c r="O48" s="14">
        <v>45817</v>
      </c>
      <c r="P48" s="14"/>
      <c r="Q48" s="13"/>
    </row>
    <row r="49" spans="1:17">
      <c r="A49" s="13">
        <v>48</v>
      </c>
      <c r="B49" s="13" t="s">
        <v>15</v>
      </c>
      <c r="C49" s="13" t="s">
        <v>125</v>
      </c>
      <c r="D49" s="13" t="s">
        <v>129</v>
      </c>
      <c r="E49" s="13" t="s">
        <v>86</v>
      </c>
      <c r="F49" s="13" t="s">
        <v>130</v>
      </c>
      <c r="G49" s="13" t="s">
        <v>128</v>
      </c>
      <c r="H49" s="14">
        <v>46022</v>
      </c>
      <c r="I49" s="14">
        <v>45731</v>
      </c>
      <c r="J49" s="14">
        <v>46055</v>
      </c>
      <c r="K49" s="14">
        <v>45799</v>
      </c>
      <c r="L49" s="14">
        <v>45754</v>
      </c>
      <c r="M49" s="14">
        <v>45810</v>
      </c>
      <c r="N49" s="14">
        <v>46087</v>
      </c>
      <c r="O49" s="14">
        <v>45817</v>
      </c>
      <c r="P49" s="14"/>
      <c r="Q49" s="13" t="s">
        <v>131</v>
      </c>
    </row>
    <row r="50" spans="1:17">
      <c r="A50" s="13">
        <v>49</v>
      </c>
      <c r="B50" s="13" t="s">
        <v>15</v>
      </c>
      <c r="C50" s="13" t="s">
        <v>125</v>
      </c>
      <c r="D50" s="13" t="s">
        <v>132</v>
      </c>
      <c r="E50" s="13" t="s">
        <v>86</v>
      </c>
      <c r="F50" s="13" t="s">
        <v>133</v>
      </c>
      <c r="G50" s="13" t="s">
        <v>128</v>
      </c>
      <c r="H50" s="14">
        <v>45853</v>
      </c>
      <c r="I50" s="14">
        <v>45853</v>
      </c>
      <c r="J50" s="14">
        <v>45971</v>
      </c>
      <c r="K50" s="14">
        <v>45869</v>
      </c>
      <c r="L50" s="14"/>
      <c r="M50" s="14">
        <v>45880</v>
      </c>
      <c r="N50" s="14"/>
      <c r="O50" s="14">
        <v>45887</v>
      </c>
      <c r="P50" s="14"/>
      <c r="Q50" s="13"/>
    </row>
    <row r="51" spans="1:17">
      <c r="A51" s="13">
        <v>50</v>
      </c>
      <c r="B51" s="13" t="s">
        <v>15</v>
      </c>
      <c r="C51" s="13" t="s">
        <v>125</v>
      </c>
      <c r="D51" s="13" t="s">
        <v>134</v>
      </c>
      <c r="E51" s="13" t="s">
        <v>86</v>
      </c>
      <c r="F51" s="13" t="s">
        <v>135</v>
      </c>
      <c r="G51" s="13" t="s">
        <v>128</v>
      </c>
      <c r="H51" s="14">
        <v>45823</v>
      </c>
      <c r="I51" s="14">
        <v>45823</v>
      </c>
      <c r="J51" s="14">
        <v>45966</v>
      </c>
      <c r="K51" s="14">
        <v>45839</v>
      </c>
      <c r="L51" s="14">
        <v>45898</v>
      </c>
      <c r="M51" s="14">
        <v>45848</v>
      </c>
      <c r="N51" s="14">
        <v>46087</v>
      </c>
      <c r="O51" s="14">
        <v>45855</v>
      </c>
      <c r="P51" s="14"/>
      <c r="Q51" s="13"/>
    </row>
    <row r="52" spans="1:17">
      <c r="A52" s="13">
        <v>51</v>
      </c>
      <c r="B52" s="13" t="s">
        <v>15</v>
      </c>
      <c r="C52" s="13" t="s">
        <v>125</v>
      </c>
      <c r="D52" s="13" t="s">
        <v>136</v>
      </c>
      <c r="E52" s="13" t="s">
        <v>97</v>
      </c>
      <c r="F52" s="13" t="s">
        <v>137</v>
      </c>
      <c r="G52" s="13" t="s">
        <v>128</v>
      </c>
      <c r="H52" s="14">
        <v>45731</v>
      </c>
      <c r="I52" s="14">
        <v>45731</v>
      </c>
      <c r="J52" s="14">
        <v>45731</v>
      </c>
      <c r="K52" s="14">
        <v>45799</v>
      </c>
      <c r="L52" s="14">
        <v>45898</v>
      </c>
      <c r="M52" s="14">
        <v>45810</v>
      </c>
      <c r="N52" s="14"/>
      <c r="O52" s="14">
        <v>45817</v>
      </c>
      <c r="P52" s="14"/>
      <c r="Q52" s="13"/>
    </row>
    <row r="53" spans="1:17">
      <c r="A53" s="13">
        <v>52</v>
      </c>
      <c r="B53" s="13" t="s">
        <v>15</v>
      </c>
      <c r="C53" s="13" t="s">
        <v>125</v>
      </c>
      <c r="D53" s="13" t="s">
        <v>138</v>
      </c>
      <c r="E53" s="13" t="s">
        <v>97</v>
      </c>
      <c r="F53" s="13" t="s">
        <v>139</v>
      </c>
      <c r="G53" s="13" t="s">
        <v>128</v>
      </c>
      <c r="H53" s="14">
        <v>45731</v>
      </c>
      <c r="I53" s="14">
        <v>45731</v>
      </c>
      <c r="J53" s="14">
        <v>45731</v>
      </c>
      <c r="K53" s="14">
        <v>45799</v>
      </c>
      <c r="L53" s="14">
        <v>45751</v>
      </c>
      <c r="M53" s="14">
        <v>45810</v>
      </c>
      <c r="N53" s="14">
        <v>45808</v>
      </c>
      <c r="O53" s="14">
        <v>45817</v>
      </c>
      <c r="P53" s="14"/>
      <c r="Q53" s="13"/>
    </row>
    <row r="54" spans="1:17">
      <c r="A54" s="13">
        <v>53</v>
      </c>
      <c r="B54" s="13" t="s">
        <v>15</v>
      </c>
      <c r="C54" s="13" t="s">
        <v>125</v>
      </c>
      <c r="D54" s="13" t="s">
        <v>140</v>
      </c>
      <c r="E54" s="13" t="s">
        <v>141</v>
      </c>
      <c r="F54" s="13" t="s">
        <v>142</v>
      </c>
      <c r="G54" s="13" t="s">
        <v>128</v>
      </c>
      <c r="H54" s="14">
        <v>45853</v>
      </c>
      <c r="I54" s="14">
        <v>45853</v>
      </c>
      <c r="J54" s="14">
        <v>45971</v>
      </c>
      <c r="K54" s="14">
        <v>45869</v>
      </c>
      <c r="L54" s="14">
        <v>45751</v>
      </c>
      <c r="M54" s="14">
        <v>45880</v>
      </c>
      <c r="N54" s="14">
        <v>46059</v>
      </c>
      <c r="O54" s="14">
        <v>45887</v>
      </c>
      <c r="P54" s="14"/>
      <c r="Q54" s="13"/>
    </row>
    <row r="55" spans="1:17">
      <c r="A55" s="13">
        <v>54</v>
      </c>
      <c r="B55" s="13" t="s">
        <v>15</v>
      </c>
      <c r="C55" s="13" t="s">
        <v>125</v>
      </c>
      <c r="D55" s="13" t="s">
        <v>143</v>
      </c>
      <c r="E55" s="13" t="s">
        <v>97</v>
      </c>
      <c r="F55" s="13" t="s">
        <v>144</v>
      </c>
      <c r="G55" s="13" t="s">
        <v>128</v>
      </c>
      <c r="H55" s="14">
        <v>45731</v>
      </c>
      <c r="I55" s="14">
        <v>45731</v>
      </c>
      <c r="J55" s="14">
        <v>45731</v>
      </c>
      <c r="K55" s="14">
        <v>45799</v>
      </c>
      <c r="L55" s="14">
        <v>45751</v>
      </c>
      <c r="M55" s="14">
        <v>45810</v>
      </c>
      <c r="N55" s="14">
        <v>46080</v>
      </c>
      <c r="O55" s="14">
        <v>45817</v>
      </c>
      <c r="P55" s="14"/>
      <c r="Q55" s="13"/>
    </row>
    <row r="56" spans="1:17">
      <c r="A56" s="13">
        <v>55</v>
      </c>
      <c r="B56" s="13" t="s">
        <v>15</v>
      </c>
      <c r="C56" s="13" t="s">
        <v>125</v>
      </c>
      <c r="D56" s="13" t="s">
        <v>145</v>
      </c>
      <c r="E56" s="13" t="s">
        <v>97</v>
      </c>
      <c r="F56" s="13" t="s">
        <v>146</v>
      </c>
      <c r="G56" s="13" t="s">
        <v>128</v>
      </c>
      <c r="H56" s="14">
        <v>45853</v>
      </c>
      <c r="I56" s="14">
        <v>45853</v>
      </c>
      <c r="J56" s="14">
        <v>45731</v>
      </c>
      <c r="K56" s="14">
        <v>45869</v>
      </c>
      <c r="L56" s="14">
        <v>45751</v>
      </c>
      <c r="M56" s="14">
        <v>45880</v>
      </c>
      <c r="N56" s="14">
        <v>45808</v>
      </c>
      <c r="O56" s="14">
        <v>45887</v>
      </c>
      <c r="P56" s="14"/>
      <c r="Q56" s="13"/>
    </row>
    <row r="57" spans="1:17">
      <c r="A57" s="13">
        <v>56</v>
      </c>
      <c r="B57" s="13" t="s">
        <v>15</v>
      </c>
      <c r="C57" s="13" t="s">
        <v>125</v>
      </c>
      <c r="D57" s="13" t="s">
        <v>147</v>
      </c>
      <c r="E57" s="13" t="s">
        <v>97</v>
      </c>
      <c r="F57" s="13" t="s">
        <v>148</v>
      </c>
      <c r="G57" s="13" t="s">
        <v>128</v>
      </c>
      <c r="H57" s="14">
        <v>45731</v>
      </c>
      <c r="I57" s="14">
        <v>45731</v>
      </c>
      <c r="J57" s="14">
        <v>45731</v>
      </c>
      <c r="K57" s="14">
        <v>45799</v>
      </c>
      <c r="L57" s="14">
        <v>45898</v>
      </c>
      <c r="M57" s="14">
        <v>45810</v>
      </c>
      <c r="N57" s="14">
        <v>46080</v>
      </c>
      <c r="O57" s="14">
        <v>45817</v>
      </c>
      <c r="P57" s="14"/>
      <c r="Q57" s="13"/>
    </row>
    <row r="58" spans="1:17">
      <c r="A58" s="13">
        <v>57</v>
      </c>
      <c r="B58" s="13" t="s">
        <v>15</v>
      </c>
      <c r="C58" s="13" t="s">
        <v>125</v>
      </c>
      <c r="D58" s="13" t="s">
        <v>149</v>
      </c>
      <c r="E58" s="13" t="s">
        <v>97</v>
      </c>
      <c r="F58" s="13" t="s">
        <v>150</v>
      </c>
      <c r="G58" s="13" t="s">
        <v>128</v>
      </c>
      <c r="H58" s="14">
        <v>45731</v>
      </c>
      <c r="I58" s="14">
        <v>45731</v>
      </c>
      <c r="J58" s="14">
        <v>45731</v>
      </c>
      <c r="K58" s="14">
        <v>45799</v>
      </c>
      <c r="L58" s="14">
        <v>45898</v>
      </c>
      <c r="M58" s="14">
        <v>45810</v>
      </c>
      <c r="N58" s="14">
        <v>46080</v>
      </c>
      <c r="O58" s="14">
        <v>45817</v>
      </c>
      <c r="P58" s="14"/>
      <c r="Q58" s="13"/>
    </row>
    <row r="59" spans="1:17">
      <c r="A59" s="13">
        <v>58</v>
      </c>
      <c r="B59" s="13" t="s">
        <v>15</v>
      </c>
      <c r="C59" s="13" t="s">
        <v>125</v>
      </c>
      <c r="D59" s="13" t="s">
        <v>151</v>
      </c>
      <c r="E59" s="13" t="s">
        <v>97</v>
      </c>
      <c r="F59" s="13" t="s">
        <v>152</v>
      </c>
      <c r="G59" s="13" t="s">
        <v>128</v>
      </c>
      <c r="H59" s="14">
        <v>46022</v>
      </c>
      <c r="I59" s="14">
        <v>45792</v>
      </c>
      <c r="J59" s="14">
        <v>46055</v>
      </c>
      <c r="K59" s="14">
        <v>46038</v>
      </c>
      <c r="L59" s="14"/>
      <c r="M59" s="14">
        <v>46049</v>
      </c>
      <c r="N59" s="14">
        <v>46080</v>
      </c>
      <c r="O59" s="14">
        <v>46056</v>
      </c>
      <c r="P59" s="14"/>
      <c r="Q59" s="13" t="s">
        <v>153</v>
      </c>
    </row>
    <row r="60" spans="1:17">
      <c r="A60" s="13">
        <v>59</v>
      </c>
      <c r="B60" s="13" t="s">
        <v>15</v>
      </c>
      <c r="C60" s="13" t="s">
        <v>125</v>
      </c>
      <c r="D60" s="13" t="s">
        <v>154</v>
      </c>
      <c r="E60" s="13" t="s">
        <v>18</v>
      </c>
      <c r="F60" s="13" t="s">
        <v>155</v>
      </c>
      <c r="G60" s="13" t="s">
        <v>128</v>
      </c>
      <c r="H60" s="14">
        <v>45747</v>
      </c>
      <c r="I60" s="14">
        <v>45747</v>
      </c>
      <c r="J60" s="14">
        <v>45751</v>
      </c>
      <c r="K60" s="14">
        <v>45759</v>
      </c>
      <c r="L60" s="14">
        <v>45751</v>
      </c>
      <c r="M60" s="14">
        <v>45766</v>
      </c>
      <c r="N60" s="14">
        <v>45808</v>
      </c>
      <c r="O60" s="14">
        <v>45773</v>
      </c>
      <c r="P60" s="14"/>
      <c r="Q60" s="13"/>
    </row>
    <row r="61" spans="1:17">
      <c r="A61" s="13">
        <v>60</v>
      </c>
      <c r="B61" s="13" t="s">
        <v>15</v>
      </c>
      <c r="C61" s="13" t="s">
        <v>125</v>
      </c>
      <c r="D61" s="13" t="s">
        <v>156</v>
      </c>
      <c r="E61" s="13" t="s">
        <v>18</v>
      </c>
      <c r="F61" s="13" t="s">
        <v>155</v>
      </c>
      <c r="G61" s="13" t="s">
        <v>128</v>
      </c>
      <c r="H61" s="14">
        <v>45747</v>
      </c>
      <c r="I61" s="14">
        <v>45747</v>
      </c>
      <c r="J61" s="14">
        <v>45751</v>
      </c>
      <c r="K61" s="14">
        <v>45759</v>
      </c>
      <c r="L61" s="14">
        <v>45751</v>
      </c>
      <c r="M61" s="14">
        <v>45766</v>
      </c>
      <c r="N61" s="14">
        <v>45808</v>
      </c>
      <c r="O61" s="14">
        <v>45773</v>
      </c>
      <c r="P61" s="14"/>
      <c r="Q61" s="13"/>
    </row>
    <row r="62" spans="1:17">
      <c r="A62" s="13">
        <v>61</v>
      </c>
      <c r="B62" s="13" t="s">
        <v>15</v>
      </c>
      <c r="C62" s="13" t="s">
        <v>125</v>
      </c>
      <c r="D62" s="13" t="s">
        <v>157</v>
      </c>
      <c r="E62" s="13" t="s">
        <v>18</v>
      </c>
      <c r="F62" s="13" t="s">
        <v>155</v>
      </c>
      <c r="G62" s="13" t="s">
        <v>128</v>
      </c>
      <c r="H62" s="14">
        <v>45747</v>
      </c>
      <c r="I62" s="14">
        <v>45747</v>
      </c>
      <c r="J62" s="14">
        <v>45751</v>
      </c>
      <c r="K62" s="14">
        <v>45759</v>
      </c>
      <c r="L62" s="14">
        <v>45751</v>
      </c>
      <c r="M62" s="14">
        <v>45766</v>
      </c>
      <c r="N62" s="14">
        <v>45808</v>
      </c>
      <c r="O62" s="14">
        <v>45773</v>
      </c>
      <c r="P62" s="14"/>
      <c r="Q62" s="13"/>
    </row>
    <row r="63" spans="1:17">
      <c r="A63" s="13">
        <v>62</v>
      </c>
      <c r="B63" s="13" t="s">
        <v>15</v>
      </c>
      <c r="C63" s="13" t="s">
        <v>125</v>
      </c>
      <c r="D63" s="13" t="s">
        <v>158</v>
      </c>
      <c r="E63" s="13" t="s">
        <v>18</v>
      </c>
      <c r="F63" s="13" t="s">
        <v>159</v>
      </c>
      <c r="G63" s="13" t="s">
        <v>128</v>
      </c>
      <c r="H63" s="14">
        <v>45747</v>
      </c>
      <c r="I63" s="14">
        <v>45747</v>
      </c>
      <c r="J63" s="14">
        <v>45751</v>
      </c>
      <c r="K63" s="14">
        <v>45759</v>
      </c>
      <c r="L63" s="14">
        <v>45754</v>
      </c>
      <c r="M63" s="14">
        <v>45766</v>
      </c>
      <c r="N63" s="14">
        <v>45808</v>
      </c>
      <c r="O63" s="14">
        <v>45773</v>
      </c>
      <c r="P63" s="14"/>
      <c r="Q63" s="13"/>
    </row>
    <row r="64" spans="1:17">
      <c r="A64" s="13">
        <v>63</v>
      </c>
      <c r="B64" s="13" t="s">
        <v>15</v>
      </c>
      <c r="C64" s="13" t="s">
        <v>125</v>
      </c>
      <c r="D64" s="13" t="s">
        <v>160</v>
      </c>
      <c r="E64" s="13" t="s">
        <v>18</v>
      </c>
      <c r="F64" s="13" t="s">
        <v>161</v>
      </c>
      <c r="G64" s="13" t="s">
        <v>128</v>
      </c>
      <c r="H64" s="14">
        <v>45747</v>
      </c>
      <c r="I64" s="14">
        <v>45747</v>
      </c>
      <c r="J64" s="14">
        <v>45754</v>
      </c>
      <c r="K64" s="14">
        <v>45759</v>
      </c>
      <c r="L64" s="14">
        <v>45754</v>
      </c>
      <c r="M64" s="14">
        <v>45766</v>
      </c>
      <c r="N64" s="14">
        <v>45808</v>
      </c>
      <c r="O64" s="14">
        <v>45773</v>
      </c>
      <c r="P64" s="14"/>
      <c r="Q64" s="13"/>
    </row>
    <row r="65" spans="1:17">
      <c r="A65" s="13">
        <v>64</v>
      </c>
      <c r="B65" s="13" t="s">
        <v>15</v>
      </c>
      <c r="C65" s="13" t="s">
        <v>125</v>
      </c>
      <c r="D65" s="13" t="s">
        <v>162</v>
      </c>
      <c r="E65" s="13" t="s">
        <v>24</v>
      </c>
      <c r="F65" s="13" t="s">
        <v>163</v>
      </c>
      <c r="G65" s="13" t="s">
        <v>128</v>
      </c>
      <c r="H65" s="14">
        <v>45747</v>
      </c>
      <c r="I65" s="14">
        <v>45747</v>
      </c>
      <c r="J65" s="14">
        <v>45754</v>
      </c>
      <c r="K65" s="14">
        <v>45759</v>
      </c>
      <c r="L65" s="14">
        <v>45805</v>
      </c>
      <c r="M65" s="14">
        <v>45766</v>
      </c>
      <c r="N65" s="14">
        <v>45812</v>
      </c>
      <c r="O65" s="14">
        <v>45773</v>
      </c>
      <c r="P65" s="14"/>
      <c r="Q65" s="13"/>
    </row>
    <row r="66" spans="1:17">
      <c r="A66" s="13">
        <v>65</v>
      </c>
      <c r="B66" s="13" t="s">
        <v>15</v>
      </c>
      <c r="C66" s="13" t="s">
        <v>125</v>
      </c>
      <c r="D66" s="13" t="s">
        <v>164</v>
      </c>
      <c r="E66" s="13" t="s">
        <v>24</v>
      </c>
      <c r="F66" s="13" t="s">
        <v>163</v>
      </c>
      <c r="G66" s="13" t="s">
        <v>128</v>
      </c>
      <c r="H66" s="14">
        <v>45747</v>
      </c>
      <c r="I66" s="14">
        <v>45747</v>
      </c>
      <c r="J66" s="14">
        <v>45754</v>
      </c>
      <c r="K66" s="14">
        <v>45759</v>
      </c>
      <c r="L66" s="14">
        <v>45805</v>
      </c>
      <c r="M66" s="14">
        <v>45766</v>
      </c>
      <c r="N66" s="14">
        <v>45812</v>
      </c>
      <c r="O66" s="14">
        <v>45773</v>
      </c>
      <c r="P66" s="14"/>
      <c r="Q66" s="13"/>
    </row>
    <row r="67" spans="1:17">
      <c r="A67" s="13">
        <v>66</v>
      </c>
      <c r="B67" s="13" t="s">
        <v>15</v>
      </c>
      <c r="C67" s="13" t="s">
        <v>125</v>
      </c>
      <c r="D67" s="13" t="s">
        <v>165</v>
      </c>
      <c r="E67" s="13" t="s">
        <v>24</v>
      </c>
      <c r="F67" s="13" t="s">
        <v>163</v>
      </c>
      <c r="G67" s="13" t="s">
        <v>128</v>
      </c>
      <c r="H67" s="14">
        <v>45747</v>
      </c>
      <c r="I67" s="14">
        <v>45747</v>
      </c>
      <c r="J67" s="14">
        <v>45754</v>
      </c>
      <c r="K67" s="14">
        <v>45759</v>
      </c>
      <c r="L67" s="14">
        <v>45805</v>
      </c>
      <c r="M67" s="14">
        <v>45766</v>
      </c>
      <c r="N67" s="14">
        <v>45812</v>
      </c>
      <c r="O67" s="14">
        <v>45773</v>
      </c>
      <c r="P67" s="14"/>
      <c r="Q67" s="13"/>
    </row>
    <row r="68" spans="1:17">
      <c r="A68" s="13">
        <v>67</v>
      </c>
      <c r="B68" s="13" t="s">
        <v>15</v>
      </c>
      <c r="C68" s="13" t="s">
        <v>125</v>
      </c>
      <c r="D68" s="13" t="s">
        <v>166</v>
      </c>
      <c r="E68" s="13" t="s">
        <v>24</v>
      </c>
      <c r="F68" s="13" t="s">
        <v>167</v>
      </c>
      <c r="G68" s="13" t="s">
        <v>128</v>
      </c>
      <c r="H68" s="14">
        <v>45747</v>
      </c>
      <c r="I68" s="14">
        <v>45747</v>
      </c>
      <c r="J68" s="14">
        <v>45754</v>
      </c>
      <c r="K68" s="14">
        <v>45759</v>
      </c>
      <c r="L68" s="14">
        <v>45805</v>
      </c>
      <c r="M68" s="14">
        <v>45766</v>
      </c>
      <c r="N68" s="14">
        <v>45812</v>
      </c>
      <c r="O68" s="14">
        <v>45773</v>
      </c>
      <c r="P68" s="14"/>
      <c r="Q68" s="13"/>
    </row>
    <row r="69" spans="1:17">
      <c r="A69" s="13">
        <v>68</v>
      </c>
      <c r="B69" s="13" t="s">
        <v>15</v>
      </c>
      <c r="C69" s="13" t="s">
        <v>125</v>
      </c>
      <c r="D69" s="13" t="s">
        <v>168</v>
      </c>
      <c r="E69" s="13" t="s">
        <v>24</v>
      </c>
      <c r="F69" s="13" t="s">
        <v>169</v>
      </c>
      <c r="G69" s="13" t="s">
        <v>128</v>
      </c>
      <c r="H69" s="14">
        <v>45747</v>
      </c>
      <c r="I69" s="14">
        <v>45747</v>
      </c>
      <c r="J69" s="14">
        <v>45754</v>
      </c>
      <c r="K69" s="14">
        <v>45759</v>
      </c>
      <c r="L69" s="14">
        <v>45805</v>
      </c>
      <c r="M69" s="14">
        <v>45766</v>
      </c>
      <c r="N69" s="14">
        <v>45812</v>
      </c>
      <c r="O69" s="14">
        <v>45773</v>
      </c>
      <c r="P69" s="14"/>
      <c r="Q69" s="13"/>
    </row>
    <row r="70" spans="1:17">
      <c r="A70" s="13">
        <v>69</v>
      </c>
      <c r="B70" s="13" t="s">
        <v>15</v>
      </c>
      <c r="C70" s="13" t="s">
        <v>125</v>
      </c>
      <c r="D70" s="13" t="s">
        <v>170</v>
      </c>
      <c r="E70" s="13" t="s">
        <v>29</v>
      </c>
      <c r="F70" s="13" t="s">
        <v>171</v>
      </c>
      <c r="G70" s="13" t="s">
        <v>128</v>
      </c>
      <c r="H70" s="14">
        <v>45976</v>
      </c>
      <c r="I70" s="14">
        <v>45747</v>
      </c>
      <c r="J70" s="14">
        <v>45974</v>
      </c>
      <c r="K70" s="14">
        <v>45759</v>
      </c>
      <c r="L70" s="14">
        <v>45796</v>
      </c>
      <c r="M70" s="14">
        <v>45990</v>
      </c>
      <c r="N70" s="14">
        <v>45995</v>
      </c>
      <c r="O70" s="14">
        <v>45997</v>
      </c>
      <c r="P70" s="14"/>
      <c r="Q70" s="13"/>
    </row>
    <row r="71" spans="1:17">
      <c r="A71" s="13">
        <v>70</v>
      </c>
      <c r="B71" s="13" t="s">
        <v>15</v>
      </c>
      <c r="C71" s="13" t="s">
        <v>125</v>
      </c>
      <c r="D71" s="13" t="s">
        <v>172</v>
      </c>
      <c r="E71" s="13" t="s">
        <v>29</v>
      </c>
      <c r="F71" s="13" t="s">
        <v>171</v>
      </c>
      <c r="G71" s="13" t="s">
        <v>128</v>
      </c>
      <c r="H71" s="14">
        <v>45976</v>
      </c>
      <c r="I71" s="14">
        <v>45747</v>
      </c>
      <c r="J71" s="14">
        <v>45974</v>
      </c>
      <c r="K71" s="14">
        <v>45759</v>
      </c>
      <c r="L71" s="14">
        <v>45796</v>
      </c>
      <c r="M71" s="14">
        <v>45990</v>
      </c>
      <c r="N71" s="14">
        <v>45995</v>
      </c>
      <c r="O71" s="14">
        <v>45997</v>
      </c>
      <c r="P71" s="14"/>
      <c r="Q71" s="13"/>
    </row>
    <row r="72" spans="1:17">
      <c r="A72" s="13">
        <v>71</v>
      </c>
      <c r="B72" s="13" t="s">
        <v>15</v>
      </c>
      <c r="C72" s="13" t="s">
        <v>125</v>
      </c>
      <c r="D72" s="13" t="s">
        <v>173</v>
      </c>
      <c r="E72" s="13" t="s">
        <v>29</v>
      </c>
      <c r="F72" s="13" t="s">
        <v>171</v>
      </c>
      <c r="G72" s="13" t="s">
        <v>128</v>
      </c>
      <c r="H72" s="14">
        <v>45976</v>
      </c>
      <c r="I72" s="14">
        <v>45747</v>
      </c>
      <c r="J72" s="14">
        <v>45974</v>
      </c>
      <c r="K72" s="14">
        <v>45759</v>
      </c>
      <c r="L72" s="14">
        <v>45796</v>
      </c>
      <c r="M72" s="14">
        <v>45990</v>
      </c>
      <c r="N72" s="14">
        <v>45995</v>
      </c>
      <c r="O72" s="14">
        <v>45997</v>
      </c>
      <c r="P72" s="14"/>
      <c r="Q72" s="13"/>
    </row>
    <row r="73" spans="1:17">
      <c r="A73" s="13">
        <v>72</v>
      </c>
      <c r="B73" s="13" t="s">
        <v>15</v>
      </c>
      <c r="C73" s="13" t="s">
        <v>125</v>
      </c>
      <c r="D73" s="13" t="s">
        <v>174</v>
      </c>
      <c r="E73" s="13" t="s">
        <v>29</v>
      </c>
      <c r="F73" s="13" t="s">
        <v>175</v>
      </c>
      <c r="G73" s="13" t="s">
        <v>128</v>
      </c>
      <c r="H73" s="14">
        <v>45976</v>
      </c>
      <c r="I73" s="14">
        <v>45747</v>
      </c>
      <c r="J73" s="14">
        <v>45974</v>
      </c>
      <c r="K73" s="14">
        <v>45759</v>
      </c>
      <c r="L73" s="14">
        <v>45796</v>
      </c>
      <c r="M73" s="14">
        <v>45990</v>
      </c>
      <c r="N73" s="14">
        <v>45995</v>
      </c>
      <c r="O73" s="14">
        <v>45997</v>
      </c>
      <c r="P73" s="14"/>
      <c r="Q73" s="13"/>
    </row>
    <row r="74" spans="1:17">
      <c r="A74" s="13">
        <v>73</v>
      </c>
      <c r="B74" s="13" t="s">
        <v>15</v>
      </c>
      <c r="C74" s="13" t="s">
        <v>125</v>
      </c>
      <c r="D74" s="13" t="s">
        <v>176</v>
      </c>
      <c r="E74" s="13" t="s">
        <v>34</v>
      </c>
      <c r="F74" s="13" t="s">
        <v>177</v>
      </c>
      <c r="G74" s="13" t="s">
        <v>128</v>
      </c>
      <c r="H74" s="14">
        <v>45960</v>
      </c>
      <c r="I74" s="14">
        <v>45760</v>
      </c>
      <c r="J74" s="14">
        <v>45966</v>
      </c>
      <c r="K74" s="14">
        <v>45772</v>
      </c>
      <c r="L74" s="14"/>
      <c r="M74" s="14">
        <v>45974</v>
      </c>
      <c r="N74" s="14">
        <v>45995</v>
      </c>
      <c r="O74" s="14">
        <v>45981</v>
      </c>
      <c r="P74" s="14"/>
      <c r="Q74" s="13"/>
    </row>
    <row r="75" spans="1:17">
      <c r="A75" s="13">
        <v>74</v>
      </c>
      <c r="B75" s="13" t="s">
        <v>15</v>
      </c>
      <c r="C75" s="13" t="s">
        <v>125</v>
      </c>
      <c r="D75" s="13" t="s">
        <v>178</v>
      </c>
      <c r="E75" s="13" t="s">
        <v>34</v>
      </c>
      <c r="F75" s="13" t="s">
        <v>177</v>
      </c>
      <c r="G75" s="13" t="s">
        <v>128</v>
      </c>
      <c r="H75" s="14">
        <v>45960</v>
      </c>
      <c r="I75" s="14">
        <v>45760</v>
      </c>
      <c r="J75" s="14">
        <v>45966</v>
      </c>
      <c r="K75" s="14">
        <v>45772</v>
      </c>
      <c r="L75" s="14"/>
      <c r="M75" s="14">
        <v>45974</v>
      </c>
      <c r="N75" s="14">
        <v>45995</v>
      </c>
      <c r="O75" s="14">
        <v>45981</v>
      </c>
      <c r="P75" s="14"/>
      <c r="Q75" s="13"/>
    </row>
    <row r="76" spans="1:17">
      <c r="A76" s="13">
        <v>75</v>
      </c>
      <c r="B76" s="13" t="s">
        <v>15</v>
      </c>
      <c r="C76" s="13" t="s">
        <v>125</v>
      </c>
      <c r="D76" s="13" t="s">
        <v>179</v>
      </c>
      <c r="E76" s="13" t="s">
        <v>34</v>
      </c>
      <c r="F76" s="13" t="s">
        <v>177</v>
      </c>
      <c r="G76" s="13" t="s">
        <v>128</v>
      </c>
      <c r="H76" s="14">
        <v>45960</v>
      </c>
      <c r="I76" s="14">
        <v>45760</v>
      </c>
      <c r="J76" s="14">
        <v>45966</v>
      </c>
      <c r="K76" s="14">
        <v>45772</v>
      </c>
      <c r="L76" s="14"/>
      <c r="M76" s="14">
        <v>45974</v>
      </c>
      <c r="N76" s="14">
        <v>45995</v>
      </c>
      <c r="O76" s="14">
        <v>45981</v>
      </c>
      <c r="P76" s="14"/>
      <c r="Q76" s="13"/>
    </row>
    <row r="77" spans="1:17">
      <c r="A77" s="13">
        <v>76</v>
      </c>
      <c r="B77" s="13" t="s">
        <v>15</v>
      </c>
      <c r="C77" s="13" t="s">
        <v>125</v>
      </c>
      <c r="D77" s="13" t="s">
        <v>180</v>
      </c>
      <c r="E77" s="13" t="s">
        <v>34</v>
      </c>
      <c r="F77" s="13" t="s">
        <v>181</v>
      </c>
      <c r="G77" s="13" t="s">
        <v>128</v>
      </c>
      <c r="H77" s="14">
        <v>45960</v>
      </c>
      <c r="I77" s="14">
        <v>45760</v>
      </c>
      <c r="J77" s="14">
        <v>45966</v>
      </c>
      <c r="K77" s="14">
        <v>45772</v>
      </c>
      <c r="L77" s="14"/>
      <c r="M77" s="14">
        <v>45974</v>
      </c>
      <c r="N77" s="14">
        <v>45995</v>
      </c>
      <c r="O77" s="14">
        <v>45981</v>
      </c>
      <c r="P77" s="14"/>
      <c r="Q77" s="13"/>
    </row>
    <row r="78" spans="1:17">
      <c r="A78" s="13">
        <v>77</v>
      </c>
      <c r="B78" s="13" t="s">
        <v>15</v>
      </c>
      <c r="C78" s="13" t="s">
        <v>125</v>
      </c>
      <c r="D78" s="13" t="s">
        <v>182</v>
      </c>
      <c r="E78" s="13" t="s">
        <v>34</v>
      </c>
      <c r="F78" s="13" t="s">
        <v>183</v>
      </c>
      <c r="G78" s="13" t="s">
        <v>128</v>
      </c>
      <c r="H78" s="14">
        <v>45960</v>
      </c>
      <c r="I78" s="14">
        <v>45760</v>
      </c>
      <c r="J78" s="14">
        <v>45966</v>
      </c>
      <c r="K78" s="14">
        <v>45772</v>
      </c>
      <c r="L78" s="14"/>
      <c r="M78" s="14">
        <v>45974</v>
      </c>
      <c r="N78" s="14">
        <v>45995</v>
      </c>
      <c r="O78" s="14">
        <v>45981</v>
      </c>
      <c r="P78" s="14"/>
      <c r="Q78" s="13"/>
    </row>
    <row r="79" spans="1:17">
      <c r="A79" s="13">
        <v>78</v>
      </c>
      <c r="B79" s="13" t="s">
        <v>15</v>
      </c>
      <c r="C79" s="13" t="s">
        <v>125</v>
      </c>
      <c r="D79" s="13" t="s">
        <v>184</v>
      </c>
      <c r="E79" s="13" t="s">
        <v>39</v>
      </c>
      <c r="F79" s="13" t="s">
        <v>185</v>
      </c>
      <c r="G79" s="13" t="s">
        <v>128</v>
      </c>
      <c r="H79" s="14">
        <v>45955</v>
      </c>
      <c r="I79" s="14">
        <v>45776</v>
      </c>
      <c r="J79" s="14">
        <v>45958</v>
      </c>
      <c r="K79" s="14">
        <v>45788</v>
      </c>
      <c r="L79" s="14">
        <v>45889</v>
      </c>
      <c r="M79" s="14">
        <v>45969</v>
      </c>
      <c r="N79" s="14">
        <v>45995</v>
      </c>
      <c r="O79" s="14">
        <v>45976</v>
      </c>
      <c r="P79" s="14"/>
      <c r="Q79" s="13"/>
    </row>
    <row r="80" spans="1:17">
      <c r="A80" s="13">
        <v>79</v>
      </c>
      <c r="B80" s="13" t="s">
        <v>15</v>
      </c>
      <c r="C80" s="13" t="s">
        <v>125</v>
      </c>
      <c r="D80" s="13" t="s">
        <v>186</v>
      </c>
      <c r="E80" s="13" t="s">
        <v>39</v>
      </c>
      <c r="F80" s="13" t="s">
        <v>185</v>
      </c>
      <c r="G80" s="13" t="s">
        <v>128</v>
      </c>
      <c r="H80" s="14">
        <v>45955</v>
      </c>
      <c r="I80" s="14">
        <v>45776</v>
      </c>
      <c r="J80" s="14">
        <v>45958</v>
      </c>
      <c r="K80" s="14">
        <v>45788</v>
      </c>
      <c r="L80" s="14">
        <v>45889</v>
      </c>
      <c r="M80" s="14">
        <v>45969</v>
      </c>
      <c r="N80" s="14">
        <v>45995</v>
      </c>
      <c r="O80" s="14">
        <v>45976</v>
      </c>
      <c r="P80" s="14"/>
      <c r="Q80" s="13"/>
    </row>
    <row r="81" spans="1:17">
      <c r="A81" s="13">
        <v>80</v>
      </c>
      <c r="B81" s="13" t="s">
        <v>15</v>
      </c>
      <c r="C81" s="13" t="s">
        <v>125</v>
      </c>
      <c r="D81" s="13" t="s">
        <v>187</v>
      </c>
      <c r="E81" s="13" t="s">
        <v>39</v>
      </c>
      <c r="F81" s="13" t="s">
        <v>185</v>
      </c>
      <c r="G81" s="13" t="s">
        <v>128</v>
      </c>
      <c r="H81" s="14">
        <v>45955</v>
      </c>
      <c r="I81" s="14">
        <v>45776</v>
      </c>
      <c r="J81" s="14">
        <v>45958</v>
      </c>
      <c r="K81" s="14">
        <v>45788</v>
      </c>
      <c r="L81" s="14">
        <v>45889</v>
      </c>
      <c r="M81" s="14">
        <v>45969</v>
      </c>
      <c r="N81" s="14">
        <v>45995</v>
      </c>
      <c r="O81" s="14">
        <v>45976</v>
      </c>
      <c r="P81" s="14"/>
      <c r="Q81" s="13"/>
    </row>
    <row r="82" spans="1:17">
      <c r="A82" s="13">
        <v>81</v>
      </c>
      <c r="B82" s="13" t="s">
        <v>15</v>
      </c>
      <c r="C82" s="13" t="s">
        <v>125</v>
      </c>
      <c r="D82" s="13" t="s">
        <v>188</v>
      </c>
      <c r="E82" s="13" t="s">
        <v>39</v>
      </c>
      <c r="F82" s="13" t="s">
        <v>189</v>
      </c>
      <c r="G82" s="13" t="s">
        <v>128</v>
      </c>
      <c r="H82" s="14">
        <v>45955</v>
      </c>
      <c r="I82" s="14">
        <v>45776</v>
      </c>
      <c r="J82" s="14">
        <v>45958</v>
      </c>
      <c r="K82" s="14">
        <v>45788</v>
      </c>
      <c r="L82" s="14">
        <v>45889</v>
      </c>
      <c r="M82" s="14">
        <v>45969</v>
      </c>
      <c r="N82" s="14">
        <v>45995</v>
      </c>
      <c r="O82" s="14">
        <v>45976</v>
      </c>
      <c r="P82" s="14"/>
      <c r="Q82" s="13"/>
    </row>
    <row r="83" spans="1:17">
      <c r="A83" s="13">
        <v>82</v>
      </c>
      <c r="B83" s="13" t="s">
        <v>15</v>
      </c>
      <c r="C83" s="13" t="s">
        <v>125</v>
      </c>
      <c r="D83" s="13" t="s">
        <v>190</v>
      </c>
      <c r="E83" s="13" t="s">
        <v>39</v>
      </c>
      <c r="F83" s="13" t="s">
        <v>191</v>
      </c>
      <c r="G83" s="13" t="s">
        <v>128</v>
      </c>
      <c r="H83" s="14">
        <v>45955</v>
      </c>
      <c r="I83" s="14">
        <v>45776</v>
      </c>
      <c r="J83" s="14">
        <v>45958</v>
      </c>
      <c r="K83" s="14">
        <v>45788</v>
      </c>
      <c r="L83" s="14">
        <v>45889</v>
      </c>
      <c r="M83" s="14">
        <v>45969</v>
      </c>
      <c r="N83" s="14">
        <v>45995</v>
      </c>
      <c r="O83" s="14">
        <v>45976</v>
      </c>
      <c r="P83" s="14"/>
      <c r="Q83" s="13"/>
    </row>
    <row r="84" spans="1:17">
      <c r="A84" s="13">
        <v>83</v>
      </c>
      <c r="B84" s="13" t="s">
        <v>15</v>
      </c>
      <c r="C84" s="13" t="s">
        <v>125</v>
      </c>
      <c r="D84" s="13" t="s">
        <v>192</v>
      </c>
      <c r="E84" s="13" t="s">
        <v>44</v>
      </c>
      <c r="F84" s="13" t="s">
        <v>193</v>
      </c>
      <c r="G84" s="13" t="s">
        <v>128</v>
      </c>
      <c r="H84" s="14">
        <v>45790</v>
      </c>
      <c r="I84" s="14">
        <v>45790</v>
      </c>
      <c r="J84" s="14">
        <v>45796</v>
      </c>
      <c r="K84" s="14">
        <v>45802</v>
      </c>
      <c r="L84" s="14"/>
      <c r="M84" s="14">
        <v>45809</v>
      </c>
      <c r="N84" s="14">
        <v>45812</v>
      </c>
      <c r="O84" s="14">
        <v>45816</v>
      </c>
      <c r="P84" s="14"/>
      <c r="Q84" s="13"/>
    </row>
    <row r="85" spans="1:17">
      <c r="A85" s="13">
        <v>84</v>
      </c>
      <c r="B85" s="13" t="s">
        <v>15</v>
      </c>
      <c r="C85" s="13" t="s">
        <v>125</v>
      </c>
      <c r="D85" s="13" t="s">
        <v>194</v>
      </c>
      <c r="E85" s="13" t="s">
        <v>44</v>
      </c>
      <c r="F85" s="13" t="s">
        <v>193</v>
      </c>
      <c r="G85" s="13" t="s">
        <v>128</v>
      </c>
      <c r="H85" s="14">
        <v>45790</v>
      </c>
      <c r="I85" s="14">
        <v>45790</v>
      </c>
      <c r="J85" s="14">
        <v>45796</v>
      </c>
      <c r="K85" s="14">
        <v>45802</v>
      </c>
      <c r="L85" s="14"/>
      <c r="M85" s="14">
        <v>45809</v>
      </c>
      <c r="N85" s="14">
        <v>45812</v>
      </c>
      <c r="O85" s="14">
        <v>45816</v>
      </c>
      <c r="P85" s="14"/>
      <c r="Q85" s="13"/>
    </row>
    <row r="86" spans="1:17">
      <c r="A86" s="13">
        <v>85</v>
      </c>
      <c r="B86" s="13" t="s">
        <v>15</v>
      </c>
      <c r="C86" s="13" t="s">
        <v>125</v>
      </c>
      <c r="D86" s="13" t="s">
        <v>195</v>
      </c>
      <c r="E86" s="13" t="s">
        <v>44</v>
      </c>
      <c r="F86" s="13" t="s">
        <v>193</v>
      </c>
      <c r="G86" s="13" t="s">
        <v>128</v>
      </c>
      <c r="H86" s="14">
        <v>45790</v>
      </c>
      <c r="I86" s="14">
        <v>45790</v>
      </c>
      <c r="J86" s="14">
        <v>45796</v>
      </c>
      <c r="K86" s="14">
        <v>45802</v>
      </c>
      <c r="L86" s="14"/>
      <c r="M86" s="14">
        <v>45809</v>
      </c>
      <c r="N86" s="14">
        <v>45812</v>
      </c>
      <c r="O86" s="14">
        <v>45816</v>
      </c>
      <c r="P86" s="14"/>
      <c r="Q86" s="13"/>
    </row>
    <row r="87" spans="1:17">
      <c r="A87" s="13">
        <v>86</v>
      </c>
      <c r="B87" s="13" t="s">
        <v>15</v>
      </c>
      <c r="C87" s="13" t="s">
        <v>125</v>
      </c>
      <c r="D87" s="13" t="s">
        <v>196</v>
      </c>
      <c r="E87" s="13" t="s">
        <v>44</v>
      </c>
      <c r="F87" s="13" t="s">
        <v>197</v>
      </c>
      <c r="G87" s="13" t="s">
        <v>128</v>
      </c>
      <c r="H87" s="14">
        <v>45790</v>
      </c>
      <c r="I87" s="14">
        <v>45790</v>
      </c>
      <c r="J87" s="14">
        <v>45796</v>
      </c>
      <c r="K87" s="14">
        <v>45802</v>
      </c>
      <c r="L87" s="14"/>
      <c r="M87" s="14">
        <v>45809</v>
      </c>
      <c r="N87" s="14">
        <v>45812</v>
      </c>
      <c r="O87" s="14">
        <v>45816</v>
      </c>
      <c r="P87" s="14"/>
      <c r="Q87" s="13"/>
    </row>
    <row r="88" spans="1:17">
      <c r="A88" s="13">
        <v>87</v>
      </c>
      <c r="B88" s="13" t="s">
        <v>15</v>
      </c>
      <c r="C88" s="13" t="s">
        <v>125</v>
      </c>
      <c r="D88" s="13" t="s">
        <v>198</v>
      </c>
      <c r="E88" s="13" t="s">
        <v>44</v>
      </c>
      <c r="F88" s="13" t="s">
        <v>199</v>
      </c>
      <c r="G88" s="13" t="s">
        <v>128</v>
      </c>
      <c r="H88" s="14">
        <v>45790</v>
      </c>
      <c r="I88" s="14">
        <v>45790</v>
      </c>
      <c r="J88" s="14">
        <v>45796</v>
      </c>
      <c r="K88" s="14">
        <v>45802</v>
      </c>
      <c r="L88" s="14"/>
      <c r="M88" s="14">
        <v>45809</v>
      </c>
      <c r="N88" s="14">
        <v>45812</v>
      </c>
      <c r="O88" s="14">
        <v>45816</v>
      </c>
      <c r="P88" s="14"/>
      <c r="Q88" s="13"/>
    </row>
    <row r="89" spans="1:17">
      <c r="A89" s="13">
        <v>88</v>
      </c>
      <c r="B89" s="13" t="s">
        <v>15</v>
      </c>
      <c r="C89" s="13" t="s">
        <v>125</v>
      </c>
      <c r="D89" s="13" t="s">
        <v>200</v>
      </c>
      <c r="E89" s="13" t="s">
        <v>49</v>
      </c>
      <c r="F89" s="13" t="s">
        <v>201</v>
      </c>
      <c r="G89" s="13" t="s">
        <v>128</v>
      </c>
      <c r="H89" s="14">
        <v>45804</v>
      </c>
      <c r="I89" s="14">
        <v>45804</v>
      </c>
      <c r="J89" s="14">
        <v>45840</v>
      </c>
      <c r="K89" s="14">
        <v>45816</v>
      </c>
      <c r="L89" s="14">
        <v>45877</v>
      </c>
      <c r="M89" s="14">
        <v>45823</v>
      </c>
      <c r="N89" s="14">
        <v>45946</v>
      </c>
      <c r="O89" s="14">
        <v>45830</v>
      </c>
      <c r="P89" s="14"/>
      <c r="Q89" s="13"/>
    </row>
    <row r="90" spans="1:17">
      <c r="A90" s="13">
        <v>89</v>
      </c>
      <c r="B90" s="13" t="s">
        <v>15</v>
      </c>
      <c r="C90" s="13" t="s">
        <v>125</v>
      </c>
      <c r="D90" s="13" t="s">
        <v>202</v>
      </c>
      <c r="E90" s="13" t="s">
        <v>49</v>
      </c>
      <c r="F90" s="13" t="s">
        <v>201</v>
      </c>
      <c r="G90" s="13" t="s">
        <v>128</v>
      </c>
      <c r="H90" s="14">
        <v>45804</v>
      </c>
      <c r="I90" s="14">
        <v>45804</v>
      </c>
      <c r="J90" s="14">
        <v>45840</v>
      </c>
      <c r="K90" s="14">
        <v>45816</v>
      </c>
      <c r="L90" s="14">
        <v>45877</v>
      </c>
      <c r="M90" s="14">
        <v>45823</v>
      </c>
      <c r="N90" s="14">
        <v>45946</v>
      </c>
      <c r="O90" s="14">
        <v>45830</v>
      </c>
      <c r="P90" s="14"/>
      <c r="Q90" s="13"/>
    </row>
    <row r="91" spans="1:17">
      <c r="A91" s="13">
        <v>90</v>
      </c>
      <c r="B91" s="13" t="s">
        <v>15</v>
      </c>
      <c r="C91" s="13" t="s">
        <v>125</v>
      </c>
      <c r="D91" s="13" t="s">
        <v>203</v>
      </c>
      <c r="E91" s="13" t="s">
        <v>49</v>
      </c>
      <c r="F91" s="13" t="s">
        <v>201</v>
      </c>
      <c r="G91" s="13" t="s">
        <v>128</v>
      </c>
      <c r="H91" s="14">
        <v>45804</v>
      </c>
      <c r="I91" s="14">
        <v>45804</v>
      </c>
      <c r="J91" s="14">
        <v>45840</v>
      </c>
      <c r="K91" s="14">
        <v>45816</v>
      </c>
      <c r="L91" s="14">
        <v>45877</v>
      </c>
      <c r="M91" s="14">
        <v>45823</v>
      </c>
      <c r="N91" s="14">
        <v>45946</v>
      </c>
      <c r="O91" s="14">
        <v>45830</v>
      </c>
      <c r="P91" s="14"/>
      <c r="Q91" s="13"/>
    </row>
    <row r="92" spans="1:17">
      <c r="A92" s="13">
        <v>91</v>
      </c>
      <c r="B92" s="13" t="s">
        <v>15</v>
      </c>
      <c r="C92" s="13" t="s">
        <v>125</v>
      </c>
      <c r="D92" s="13" t="s">
        <v>204</v>
      </c>
      <c r="E92" s="13" t="s">
        <v>49</v>
      </c>
      <c r="F92" s="13" t="s">
        <v>205</v>
      </c>
      <c r="G92" s="13" t="s">
        <v>128</v>
      </c>
      <c r="H92" s="14">
        <v>45804</v>
      </c>
      <c r="I92" s="14">
        <v>45804</v>
      </c>
      <c r="J92" s="14">
        <v>45840</v>
      </c>
      <c r="K92" s="14">
        <v>45816</v>
      </c>
      <c r="L92" s="14">
        <v>45877</v>
      </c>
      <c r="M92" s="14">
        <v>45823</v>
      </c>
      <c r="N92" s="14">
        <v>45946</v>
      </c>
      <c r="O92" s="14">
        <v>45830</v>
      </c>
      <c r="P92" s="14"/>
      <c r="Q92" s="13"/>
    </row>
    <row r="93" spans="1:17">
      <c r="A93" s="13">
        <v>92</v>
      </c>
      <c r="B93" s="13" t="s">
        <v>15</v>
      </c>
      <c r="C93" s="13" t="s">
        <v>125</v>
      </c>
      <c r="D93" s="13" t="s">
        <v>206</v>
      </c>
      <c r="E93" s="13" t="s">
        <v>49</v>
      </c>
      <c r="F93" s="13" t="s">
        <v>207</v>
      </c>
      <c r="G93" s="13" t="s">
        <v>128</v>
      </c>
      <c r="H93" s="14">
        <v>45804</v>
      </c>
      <c r="I93" s="14">
        <v>45804</v>
      </c>
      <c r="J93" s="14">
        <v>45840</v>
      </c>
      <c r="K93" s="14">
        <v>45816</v>
      </c>
      <c r="L93" s="14">
        <v>45877</v>
      </c>
      <c r="M93" s="14">
        <v>45823</v>
      </c>
      <c r="N93" s="14">
        <v>45946</v>
      </c>
      <c r="O93" s="14">
        <v>45830</v>
      </c>
      <c r="P93" s="14"/>
      <c r="Q93" s="13"/>
    </row>
    <row r="94" spans="1:17">
      <c r="A94" s="13">
        <v>93</v>
      </c>
      <c r="B94" s="13" t="s">
        <v>15</v>
      </c>
      <c r="C94" s="13" t="s">
        <v>125</v>
      </c>
      <c r="D94" s="13" t="s">
        <v>208</v>
      </c>
      <c r="E94" s="13" t="s">
        <v>54</v>
      </c>
      <c r="F94" s="13" t="s">
        <v>209</v>
      </c>
      <c r="G94" s="13" t="s">
        <v>128</v>
      </c>
      <c r="H94" s="14">
        <v>45821</v>
      </c>
      <c r="I94" s="14">
        <v>45821</v>
      </c>
      <c r="J94" s="14">
        <v>45847</v>
      </c>
      <c r="K94" s="14">
        <v>45833</v>
      </c>
      <c r="L94" s="14">
        <v>45883</v>
      </c>
      <c r="M94" s="14">
        <v>45840</v>
      </c>
      <c r="N94" s="14">
        <v>45946</v>
      </c>
      <c r="O94" s="14">
        <v>45847</v>
      </c>
      <c r="P94" s="14"/>
      <c r="Q94" s="13"/>
    </row>
    <row r="95" spans="1:17">
      <c r="A95" s="13">
        <v>94</v>
      </c>
      <c r="B95" s="13" t="s">
        <v>15</v>
      </c>
      <c r="C95" s="13" t="s">
        <v>125</v>
      </c>
      <c r="D95" s="13" t="s">
        <v>210</v>
      </c>
      <c r="E95" s="13" t="s">
        <v>54</v>
      </c>
      <c r="F95" s="13" t="s">
        <v>209</v>
      </c>
      <c r="G95" s="13" t="s">
        <v>128</v>
      </c>
      <c r="H95" s="14">
        <v>45821</v>
      </c>
      <c r="I95" s="14">
        <v>45821</v>
      </c>
      <c r="J95" s="14">
        <v>45847</v>
      </c>
      <c r="K95" s="14">
        <v>45833</v>
      </c>
      <c r="L95" s="14">
        <v>45883</v>
      </c>
      <c r="M95" s="14">
        <v>45840</v>
      </c>
      <c r="N95" s="14">
        <v>45946</v>
      </c>
      <c r="O95" s="14">
        <v>45847</v>
      </c>
      <c r="P95" s="14"/>
      <c r="Q95" s="13"/>
    </row>
    <row r="96" spans="1:17">
      <c r="A96" s="13">
        <v>95</v>
      </c>
      <c r="B96" s="13" t="s">
        <v>15</v>
      </c>
      <c r="C96" s="13" t="s">
        <v>125</v>
      </c>
      <c r="D96" s="13" t="s">
        <v>211</v>
      </c>
      <c r="E96" s="13" t="s">
        <v>54</v>
      </c>
      <c r="F96" s="13" t="s">
        <v>209</v>
      </c>
      <c r="G96" s="13" t="s">
        <v>128</v>
      </c>
      <c r="H96" s="14">
        <v>45821</v>
      </c>
      <c r="I96" s="14">
        <v>45821</v>
      </c>
      <c r="J96" s="14">
        <v>45847</v>
      </c>
      <c r="K96" s="14">
        <v>45833</v>
      </c>
      <c r="L96" s="14">
        <v>45883</v>
      </c>
      <c r="M96" s="14">
        <v>45840</v>
      </c>
      <c r="N96" s="14">
        <v>45946</v>
      </c>
      <c r="O96" s="14">
        <v>45847</v>
      </c>
      <c r="P96" s="14"/>
      <c r="Q96" s="13"/>
    </row>
    <row r="97" spans="1:17">
      <c r="A97" s="13">
        <v>96</v>
      </c>
      <c r="B97" s="13" t="s">
        <v>15</v>
      </c>
      <c r="C97" s="13" t="s">
        <v>125</v>
      </c>
      <c r="D97" s="13" t="s">
        <v>212</v>
      </c>
      <c r="E97" s="13" t="s">
        <v>54</v>
      </c>
      <c r="F97" s="13" t="s">
        <v>213</v>
      </c>
      <c r="G97" s="13" t="s">
        <v>128</v>
      </c>
      <c r="H97" s="14">
        <v>45821</v>
      </c>
      <c r="I97" s="14">
        <v>45821</v>
      </c>
      <c r="J97" s="14">
        <v>45847</v>
      </c>
      <c r="K97" s="14">
        <v>45833</v>
      </c>
      <c r="L97" s="14">
        <v>45883</v>
      </c>
      <c r="M97" s="14">
        <v>45840</v>
      </c>
      <c r="N97" s="14">
        <v>45946</v>
      </c>
      <c r="O97" s="14">
        <v>45847</v>
      </c>
      <c r="P97" s="14"/>
      <c r="Q97" s="13"/>
    </row>
    <row r="98" spans="1:17">
      <c r="A98" s="13">
        <v>97</v>
      </c>
      <c r="B98" s="13" t="s">
        <v>15</v>
      </c>
      <c r="C98" s="13" t="s">
        <v>125</v>
      </c>
      <c r="D98" s="13" t="s">
        <v>214</v>
      </c>
      <c r="E98" s="13" t="s">
        <v>54</v>
      </c>
      <c r="F98" s="13" t="s">
        <v>215</v>
      </c>
      <c r="G98" s="13" t="s">
        <v>128</v>
      </c>
      <c r="H98" s="14">
        <v>45821</v>
      </c>
      <c r="I98" s="14">
        <v>45821</v>
      </c>
      <c r="J98" s="14">
        <v>45847</v>
      </c>
      <c r="K98" s="14">
        <v>45833</v>
      </c>
      <c r="L98" s="14">
        <v>45883</v>
      </c>
      <c r="M98" s="14">
        <v>45840</v>
      </c>
      <c r="N98" s="14">
        <v>45946</v>
      </c>
      <c r="O98" s="14">
        <v>45847</v>
      </c>
      <c r="P98" s="14"/>
      <c r="Q98" s="13"/>
    </row>
    <row r="99" spans="1:17">
      <c r="A99" s="13">
        <v>98</v>
      </c>
      <c r="B99" s="13" t="s">
        <v>15</v>
      </c>
      <c r="C99" s="13" t="s">
        <v>125</v>
      </c>
      <c r="D99" s="13" t="s">
        <v>216</v>
      </c>
      <c r="E99" s="13" t="s">
        <v>59</v>
      </c>
      <c r="F99" s="13" t="s">
        <v>217</v>
      </c>
      <c r="G99" s="13" t="s">
        <v>128</v>
      </c>
      <c r="H99" s="14">
        <v>45837</v>
      </c>
      <c r="I99" s="14">
        <v>45837</v>
      </c>
      <c r="J99" s="14">
        <v>45896</v>
      </c>
      <c r="K99" s="14">
        <v>45849</v>
      </c>
      <c r="L99" s="14"/>
      <c r="M99" s="14">
        <v>45856</v>
      </c>
      <c r="N99" s="14">
        <v>45946</v>
      </c>
      <c r="O99" s="14">
        <v>45863</v>
      </c>
      <c r="P99" s="14"/>
      <c r="Q99" s="13"/>
    </row>
    <row r="100" spans="1:17">
      <c r="A100" s="13">
        <v>99</v>
      </c>
      <c r="B100" s="13" t="s">
        <v>15</v>
      </c>
      <c r="C100" s="13" t="s">
        <v>125</v>
      </c>
      <c r="D100" s="13" t="s">
        <v>218</v>
      </c>
      <c r="E100" s="13" t="s">
        <v>59</v>
      </c>
      <c r="F100" s="13" t="s">
        <v>217</v>
      </c>
      <c r="G100" s="13" t="s">
        <v>128</v>
      </c>
      <c r="H100" s="14">
        <v>45837</v>
      </c>
      <c r="I100" s="14">
        <v>45837</v>
      </c>
      <c r="J100" s="14">
        <v>45896</v>
      </c>
      <c r="K100" s="14">
        <v>45849</v>
      </c>
      <c r="L100" s="14"/>
      <c r="M100" s="14">
        <v>45856</v>
      </c>
      <c r="N100" s="14">
        <v>45946</v>
      </c>
      <c r="O100" s="14">
        <v>45863</v>
      </c>
      <c r="P100" s="14"/>
      <c r="Q100" s="13"/>
    </row>
    <row r="101" spans="1:17">
      <c r="A101" s="13">
        <v>100</v>
      </c>
      <c r="B101" s="13" t="s">
        <v>15</v>
      </c>
      <c r="C101" s="13" t="s">
        <v>125</v>
      </c>
      <c r="D101" s="13" t="s">
        <v>219</v>
      </c>
      <c r="E101" s="13" t="s">
        <v>59</v>
      </c>
      <c r="F101" s="13" t="s">
        <v>217</v>
      </c>
      <c r="G101" s="13" t="s">
        <v>128</v>
      </c>
      <c r="H101" s="14">
        <v>45837</v>
      </c>
      <c r="I101" s="14">
        <v>45837</v>
      </c>
      <c r="J101" s="14">
        <v>45896</v>
      </c>
      <c r="K101" s="14">
        <v>45849</v>
      </c>
      <c r="L101" s="14"/>
      <c r="M101" s="14">
        <v>45856</v>
      </c>
      <c r="N101" s="14">
        <v>45946</v>
      </c>
      <c r="O101" s="14">
        <v>45863</v>
      </c>
      <c r="P101" s="14"/>
      <c r="Q101" s="13"/>
    </row>
    <row r="102" spans="1:17">
      <c r="A102" s="13">
        <v>101</v>
      </c>
      <c r="B102" s="13" t="s">
        <v>15</v>
      </c>
      <c r="C102" s="13" t="s">
        <v>125</v>
      </c>
      <c r="D102" s="13" t="s">
        <v>220</v>
      </c>
      <c r="E102" s="13" t="s">
        <v>59</v>
      </c>
      <c r="F102" s="13" t="s">
        <v>221</v>
      </c>
      <c r="G102" s="13" t="s">
        <v>128</v>
      </c>
      <c r="H102" s="14">
        <v>45837</v>
      </c>
      <c r="I102" s="14">
        <v>45837</v>
      </c>
      <c r="J102" s="14">
        <v>45896</v>
      </c>
      <c r="K102" s="14">
        <v>45849</v>
      </c>
      <c r="L102" s="14"/>
      <c r="M102" s="14">
        <v>45856</v>
      </c>
      <c r="N102" s="14">
        <v>45946</v>
      </c>
      <c r="O102" s="14">
        <v>45863</v>
      </c>
      <c r="P102" s="14"/>
      <c r="Q102" s="13"/>
    </row>
    <row r="103" spans="1:17">
      <c r="A103" s="13">
        <v>102</v>
      </c>
      <c r="B103" s="13" t="s">
        <v>15</v>
      </c>
      <c r="C103" s="13" t="s">
        <v>125</v>
      </c>
      <c r="D103" s="13" t="s">
        <v>222</v>
      </c>
      <c r="E103" s="13" t="s">
        <v>59</v>
      </c>
      <c r="F103" s="13" t="s">
        <v>223</v>
      </c>
      <c r="G103" s="13" t="s">
        <v>128</v>
      </c>
      <c r="H103" s="14">
        <v>45837</v>
      </c>
      <c r="I103" s="14">
        <v>45837</v>
      </c>
      <c r="J103" s="14">
        <v>45896</v>
      </c>
      <c r="K103" s="14">
        <v>45849</v>
      </c>
      <c r="L103" s="14"/>
      <c r="M103" s="14">
        <v>45856</v>
      </c>
      <c r="N103" s="14">
        <v>45946</v>
      </c>
      <c r="O103" s="14">
        <v>45863</v>
      </c>
      <c r="P103" s="14"/>
      <c r="Q103" s="13"/>
    </row>
    <row r="104" spans="1:17">
      <c r="A104" s="13">
        <v>103</v>
      </c>
      <c r="B104" s="13" t="s">
        <v>15</v>
      </c>
      <c r="C104" s="13" t="s">
        <v>125</v>
      </c>
      <c r="D104" s="13" t="s">
        <v>224</v>
      </c>
      <c r="E104" s="13" t="s">
        <v>64</v>
      </c>
      <c r="F104" s="13" t="s">
        <v>225</v>
      </c>
      <c r="G104" s="13" t="s">
        <v>128</v>
      </c>
      <c r="H104" s="14">
        <v>45837</v>
      </c>
      <c r="I104" s="14">
        <v>45837</v>
      </c>
      <c r="J104" s="14">
        <v>45899</v>
      </c>
      <c r="K104" s="14">
        <v>45849</v>
      </c>
      <c r="L104" s="14"/>
      <c r="M104" s="14">
        <v>45856</v>
      </c>
      <c r="N104" s="14">
        <v>45959</v>
      </c>
      <c r="O104" s="14">
        <v>45863</v>
      </c>
      <c r="P104" s="14"/>
      <c r="Q104" s="13"/>
    </row>
    <row r="105" spans="1:17">
      <c r="A105" s="13">
        <v>104</v>
      </c>
      <c r="B105" s="13" t="s">
        <v>15</v>
      </c>
      <c r="C105" s="13" t="s">
        <v>125</v>
      </c>
      <c r="D105" s="13" t="s">
        <v>226</v>
      </c>
      <c r="E105" s="13" t="s">
        <v>64</v>
      </c>
      <c r="F105" s="13" t="s">
        <v>225</v>
      </c>
      <c r="G105" s="13" t="s">
        <v>128</v>
      </c>
      <c r="H105" s="14">
        <v>45837</v>
      </c>
      <c r="I105" s="14">
        <v>45837</v>
      </c>
      <c r="J105" s="14">
        <v>45899</v>
      </c>
      <c r="K105" s="14">
        <v>45849</v>
      </c>
      <c r="L105" s="14"/>
      <c r="M105" s="14">
        <v>45856</v>
      </c>
      <c r="N105" s="14">
        <v>45959</v>
      </c>
      <c r="O105" s="14">
        <v>45863</v>
      </c>
      <c r="P105" s="14"/>
      <c r="Q105" s="13"/>
    </row>
    <row r="106" spans="1:17">
      <c r="A106" s="13">
        <v>105</v>
      </c>
      <c r="B106" s="13" t="s">
        <v>15</v>
      </c>
      <c r="C106" s="13" t="s">
        <v>125</v>
      </c>
      <c r="D106" s="13" t="s">
        <v>227</v>
      </c>
      <c r="E106" s="13" t="s">
        <v>64</v>
      </c>
      <c r="F106" s="13" t="s">
        <v>225</v>
      </c>
      <c r="G106" s="13" t="s">
        <v>128</v>
      </c>
      <c r="H106" s="14">
        <v>45837</v>
      </c>
      <c r="I106" s="14">
        <v>45837</v>
      </c>
      <c r="J106" s="14">
        <v>45899</v>
      </c>
      <c r="K106" s="14">
        <v>45849</v>
      </c>
      <c r="L106" s="14"/>
      <c r="M106" s="14">
        <v>45856</v>
      </c>
      <c r="N106" s="14">
        <v>45959</v>
      </c>
      <c r="O106" s="14">
        <v>45863</v>
      </c>
      <c r="P106" s="14"/>
      <c r="Q106" s="13"/>
    </row>
    <row r="107" spans="1:17">
      <c r="A107" s="13">
        <v>106</v>
      </c>
      <c r="B107" s="13" t="s">
        <v>15</v>
      </c>
      <c r="C107" s="13" t="s">
        <v>125</v>
      </c>
      <c r="D107" s="13" t="s">
        <v>228</v>
      </c>
      <c r="E107" s="13" t="s">
        <v>64</v>
      </c>
      <c r="F107" s="13" t="s">
        <v>229</v>
      </c>
      <c r="G107" s="13" t="s">
        <v>128</v>
      </c>
      <c r="H107" s="14">
        <v>45837</v>
      </c>
      <c r="I107" s="14">
        <v>45837</v>
      </c>
      <c r="J107" s="14">
        <v>45899</v>
      </c>
      <c r="K107" s="14">
        <v>45849</v>
      </c>
      <c r="L107" s="14"/>
      <c r="M107" s="14">
        <v>45856</v>
      </c>
      <c r="N107" s="14">
        <v>45959</v>
      </c>
      <c r="O107" s="14">
        <v>45863</v>
      </c>
      <c r="P107" s="14"/>
      <c r="Q107" s="13"/>
    </row>
    <row r="108" spans="1:17">
      <c r="A108" s="13">
        <v>107</v>
      </c>
      <c r="B108" s="13" t="s">
        <v>15</v>
      </c>
      <c r="C108" s="13" t="s">
        <v>125</v>
      </c>
      <c r="D108" s="13" t="s">
        <v>230</v>
      </c>
      <c r="E108" s="13" t="s">
        <v>64</v>
      </c>
      <c r="F108" s="13" t="s">
        <v>231</v>
      </c>
      <c r="G108" s="13" t="s">
        <v>128</v>
      </c>
      <c r="H108" s="14">
        <v>45837</v>
      </c>
      <c r="I108" s="14">
        <v>45837</v>
      </c>
      <c r="J108" s="14">
        <v>45899</v>
      </c>
      <c r="K108" s="14">
        <v>45849</v>
      </c>
      <c r="L108" s="14"/>
      <c r="M108" s="14">
        <v>45856</v>
      </c>
      <c r="N108" s="14">
        <v>45959</v>
      </c>
      <c r="O108" s="14">
        <v>45863</v>
      </c>
      <c r="P108" s="14"/>
      <c r="Q108" s="13"/>
    </row>
    <row r="109" spans="1:17">
      <c r="A109" s="13">
        <v>108</v>
      </c>
      <c r="B109" s="13" t="s">
        <v>15</v>
      </c>
      <c r="C109" s="13" t="s">
        <v>125</v>
      </c>
      <c r="D109" s="13" t="s">
        <v>232</v>
      </c>
      <c r="E109" s="13" t="s">
        <v>69</v>
      </c>
      <c r="F109" s="13" t="s">
        <v>233</v>
      </c>
      <c r="G109" s="13" t="s">
        <v>128</v>
      </c>
      <c r="H109" s="14">
        <v>45851</v>
      </c>
      <c r="I109" s="14">
        <v>45851</v>
      </c>
      <c r="J109" s="14">
        <v>45826</v>
      </c>
      <c r="K109" s="14">
        <v>45863</v>
      </c>
      <c r="L109" s="14"/>
      <c r="M109" s="14">
        <v>45870</v>
      </c>
      <c r="N109" s="14">
        <v>45850</v>
      </c>
      <c r="O109" s="14">
        <v>45877</v>
      </c>
      <c r="P109" s="14"/>
      <c r="Q109" s="13"/>
    </row>
    <row r="110" spans="1:17">
      <c r="A110" s="13">
        <v>109</v>
      </c>
      <c r="B110" s="13" t="s">
        <v>15</v>
      </c>
      <c r="C110" s="13" t="s">
        <v>125</v>
      </c>
      <c r="D110" s="13" t="s">
        <v>234</v>
      </c>
      <c r="E110" s="13" t="s">
        <v>69</v>
      </c>
      <c r="F110" s="13" t="s">
        <v>233</v>
      </c>
      <c r="G110" s="13" t="s">
        <v>128</v>
      </c>
      <c r="H110" s="14">
        <v>45851</v>
      </c>
      <c r="I110" s="14">
        <v>45851</v>
      </c>
      <c r="J110" s="14">
        <v>45826</v>
      </c>
      <c r="K110" s="14">
        <v>45863</v>
      </c>
      <c r="L110" s="14"/>
      <c r="M110" s="14">
        <v>45870</v>
      </c>
      <c r="N110" s="14">
        <v>45850</v>
      </c>
      <c r="O110" s="14">
        <v>45877</v>
      </c>
      <c r="P110" s="14"/>
      <c r="Q110" s="13"/>
    </row>
    <row r="111" spans="1:17">
      <c r="A111" s="13">
        <v>110</v>
      </c>
      <c r="B111" s="13" t="s">
        <v>15</v>
      </c>
      <c r="C111" s="13" t="s">
        <v>125</v>
      </c>
      <c r="D111" s="13" t="s">
        <v>235</v>
      </c>
      <c r="E111" s="13" t="s">
        <v>69</v>
      </c>
      <c r="F111" s="13" t="s">
        <v>233</v>
      </c>
      <c r="G111" s="13" t="s">
        <v>128</v>
      </c>
      <c r="H111" s="14">
        <v>45851</v>
      </c>
      <c r="I111" s="14">
        <v>45851</v>
      </c>
      <c r="J111" s="14">
        <v>45826</v>
      </c>
      <c r="K111" s="14">
        <v>45863</v>
      </c>
      <c r="L111" s="14"/>
      <c r="M111" s="14">
        <v>45870</v>
      </c>
      <c r="N111" s="14">
        <v>45850</v>
      </c>
      <c r="O111" s="14">
        <v>45877</v>
      </c>
      <c r="P111" s="14"/>
      <c r="Q111" s="13"/>
    </row>
    <row r="112" spans="1:17">
      <c r="A112" s="13">
        <v>111</v>
      </c>
      <c r="B112" s="13" t="s">
        <v>15</v>
      </c>
      <c r="C112" s="13" t="s">
        <v>125</v>
      </c>
      <c r="D112" s="13" t="s">
        <v>236</v>
      </c>
      <c r="E112" s="13" t="s">
        <v>69</v>
      </c>
      <c r="F112" s="13" t="s">
        <v>237</v>
      </c>
      <c r="G112" s="13" t="s">
        <v>128</v>
      </c>
      <c r="H112" s="14">
        <v>45851</v>
      </c>
      <c r="I112" s="14">
        <v>45851</v>
      </c>
      <c r="J112" s="14">
        <v>45826</v>
      </c>
      <c r="K112" s="14">
        <v>45863</v>
      </c>
      <c r="L112" s="14"/>
      <c r="M112" s="14">
        <v>45870</v>
      </c>
      <c r="N112" s="14">
        <v>45850</v>
      </c>
      <c r="O112" s="14">
        <v>45877</v>
      </c>
      <c r="P112" s="14"/>
      <c r="Q112" s="13"/>
    </row>
    <row r="113" spans="1:17">
      <c r="A113" s="13">
        <v>112</v>
      </c>
      <c r="B113" s="13" t="s">
        <v>15</v>
      </c>
      <c r="C113" s="13" t="s">
        <v>125</v>
      </c>
      <c r="D113" s="13" t="s">
        <v>238</v>
      </c>
      <c r="E113" s="13" t="s">
        <v>69</v>
      </c>
      <c r="F113" s="13" t="s">
        <v>239</v>
      </c>
      <c r="G113" s="13" t="s">
        <v>128</v>
      </c>
      <c r="H113" s="14">
        <v>45851</v>
      </c>
      <c r="I113" s="14">
        <v>45851</v>
      </c>
      <c r="J113" s="14">
        <v>45826</v>
      </c>
      <c r="K113" s="14">
        <v>45863</v>
      </c>
      <c r="L113" s="14"/>
      <c r="M113" s="14">
        <v>45870</v>
      </c>
      <c r="N113" s="14">
        <v>45850</v>
      </c>
      <c r="O113" s="14">
        <v>45877</v>
      </c>
      <c r="P113" s="14"/>
      <c r="Q113" s="13"/>
    </row>
    <row r="114" spans="1:17">
      <c r="A114" s="13">
        <v>113</v>
      </c>
      <c r="B114" s="13" t="s">
        <v>15</v>
      </c>
      <c r="C114" s="13" t="s">
        <v>125</v>
      </c>
      <c r="D114" s="13" t="s">
        <v>240</v>
      </c>
      <c r="E114" s="13" t="s">
        <v>74</v>
      </c>
      <c r="F114" s="13" t="s">
        <v>241</v>
      </c>
      <c r="G114" s="13" t="s">
        <v>128</v>
      </c>
      <c r="H114" s="14">
        <v>45851</v>
      </c>
      <c r="I114" s="14">
        <v>45851</v>
      </c>
      <c r="J114" s="14">
        <v>45910</v>
      </c>
      <c r="K114" s="14">
        <v>45863</v>
      </c>
      <c r="L114" s="14"/>
      <c r="M114" s="14">
        <v>45870</v>
      </c>
      <c r="N114" s="14">
        <v>45946</v>
      </c>
      <c r="O114" s="14">
        <v>45877</v>
      </c>
      <c r="P114" s="14"/>
      <c r="Q114" s="13"/>
    </row>
    <row r="115" spans="1:17">
      <c r="A115" s="13">
        <v>114</v>
      </c>
      <c r="B115" s="13" t="s">
        <v>15</v>
      </c>
      <c r="C115" s="13" t="s">
        <v>125</v>
      </c>
      <c r="D115" s="13" t="s">
        <v>242</v>
      </c>
      <c r="E115" s="13" t="s">
        <v>74</v>
      </c>
      <c r="F115" s="13" t="s">
        <v>241</v>
      </c>
      <c r="G115" s="13" t="s">
        <v>128</v>
      </c>
      <c r="H115" s="14">
        <v>45851</v>
      </c>
      <c r="I115" s="14">
        <v>45851</v>
      </c>
      <c r="J115" s="14">
        <v>45910</v>
      </c>
      <c r="K115" s="14">
        <v>45863</v>
      </c>
      <c r="L115" s="14"/>
      <c r="M115" s="14">
        <v>45870</v>
      </c>
      <c r="N115" s="14">
        <v>45946</v>
      </c>
      <c r="O115" s="14">
        <v>45877</v>
      </c>
      <c r="P115" s="14"/>
      <c r="Q115" s="13"/>
    </row>
    <row r="116" spans="1:17">
      <c r="A116" s="13">
        <v>115</v>
      </c>
      <c r="B116" s="13" t="s">
        <v>15</v>
      </c>
      <c r="C116" s="13" t="s">
        <v>125</v>
      </c>
      <c r="D116" s="13" t="s">
        <v>243</v>
      </c>
      <c r="E116" s="13" t="s">
        <v>74</v>
      </c>
      <c r="F116" s="13" t="s">
        <v>241</v>
      </c>
      <c r="G116" s="13" t="s">
        <v>128</v>
      </c>
      <c r="H116" s="14">
        <v>45851</v>
      </c>
      <c r="I116" s="14">
        <v>45851</v>
      </c>
      <c r="J116" s="14">
        <v>45910</v>
      </c>
      <c r="K116" s="14">
        <v>45863</v>
      </c>
      <c r="L116" s="14"/>
      <c r="M116" s="14">
        <v>45870</v>
      </c>
      <c r="N116" s="14">
        <v>45946</v>
      </c>
      <c r="O116" s="14">
        <v>45877</v>
      </c>
      <c r="P116" s="14"/>
      <c r="Q116" s="13"/>
    </row>
    <row r="117" spans="1:17">
      <c r="A117" s="13">
        <v>116</v>
      </c>
      <c r="B117" s="13" t="s">
        <v>15</v>
      </c>
      <c r="C117" s="13" t="s">
        <v>125</v>
      </c>
      <c r="D117" s="13" t="s">
        <v>244</v>
      </c>
      <c r="E117" s="13" t="s">
        <v>74</v>
      </c>
      <c r="F117" s="13" t="s">
        <v>245</v>
      </c>
      <c r="G117" s="13" t="s">
        <v>128</v>
      </c>
      <c r="H117" s="14">
        <v>45851</v>
      </c>
      <c r="I117" s="14">
        <v>45851</v>
      </c>
      <c r="J117" s="14">
        <v>45910</v>
      </c>
      <c r="K117" s="14">
        <v>45863</v>
      </c>
      <c r="L117" s="14"/>
      <c r="M117" s="14">
        <v>45870</v>
      </c>
      <c r="N117" s="14">
        <v>45946</v>
      </c>
      <c r="O117" s="14">
        <v>45877</v>
      </c>
      <c r="P117" s="14"/>
      <c r="Q117" s="13"/>
    </row>
    <row r="118" spans="1:17">
      <c r="A118" s="13">
        <v>117</v>
      </c>
      <c r="B118" s="13" t="s">
        <v>15</v>
      </c>
      <c r="C118" s="13" t="s">
        <v>125</v>
      </c>
      <c r="D118" s="13" t="s">
        <v>246</v>
      </c>
      <c r="E118" s="13" t="s">
        <v>74</v>
      </c>
      <c r="F118" s="13" t="s">
        <v>247</v>
      </c>
      <c r="G118" s="13" t="s">
        <v>128</v>
      </c>
      <c r="H118" s="14">
        <v>45851</v>
      </c>
      <c r="I118" s="14">
        <v>45851</v>
      </c>
      <c r="J118" s="14">
        <v>45910</v>
      </c>
      <c r="K118" s="14">
        <v>45863</v>
      </c>
      <c r="L118" s="14"/>
      <c r="M118" s="14">
        <v>45870</v>
      </c>
      <c r="N118" s="14">
        <v>45946</v>
      </c>
      <c r="O118" s="14">
        <v>45877</v>
      </c>
      <c r="P118" s="14"/>
      <c r="Q118" s="13"/>
    </row>
    <row r="119" spans="1:17">
      <c r="A119" s="13">
        <v>118</v>
      </c>
      <c r="B119" s="13" t="s">
        <v>15</v>
      </c>
      <c r="C119" s="13" t="s">
        <v>125</v>
      </c>
      <c r="D119" s="13" t="s">
        <v>248</v>
      </c>
      <c r="E119" s="13" t="s">
        <v>79</v>
      </c>
      <c r="F119" s="13" t="s">
        <v>249</v>
      </c>
      <c r="G119" s="13" t="s">
        <v>128</v>
      </c>
      <c r="H119" s="14">
        <v>45976</v>
      </c>
      <c r="I119" s="14">
        <v>45866</v>
      </c>
      <c r="J119" s="14">
        <v>45974</v>
      </c>
      <c r="K119" s="14">
        <v>45878</v>
      </c>
      <c r="L119" s="14"/>
      <c r="M119" s="14">
        <v>45885</v>
      </c>
      <c r="N119" s="14">
        <v>46071</v>
      </c>
      <c r="O119" s="14">
        <v>45892</v>
      </c>
      <c r="P119" s="14"/>
      <c r="Q119" s="13"/>
    </row>
    <row r="120" spans="1:17">
      <c r="A120" s="13">
        <v>119</v>
      </c>
      <c r="B120" s="13" t="s">
        <v>15</v>
      </c>
      <c r="C120" s="13" t="s">
        <v>125</v>
      </c>
      <c r="D120" s="13" t="s">
        <v>250</v>
      </c>
      <c r="E120" s="13" t="s">
        <v>79</v>
      </c>
      <c r="F120" s="13" t="s">
        <v>249</v>
      </c>
      <c r="G120" s="13" t="s">
        <v>128</v>
      </c>
      <c r="H120" s="14">
        <v>45976</v>
      </c>
      <c r="I120" s="14">
        <v>45866</v>
      </c>
      <c r="J120" s="14">
        <v>45974</v>
      </c>
      <c r="K120" s="14">
        <v>45878</v>
      </c>
      <c r="L120" s="14"/>
      <c r="M120" s="14">
        <v>45885</v>
      </c>
      <c r="N120" s="14">
        <v>46071</v>
      </c>
      <c r="O120" s="14">
        <v>45892</v>
      </c>
      <c r="P120" s="14"/>
      <c r="Q120" s="13"/>
    </row>
    <row r="121" spans="1:17">
      <c r="A121" s="13">
        <v>120</v>
      </c>
      <c r="B121" s="13" t="s">
        <v>15</v>
      </c>
      <c r="C121" s="13" t="s">
        <v>125</v>
      </c>
      <c r="D121" s="13" t="s">
        <v>251</v>
      </c>
      <c r="E121" s="13" t="s">
        <v>79</v>
      </c>
      <c r="F121" s="13" t="s">
        <v>252</v>
      </c>
      <c r="G121" s="13" t="s">
        <v>128</v>
      </c>
      <c r="H121" s="14">
        <v>45976</v>
      </c>
      <c r="I121" s="14">
        <v>45866</v>
      </c>
      <c r="J121" s="14">
        <v>45974</v>
      </c>
      <c r="K121" s="14">
        <v>45878</v>
      </c>
      <c r="L121" s="14"/>
      <c r="M121" s="14">
        <v>45885</v>
      </c>
      <c r="N121" s="14">
        <v>46071</v>
      </c>
      <c r="O121" s="14">
        <v>45892</v>
      </c>
      <c r="P121" s="14"/>
      <c r="Q121" s="13"/>
    </row>
    <row r="122" spans="1:17">
      <c r="A122" s="13">
        <v>121</v>
      </c>
      <c r="B122" s="13" t="s">
        <v>15</v>
      </c>
      <c r="C122" s="13" t="s">
        <v>125</v>
      </c>
      <c r="D122" s="13" t="s">
        <v>253</v>
      </c>
      <c r="E122" s="13" t="s">
        <v>79</v>
      </c>
      <c r="F122" s="13" t="s">
        <v>254</v>
      </c>
      <c r="G122" s="13" t="s">
        <v>128</v>
      </c>
      <c r="H122" s="14">
        <v>45976</v>
      </c>
      <c r="I122" s="14">
        <v>45866</v>
      </c>
      <c r="J122" s="14">
        <v>45974</v>
      </c>
      <c r="K122" s="14">
        <v>45878</v>
      </c>
      <c r="L122" s="14"/>
      <c r="M122" s="14">
        <v>45885</v>
      </c>
      <c r="N122" s="14">
        <v>46071</v>
      </c>
      <c r="O122" s="14">
        <v>45892</v>
      </c>
      <c r="P122" s="14"/>
      <c r="Q122" s="13"/>
    </row>
    <row r="123" spans="1:17">
      <c r="A123" s="13">
        <v>122</v>
      </c>
      <c r="B123" s="13" t="s">
        <v>15</v>
      </c>
      <c r="C123" s="13" t="s">
        <v>125</v>
      </c>
      <c r="D123" s="13" t="s">
        <v>255</v>
      </c>
      <c r="E123" s="13" t="s">
        <v>97</v>
      </c>
      <c r="F123" s="13" t="s">
        <v>256</v>
      </c>
      <c r="G123" s="13" t="s">
        <v>128</v>
      </c>
      <c r="H123" s="14">
        <v>45763</v>
      </c>
      <c r="I123" s="14">
        <v>45763</v>
      </c>
      <c r="J123" s="14">
        <v>45763</v>
      </c>
      <c r="K123" s="14">
        <v>45775</v>
      </c>
      <c r="L123" s="14">
        <v>45763</v>
      </c>
      <c r="M123" s="14">
        <v>45782</v>
      </c>
      <c r="N123" s="14">
        <v>45808</v>
      </c>
      <c r="O123" s="14">
        <v>45789</v>
      </c>
      <c r="P123" s="14"/>
      <c r="Q123" s="13"/>
    </row>
    <row r="124" spans="1:17">
      <c r="A124" s="13">
        <v>123</v>
      </c>
      <c r="B124" s="13" t="s">
        <v>15</v>
      </c>
      <c r="C124" s="13" t="s">
        <v>125</v>
      </c>
      <c r="D124" s="13" t="s">
        <v>257</v>
      </c>
      <c r="E124" s="13" t="s">
        <v>79</v>
      </c>
      <c r="F124" s="13" t="s">
        <v>258</v>
      </c>
      <c r="G124" s="13" t="s">
        <v>128</v>
      </c>
      <c r="H124" s="14">
        <v>45863</v>
      </c>
      <c r="I124" s="14">
        <v>45863</v>
      </c>
      <c r="J124" s="14">
        <v>45940</v>
      </c>
      <c r="K124" s="14">
        <v>45875</v>
      </c>
      <c r="L124" s="14"/>
      <c r="M124" s="14">
        <v>45882</v>
      </c>
      <c r="N124" s="14">
        <v>46071</v>
      </c>
      <c r="O124" s="14">
        <v>45889</v>
      </c>
      <c r="P124" s="14"/>
      <c r="Q124" s="13"/>
    </row>
    <row r="125" spans="1:17">
      <c r="A125" s="13">
        <v>124</v>
      </c>
      <c r="B125" s="13" t="s">
        <v>15</v>
      </c>
      <c r="C125" s="13" t="s">
        <v>125</v>
      </c>
      <c r="D125" s="13" t="s">
        <v>259</v>
      </c>
      <c r="E125" s="13" t="s">
        <v>79</v>
      </c>
      <c r="F125" s="13" t="s">
        <v>260</v>
      </c>
      <c r="G125" s="13" t="s">
        <v>128</v>
      </c>
      <c r="H125" s="14">
        <v>45863</v>
      </c>
      <c r="I125" s="14">
        <v>45863</v>
      </c>
      <c r="J125" s="14">
        <v>45940</v>
      </c>
      <c r="K125" s="14">
        <v>45875</v>
      </c>
      <c r="L125" s="14"/>
      <c r="M125" s="14">
        <v>45882</v>
      </c>
      <c r="N125" s="14">
        <v>46071</v>
      </c>
      <c r="O125" s="14">
        <v>45889</v>
      </c>
      <c r="P125" s="14"/>
      <c r="Q125" s="13"/>
    </row>
    <row r="126" spans="1:17">
      <c r="A126" s="13">
        <v>125</v>
      </c>
      <c r="B126" s="13" t="s">
        <v>15</v>
      </c>
      <c r="C126" s="13" t="s">
        <v>125</v>
      </c>
      <c r="D126" s="13" t="s">
        <v>261</v>
      </c>
      <c r="E126" s="13" t="s">
        <v>86</v>
      </c>
      <c r="F126" s="13" t="s">
        <v>262</v>
      </c>
      <c r="G126" s="13" t="s">
        <v>128</v>
      </c>
      <c r="H126" s="14">
        <v>45863</v>
      </c>
      <c r="I126" s="14">
        <v>45863</v>
      </c>
      <c r="J126" s="14">
        <v>45971</v>
      </c>
      <c r="K126" s="14">
        <v>45875</v>
      </c>
      <c r="L126" s="14"/>
      <c r="M126" s="14">
        <v>45882</v>
      </c>
      <c r="N126" s="14"/>
      <c r="O126" s="14">
        <v>45889</v>
      </c>
      <c r="P126" s="14"/>
      <c r="Q126" s="13"/>
    </row>
    <row r="127" spans="1:17">
      <c r="A127" s="13">
        <v>126</v>
      </c>
      <c r="B127" s="13" t="s">
        <v>15</v>
      </c>
      <c r="C127" s="13" t="s">
        <v>263</v>
      </c>
      <c r="D127" s="13" t="s">
        <v>264</v>
      </c>
      <c r="E127" s="13" t="s">
        <v>86</v>
      </c>
      <c r="F127" s="13" t="s">
        <v>265</v>
      </c>
      <c r="G127" s="13" t="s">
        <v>128</v>
      </c>
      <c r="H127" s="14">
        <v>45731</v>
      </c>
      <c r="I127" s="14">
        <v>45731</v>
      </c>
      <c r="J127" s="14">
        <v>45861</v>
      </c>
      <c r="K127" s="14">
        <v>45748</v>
      </c>
      <c r="L127" s="14"/>
      <c r="M127" s="14">
        <v>45757</v>
      </c>
      <c r="N127" s="14">
        <v>46132</v>
      </c>
      <c r="O127" s="14">
        <v>45764</v>
      </c>
      <c r="P127" s="14"/>
      <c r="Q127" s="13"/>
    </row>
    <row r="128" spans="1:17">
      <c r="A128" s="13">
        <v>127</v>
      </c>
      <c r="B128" s="13" t="s">
        <v>15</v>
      </c>
      <c r="C128" s="13" t="s">
        <v>263</v>
      </c>
      <c r="D128" s="13" t="s">
        <v>266</v>
      </c>
      <c r="E128" s="13" t="s">
        <v>86</v>
      </c>
      <c r="F128" s="13" t="s">
        <v>267</v>
      </c>
      <c r="G128" s="13" t="s">
        <v>128</v>
      </c>
      <c r="H128" s="14">
        <v>45991</v>
      </c>
      <c r="I128" s="14">
        <v>45731</v>
      </c>
      <c r="J128" s="14">
        <v>45971</v>
      </c>
      <c r="K128" s="14">
        <v>46007</v>
      </c>
      <c r="L128" s="14"/>
      <c r="M128" s="14">
        <v>46016</v>
      </c>
      <c r="N128" s="14">
        <v>46132</v>
      </c>
      <c r="O128" s="14">
        <v>46023</v>
      </c>
      <c r="P128" s="14"/>
      <c r="Q128" s="13"/>
    </row>
    <row r="129" spans="1:17">
      <c r="A129" s="13">
        <v>128</v>
      </c>
      <c r="B129" s="13" t="s">
        <v>15</v>
      </c>
      <c r="C129" s="13" t="s">
        <v>263</v>
      </c>
      <c r="D129" s="13" t="s">
        <v>268</v>
      </c>
      <c r="E129" s="13" t="s">
        <v>97</v>
      </c>
      <c r="F129" s="13" t="s">
        <v>269</v>
      </c>
      <c r="G129" s="13" t="s">
        <v>128</v>
      </c>
      <c r="H129" s="14">
        <v>45747</v>
      </c>
      <c r="I129" s="14">
        <v>45747</v>
      </c>
      <c r="J129" s="14">
        <v>45747</v>
      </c>
      <c r="K129" s="14">
        <v>45763</v>
      </c>
      <c r="L129" s="14"/>
      <c r="M129" s="14">
        <v>45772</v>
      </c>
      <c r="N129" s="14">
        <v>45747</v>
      </c>
      <c r="O129" s="14">
        <v>45779</v>
      </c>
      <c r="P129" s="14"/>
      <c r="Q129" s="13"/>
    </row>
    <row r="130" spans="1:17">
      <c r="A130" s="13">
        <v>129</v>
      </c>
      <c r="B130" s="13" t="s">
        <v>15</v>
      </c>
      <c r="C130" s="13" t="s">
        <v>263</v>
      </c>
      <c r="D130" s="13" t="s">
        <v>270</v>
      </c>
      <c r="E130" s="13" t="s">
        <v>24</v>
      </c>
      <c r="F130" s="13" t="s">
        <v>271</v>
      </c>
      <c r="G130" s="13" t="s">
        <v>128</v>
      </c>
      <c r="H130" s="14">
        <v>45747</v>
      </c>
      <c r="I130" s="14">
        <v>45747</v>
      </c>
      <c r="J130" s="14">
        <v>45751</v>
      </c>
      <c r="K130" s="14">
        <v>45759</v>
      </c>
      <c r="L130" s="14"/>
      <c r="M130" s="14">
        <v>45769</v>
      </c>
      <c r="N130" s="14">
        <v>45812</v>
      </c>
      <c r="O130" s="14">
        <v>45776</v>
      </c>
      <c r="P130" s="14"/>
      <c r="Q130" s="13"/>
    </row>
    <row r="131" spans="1:17">
      <c r="A131" s="13">
        <v>130</v>
      </c>
      <c r="B131" s="13" t="s">
        <v>15</v>
      </c>
      <c r="C131" s="13" t="s">
        <v>263</v>
      </c>
      <c r="D131" s="13" t="s">
        <v>272</v>
      </c>
      <c r="E131" s="13" t="s">
        <v>29</v>
      </c>
      <c r="F131" s="13" t="s">
        <v>273</v>
      </c>
      <c r="G131" s="13" t="s">
        <v>128</v>
      </c>
      <c r="H131" s="14">
        <v>45976</v>
      </c>
      <c r="I131" s="14">
        <v>45747</v>
      </c>
      <c r="J131" s="14">
        <v>45974</v>
      </c>
      <c r="K131" s="14">
        <v>45759</v>
      </c>
      <c r="L131" s="14">
        <v>45796</v>
      </c>
      <c r="M131" s="14">
        <v>45990</v>
      </c>
      <c r="N131" s="14">
        <v>45995</v>
      </c>
      <c r="O131" s="14">
        <v>45997</v>
      </c>
      <c r="P131" s="14"/>
      <c r="Q131" s="13"/>
    </row>
    <row r="132" spans="1:17">
      <c r="A132" s="13">
        <v>131</v>
      </c>
      <c r="B132" s="13" t="s">
        <v>15</v>
      </c>
      <c r="C132" s="13" t="s">
        <v>263</v>
      </c>
      <c r="D132" s="13" t="s">
        <v>274</v>
      </c>
      <c r="E132" s="13" t="s">
        <v>34</v>
      </c>
      <c r="F132" s="13" t="s">
        <v>275</v>
      </c>
      <c r="G132" s="13" t="s">
        <v>128</v>
      </c>
      <c r="H132" s="14">
        <v>45960</v>
      </c>
      <c r="I132" s="14">
        <v>45747</v>
      </c>
      <c r="J132" s="14">
        <v>45966</v>
      </c>
      <c r="K132" s="14">
        <v>45759</v>
      </c>
      <c r="L132" s="14"/>
      <c r="M132" s="14">
        <v>45974</v>
      </c>
      <c r="N132" s="14">
        <v>45995</v>
      </c>
      <c r="O132" s="14">
        <v>45981</v>
      </c>
      <c r="P132" s="14"/>
      <c r="Q132" s="13"/>
    </row>
    <row r="133" spans="1:17">
      <c r="A133" s="13">
        <v>132</v>
      </c>
      <c r="B133" s="13" t="s">
        <v>15</v>
      </c>
      <c r="C133" s="13" t="s">
        <v>263</v>
      </c>
      <c r="D133" s="13" t="s">
        <v>276</v>
      </c>
      <c r="E133" s="13" t="s">
        <v>39</v>
      </c>
      <c r="F133" s="13" t="s">
        <v>277</v>
      </c>
      <c r="G133" s="13" t="s">
        <v>128</v>
      </c>
      <c r="H133" s="14">
        <v>45955</v>
      </c>
      <c r="I133" s="14">
        <v>45747</v>
      </c>
      <c r="J133" s="14">
        <v>45958</v>
      </c>
      <c r="K133" s="14">
        <v>45972</v>
      </c>
      <c r="L133" s="14">
        <v>45889</v>
      </c>
      <c r="M133" s="14">
        <v>45969</v>
      </c>
      <c r="N133" s="14">
        <v>45995</v>
      </c>
      <c r="O133" s="14">
        <v>45976</v>
      </c>
      <c r="P133" s="14"/>
      <c r="Q133" s="13"/>
    </row>
    <row r="134" spans="1:17">
      <c r="A134" s="13">
        <v>133</v>
      </c>
      <c r="B134" s="13" t="s">
        <v>15</v>
      </c>
      <c r="C134" s="13" t="s">
        <v>263</v>
      </c>
      <c r="D134" s="13" t="s">
        <v>278</v>
      </c>
      <c r="E134" s="13" t="s">
        <v>44</v>
      </c>
      <c r="F134" s="13" t="s">
        <v>279</v>
      </c>
      <c r="G134" s="13" t="s">
        <v>128</v>
      </c>
      <c r="H134" s="14">
        <v>45747</v>
      </c>
      <c r="I134" s="14">
        <v>45747</v>
      </c>
      <c r="J134" s="14">
        <v>45796</v>
      </c>
      <c r="K134" s="14">
        <v>45763</v>
      </c>
      <c r="L134" s="14"/>
      <c r="M134" s="14">
        <v>45772</v>
      </c>
      <c r="N134" s="14">
        <v>45812</v>
      </c>
      <c r="O134" s="14">
        <v>45779</v>
      </c>
      <c r="P134" s="14"/>
      <c r="Q134" s="13"/>
    </row>
    <row r="135" spans="1:17">
      <c r="A135" s="13">
        <v>134</v>
      </c>
      <c r="B135" s="13" t="s">
        <v>15</v>
      </c>
      <c r="C135" s="13" t="s">
        <v>263</v>
      </c>
      <c r="D135" s="13" t="s">
        <v>280</v>
      </c>
      <c r="E135" s="13" t="s">
        <v>49</v>
      </c>
      <c r="F135" s="13" t="s">
        <v>281</v>
      </c>
      <c r="G135" s="13" t="s">
        <v>128</v>
      </c>
      <c r="H135" s="14">
        <v>45747</v>
      </c>
      <c r="I135" s="14">
        <v>45747</v>
      </c>
      <c r="J135" s="14">
        <v>45840</v>
      </c>
      <c r="K135" s="14">
        <v>45763</v>
      </c>
      <c r="L135" s="14"/>
      <c r="M135" s="14">
        <v>45772</v>
      </c>
      <c r="N135" s="14">
        <v>45946</v>
      </c>
      <c r="O135" s="14">
        <v>45779</v>
      </c>
      <c r="P135" s="14"/>
      <c r="Q135" s="13"/>
    </row>
    <row r="136" spans="1:17">
      <c r="A136" s="13">
        <v>135</v>
      </c>
      <c r="B136" s="13" t="s">
        <v>15</v>
      </c>
      <c r="C136" s="13" t="s">
        <v>263</v>
      </c>
      <c r="D136" s="13" t="s">
        <v>282</v>
      </c>
      <c r="E136" s="13" t="s">
        <v>54</v>
      </c>
      <c r="F136" s="13" t="s">
        <v>283</v>
      </c>
      <c r="G136" s="13" t="s">
        <v>128</v>
      </c>
      <c r="H136" s="14">
        <v>45747</v>
      </c>
      <c r="I136" s="14">
        <v>45747</v>
      </c>
      <c r="J136" s="14">
        <v>45847</v>
      </c>
      <c r="K136" s="14">
        <v>45763</v>
      </c>
      <c r="L136" s="14"/>
      <c r="M136" s="14">
        <v>45772</v>
      </c>
      <c r="N136" s="14">
        <v>45946</v>
      </c>
      <c r="O136" s="14">
        <v>45779</v>
      </c>
      <c r="P136" s="14"/>
      <c r="Q136" s="13"/>
    </row>
    <row r="137" spans="1:17">
      <c r="A137" s="13">
        <v>136</v>
      </c>
      <c r="B137" s="13" t="s">
        <v>15</v>
      </c>
      <c r="C137" s="13" t="s">
        <v>263</v>
      </c>
      <c r="D137" s="13" t="s">
        <v>284</v>
      </c>
      <c r="E137" s="13" t="s">
        <v>59</v>
      </c>
      <c r="F137" s="13" t="s">
        <v>285</v>
      </c>
      <c r="G137" s="13" t="s">
        <v>128</v>
      </c>
      <c r="H137" s="14">
        <v>45747</v>
      </c>
      <c r="I137" s="14">
        <v>45747</v>
      </c>
      <c r="J137" s="14">
        <v>45896</v>
      </c>
      <c r="K137" s="14">
        <v>45763</v>
      </c>
      <c r="L137" s="14"/>
      <c r="M137" s="14">
        <v>45772</v>
      </c>
      <c r="N137" s="14">
        <v>45946</v>
      </c>
      <c r="O137" s="14">
        <v>45779</v>
      </c>
      <c r="P137" s="14"/>
      <c r="Q137" s="13"/>
    </row>
    <row r="138" spans="1:17">
      <c r="A138" s="13">
        <v>137</v>
      </c>
      <c r="B138" s="13" t="s">
        <v>15</v>
      </c>
      <c r="C138" s="13" t="s">
        <v>263</v>
      </c>
      <c r="D138" s="13" t="s">
        <v>286</v>
      </c>
      <c r="E138" s="13" t="s">
        <v>64</v>
      </c>
      <c r="F138" s="13" t="s">
        <v>287</v>
      </c>
      <c r="G138" s="13" t="s">
        <v>128</v>
      </c>
      <c r="H138" s="14">
        <v>45747</v>
      </c>
      <c r="I138" s="14">
        <v>45747</v>
      </c>
      <c r="J138" s="14">
        <v>45899</v>
      </c>
      <c r="K138" s="14">
        <v>45763</v>
      </c>
      <c r="L138" s="14"/>
      <c r="M138" s="14">
        <v>45772</v>
      </c>
      <c r="N138" s="14">
        <v>45959</v>
      </c>
      <c r="O138" s="14">
        <v>45779</v>
      </c>
      <c r="P138" s="14"/>
      <c r="Q138" s="13"/>
    </row>
    <row r="139" spans="1:17">
      <c r="A139" s="13">
        <v>138</v>
      </c>
      <c r="B139" s="13" t="s">
        <v>15</v>
      </c>
      <c r="C139" s="13" t="s">
        <v>263</v>
      </c>
      <c r="D139" s="13" t="s">
        <v>288</v>
      </c>
      <c r="E139" s="13" t="s">
        <v>69</v>
      </c>
      <c r="F139" s="13" t="s">
        <v>289</v>
      </c>
      <c r="G139" s="13" t="s">
        <v>128</v>
      </c>
      <c r="H139" s="14">
        <v>45747</v>
      </c>
      <c r="I139" s="14">
        <v>45747</v>
      </c>
      <c r="J139" s="14">
        <v>45861</v>
      </c>
      <c r="K139" s="14">
        <v>45763</v>
      </c>
      <c r="L139" s="14"/>
      <c r="M139" s="14">
        <v>45772</v>
      </c>
      <c r="N139" s="14">
        <v>45850</v>
      </c>
      <c r="O139" s="14">
        <v>45779</v>
      </c>
      <c r="P139" s="14"/>
      <c r="Q139" s="13"/>
    </row>
    <row r="140" spans="1:17">
      <c r="A140" s="13">
        <v>139</v>
      </c>
      <c r="B140" s="13" t="s">
        <v>15</v>
      </c>
      <c r="C140" s="13" t="s">
        <v>263</v>
      </c>
      <c r="D140" s="13" t="s">
        <v>290</v>
      </c>
      <c r="E140" s="13" t="s">
        <v>74</v>
      </c>
      <c r="F140" s="13" t="s">
        <v>291</v>
      </c>
      <c r="G140" s="13" t="s">
        <v>128</v>
      </c>
      <c r="H140" s="14">
        <v>45747</v>
      </c>
      <c r="I140" s="14">
        <v>45747</v>
      </c>
      <c r="J140" s="14">
        <v>45910</v>
      </c>
      <c r="K140" s="14">
        <v>45763</v>
      </c>
      <c r="L140" s="14"/>
      <c r="M140" s="14">
        <v>45772</v>
      </c>
      <c r="N140" s="14">
        <v>45946</v>
      </c>
      <c r="O140" s="14">
        <v>45779</v>
      </c>
      <c r="P140" s="14"/>
      <c r="Q140" s="13"/>
    </row>
    <row r="141" spans="1:17">
      <c r="A141" s="13">
        <v>140</v>
      </c>
      <c r="B141" s="13" t="s">
        <v>15</v>
      </c>
      <c r="C141" s="13" t="s">
        <v>263</v>
      </c>
      <c r="D141" s="13" t="s">
        <v>292</v>
      </c>
      <c r="E141" s="13" t="s">
        <v>79</v>
      </c>
      <c r="F141" s="13" t="s">
        <v>293</v>
      </c>
      <c r="G141" s="13" t="s">
        <v>128</v>
      </c>
      <c r="H141" s="14">
        <v>45976</v>
      </c>
      <c r="I141" s="14">
        <v>45747</v>
      </c>
      <c r="J141" s="14">
        <v>45974</v>
      </c>
      <c r="K141" s="14">
        <v>45993</v>
      </c>
      <c r="L141" s="14"/>
      <c r="M141" s="14">
        <v>46002</v>
      </c>
      <c r="N141" s="14">
        <v>45946</v>
      </c>
      <c r="O141" s="14">
        <v>46009</v>
      </c>
      <c r="P141" s="14"/>
      <c r="Q141" s="13"/>
    </row>
    <row r="142" spans="1:17">
      <c r="A142" s="13">
        <v>141</v>
      </c>
      <c r="B142" s="13" t="s">
        <v>15</v>
      </c>
      <c r="C142" s="13" t="s">
        <v>263</v>
      </c>
      <c r="D142" s="13" t="s">
        <v>294</v>
      </c>
      <c r="E142" s="13" t="s">
        <v>97</v>
      </c>
      <c r="F142" s="13" t="s">
        <v>295</v>
      </c>
      <c r="G142" s="13" t="s">
        <v>128</v>
      </c>
      <c r="H142" s="14">
        <v>46006</v>
      </c>
      <c r="I142" s="14">
        <v>45747</v>
      </c>
      <c r="J142" s="14">
        <v>46104</v>
      </c>
      <c r="K142" s="14">
        <v>46022</v>
      </c>
      <c r="L142" s="14"/>
      <c r="M142" s="14">
        <v>46031</v>
      </c>
      <c r="N142" s="14"/>
      <c r="O142" s="14">
        <v>46038</v>
      </c>
      <c r="P142" s="14"/>
      <c r="Q142" s="13" t="s">
        <v>296</v>
      </c>
    </row>
    <row r="143" spans="1:17">
      <c r="A143" s="13">
        <v>142</v>
      </c>
      <c r="B143" s="13" t="s">
        <v>15</v>
      </c>
      <c r="C143" s="13" t="s">
        <v>263</v>
      </c>
      <c r="D143" s="13" t="s">
        <v>297</v>
      </c>
      <c r="E143" s="13" t="s">
        <v>97</v>
      </c>
      <c r="F143" s="13" t="s">
        <v>298</v>
      </c>
      <c r="G143" s="13" t="s">
        <v>128</v>
      </c>
      <c r="H143" s="14">
        <v>45747</v>
      </c>
      <c r="I143" s="14">
        <v>45747</v>
      </c>
      <c r="J143" s="14">
        <v>45747</v>
      </c>
      <c r="K143" s="14">
        <v>45869</v>
      </c>
      <c r="L143" s="14"/>
      <c r="M143" s="14">
        <v>45880</v>
      </c>
      <c r="N143" s="14"/>
      <c r="O143" s="14">
        <v>45887</v>
      </c>
      <c r="P143" s="14"/>
      <c r="Q143" s="13"/>
    </row>
    <row r="144" spans="1:17">
      <c r="A144" s="13">
        <v>143</v>
      </c>
      <c r="B144" s="13" t="s">
        <v>15</v>
      </c>
      <c r="C144" s="13" t="s">
        <v>263</v>
      </c>
      <c r="D144" s="13" t="s">
        <v>299</v>
      </c>
      <c r="E144" s="13" t="s">
        <v>97</v>
      </c>
      <c r="F144" s="13" t="s">
        <v>300</v>
      </c>
      <c r="G144" s="13" t="s">
        <v>128</v>
      </c>
      <c r="H144" s="14">
        <v>45747</v>
      </c>
      <c r="I144" s="14">
        <v>45747</v>
      </c>
      <c r="J144" s="14">
        <v>45747</v>
      </c>
      <c r="K144" s="14">
        <v>45869</v>
      </c>
      <c r="L144" s="14"/>
      <c r="M144" s="14">
        <v>45880</v>
      </c>
      <c r="N144" s="14"/>
      <c r="O144" s="14">
        <v>45887</v>
      </c>
      <c r="P144" s="14"/>
      <c r="Q144" s="13"/>
    </row>
    <row r="145" spans="1:17">
      <c r="A145" s="13">
        <v>144</v>
      </c>
      <c r="B145" s="13" t="s">
        <v>15</v>
      </c>
      <c r="C145" s="13" t="s">
        <v>263</v>
      </c>
      <c r="D145" s="13" t="s">
        <v>301</v>
      </c>
      <c r="E145" s="13" t="s">
        <v>97</v>
      </c>
      <c r="F145" s="13" t="s">
        <v>302</v>
      </c>
      <c r="G145" s="13" t="s">
        <v>128</v>
      </c>
      <c r="H145" s="14">
        <v>45747</v>
      </c>
      <c r="I145" s="14">
        <v>45747</v>
      </c>
      <c r="J145" s="14">
        <v>45747</v>
      </c>
      <c r="K145" s="14">
        <v>45869</v>
      </c>
      <c r="L145" s="14"/>
      <c r="M145" s="14">
        <v>45880</v>
      </c>
      <c r="N145" s="14">
        <v>46132</v>
      </c>
      <c r="O145" s="14">
        <v>45887</v>
      </c>
      <c r="P145" s="14"/>
      <c r="Q145" s="13"/>
    </row>
    <row r="146" spans="1:17">
      <c r="A146" s="13">
        <v>145</v>
      </c>
      <c r="B146" s="13" t="s">
        <v>15</v>
      </c>
      <c r="C146" s="13" t="s">
        <v>263</v>
      </c>
      <c r="D146" s="13" t="s">
        <v>303</v>
      </c>
      <c r="E146" s="13" t="s">
        <v>97</v>
      </c>
      <c r="F146" s="13" t="s">
        <v>304</v>
      </c>
      <c r="G146" s="13" t="s">
        <v>128</v>
      </c>
      <c r="H146" s="14">
        <v>45747</v>
      </c>
      <c r="I146" s="14">
        <v>45747</v>
      </c>
      <c r="J146" s="14">
        <v>45747</v>
      </c>
      <c r="K146" s="14">
        <v>45869</v>
      </c>
      <c r="L146" s="14"/>
      <c r="M146" s="14">
        <v>45880</v>
      </c>
      <c r="N146" s="14"/>
      <c r="O146" s="14">
        <v>45887</v>
      </c>
      <c r="P146" s="14"/>
      <c r="Q146" s="13"/>
    </row>
    <row r="147" spans="1:17">
      <c r="A147" s="13">
        <v>146</v>
      </c>
      <c r="B147" s="13" t="s">
        <v>15</v>
      </c>
      <c r="C147" s="13" t="s">
        <v>263</v>
      </c>
      <c r="D147" s="13" t="s">
        <v>305</v>
      </c>
      <c r="E147" s="13" t="s">
        <v>97</v>
      </c>
      <c r="F147" s="13" t="s">
        <v>306</v>
      </c>
      <c r="G147" s="13" t="s">
        <v>128</v>
      </c>
      <c r="H147" s="14">
        <v>45747</v>
      </c>
      <c r="I147" s="14">
        <v>45747</v>
      </c>
      <c r="J147" s="14">
        <v>45747</v>
      </c>
      <c r="K147" s="14">
        <v>45869</v>
      </c>
      <c r="L147" s="14"/>
      <c r="M147" s="14">
        <v>45880</v>
      </c>
      <c r="N147" s="14"/>
      <c r="O147" s="14">
        <v>45887</v>
      </c>
      <c r="P147" s="14"/>
      <c r="Q147" s="13"/>
    </row>
    <row r="148" spans="1:17">
      <c r="A148" s="13">
        <v>147</v>
      </c>
      <c r="B148" s="13" t="s">
        <v>15</v>
      </c>
      <c r="C148" s="13" t="s">
        <v>263</v>
      </c>
      <c r="D148" s="13" t="s">
        <v>307</v>
      </c>
      <c r="E148" s="13" t="s">
        <v>97</v>
      </c>
      <c r="F148" s="13" t="s">
        <v>308</v>
      </c>
      <c r="G148" s="13" t="s">
        <v>128</v>
      </c>
      <c r="H148" s="14">
        <v>45747</v>
      </c>
      <c r="I148" s="14">
        <v>45747</v>
      </c>
      <c r="J148" s="14">
        <v>45747</v>
      </c>
      <c r="K148" s="14">
        <v>45759</v>
      </c>
      <c r="L148" s="14"/>
      <c r="M148" s="14">
        <v>45766</v>
      </c>
      <c r="N148" s="14">
        <v>46132</v>
      </c>
      <c r="O148" s="14">
        <v>45773</v>
      </c>
      <c r="P148" s="14"/>
      <c r="Q148" s="13"/>
    </row>
    <row r="149" spans="1:17">
      <c r="A149" s="13">
        <v>148</v>
      </c>
      <c r="B149" s="13" t="s">
        <v>15</v>
      </c>
      <c r="C149" s="13" t="s">
        <v>263</v>
      </c>
      <c r="D149" s="13" t="s">
        <v>309</v>
      </c>
      <c r="E149" s="13" t="s">
        <v>18</v>
      </c>
      <c r="F149" s="13" t="s">
        <v>310</v>
      </c>
      <c r="G149" s="13" t="s">
        <v>128</v>
      </c>
      <c r="H149" s="14">
        <v>45747</v>
      </c>
      <c r="I149" s="14">
        <v>45747</v>
      </c>
      <c r="J149" s="14">
        <v>45751</v>
      </c>
      <c r="K149" s="14">
        <v>45759</v>
      </c>
      <c r="L149" s="14">
        <v>45751</v>
      </c>
      <c r="M149" s="14">
        <v>45766</v>
      </c>
      <c r="N149" s="14">
        <v>45808</v>
      </c>
      <c r="O149" s="14">
        <v>45773</v>
      </c>
      <c r="P149" s="14"/>
      <c r="Q149" s="13"/>
    </row>
    <row r="150" spans="1:17">
      <c r="A150" s="13">
        <v>149</v>
      </c>
      <c r="B150" s="13" t="s">
        <v>15</v>
      </c>
      <c r="C150" s="13" t="s">
        <v>263</v>
      </c>
      <c r="D150" s="13" t="s">
        <v>311</v>
      </c>
      <c r="E150" s="13" t="s">
        <v>18</v>
      </c>
      <c r="F150" s="13" t="s">
        <v>312</v>
      </c>
      <c r="G150" s="13" t="s">
        <v>128</v>
      </c>
      <c r="H150" s="14">
        <v>45747</v>
      </c>
      <c r="I150" s="14">
        <v>45747</v>
      </c>
      <c r="J150" s="14">
        <v>45751</v>
      </c>
      <c r="K150" s="14">
        <v>45759</v>
      </c>
      <c r="L150" s="14">
        <v>45751</v>
      </c>
      <c r="M150" s="14">
        <v>45766</v>
      </c>
      <c r="N150" s="14">
        <v>45808</v>
      </c>
      <c r="O150" s="14">
        <v>45773</v>
      </c>
      <c r="P150" s="14"/>
      <c r="Q150" s="13"/>
    </row>
    <row r="151" spans="1:17">
      <c r="A151" s="13">
        <v>150</v>
      </c>
      <c r="B151" s="13" t="s">
        <v>15</v>
      </c>
      <c r="C151" s="13" t="s">
        <v>263</v>
      </c>
      <c r="D151" s="13" t="s">
        <v>313</v>
      </c>
      <c r="E151" s="13" t="s">
        <v>18</v>
      </c>
      <c r="F151" s="13" t="s">
        <v>314</v>
      </c>
      <c r="G151" s="13" t="s">
        <v>128</v>
      </c>
      <c r="H151" s="14">
        <v>45747</v>
      </c>
      <c r="I151" s="14">
        <v>45747</v>
      </c>
      <c r="J151" s="14">
        <v>45751</v>
      </c>
      <c r="K151" s="14">
        <v>45759</v>
      </c>
      <c r="L151" s="14">
        <v>45751</v>
      </c>
      <c r="M151" s="14">
        <v>45766</v>
      </c>
      <c r="N151" s="14">
        <v>45808</v>
      </c>
      <c r="O151" s="14">
        <v>45773</v>
      </c>
      <c r="P151" s="14"/>
      <c r="Q151" s="13"/>
    </row>
    <row r="152" spans="1:17">
      <c r="A152" s="13">
        <v>151</v>
      </c>
      <c r="B152" s="13" t="s">
        <v>15</v>
      </c>
      <c r="C152" s="13" t="s">
        <v>263</v>
      </c>
      <c r="D152" s="13" t="s">
        <v>315</v>
      </c>
      <c r="E152" s="13" t="s">
        <v>24</v>
      </c>
      <c r="F152" s="13" t="s">
        <v>316</v>
      </c>
      <c r="G152" s="13" t="s">
        <v>128</v>
      </c>
      <c r="H152" s="14">
        <v>45747</v>
      </c>
      <c r="I152" s="14">
        <v>45747</v>
      </c>
      <c r="J152" s="14">
        <v>45754</v>
      </c>
      <c r="K152" s="14">
        <v>45759</v>
      </c>
      <c r="L152" s="14">
        <v>45751</v>
      </c>
      <c r="M152" s="14">
        <v>45766</v>
      </c>
      <c r="N152" s="14">
        <v>45812</v>
      </c>
      <c r="O152" s="14">
        <v>45773</v>
      </c>
      <c r="P152" s="14"/>
      <c r="Q152" s="13"/>
    </row>
    <row r="153" spans="1:17">
      <c r="A153" s="13">
        <v>152</v>
      </c>
      <c r="B153" s="13" t="s">
        <v>15</v>
      </c>
      <c r="C153" s="13" t="s">
        <v>263</v>
      </c>
      <c r="D153" s="13" t="s">
        <v>317</v>
      </c>
      <c r="E153" s="13" t="s">
        <v>24</v>
      </c>
      <c r="F153" s="13" t="s">
        <v>318</v>
      </c>
      <c r="G153" s="13" t="s">
        <v>128</v>
      </c>
      <c r="H153" s="14">
        <v>45747</v>
      </c>
      <c r="I153" s="14">
        <v>45747</v>
      </c>
      <c r="J153" s="14">
        <v>45754</v>
      </c>
      <c r="K153" s="14">
        <v>45759</v>
      </c>
      <c r="L153" s="14"/>
      <c r="M153" s="14">
        <v>45766</v>
      </c>
      <c r="N153" s="14">
        <v>45812</v>
      </c>
      <c r="O153" s="14">
        <v>45773</v>
      </c>
      <c r="P153" s="14"/>
      <c r="Q153" s="13"/>
    </row>
    <row r="154" spans="1:17">
      <c r="A154" s="13">
        <v>153</v>
      </c>
      <c r="B154" s="13" t="s">
        <v>15</v>
      </c>
      <c r="C154" s="13" t="s">
        <v>263</v>
      </c>
      <c r="D154" s="13" t="s">
        <v>319</v>
      </c>
      <c r="E154" s="13" t="s">
        <v>24</v>
      </c>
      <c r="F154" s="13" t="s">
        <v>320</v>
      </c>
      <c r="G154" s="13" t="s">
        <v>128</v>
      </c>
      <c r="H154" s="14">
        <v>45747</v>
      </c>
      <c r="I154" s="14">
        <v>45747</v>
      </c>
      <c r="J154" s="14">
        <v>45754</v>
      </c>
      <c r="K154" s="14">
        <v>45759</v>
      </c>
      <c r="L154" s="14"/>
      <c r="M154" s="14">
        <v>45766</v>
      </c>
      <c r="N154" s="14">
        <v>45812</v>
      </c>
      <c r="O154" s="14">
        <v>45773</v>
      </c>
      <c r="P154" s="14"/>
      <c r="Q154" s="13"/>
    </row>
    <row r="155" spans="1:17">
      <c r="A155" s="13">
        <v>154</v>
      </c>
      <c r="B155" s="13" t="s">
        <v>15</v>
      </c>
      <c r="C155" s="13" t="s">
        <v>263</v>
      </c>
      <c r="D155" s="13" t="s">
        <v>321</v>
      </c>
      <c r="E155" s="13" t="s">
        <v>29</v>
      </c>
      <c r="F155" s="13" t="s">
        <v>322</v>
      </c>
      <c r="G155" s="13" t="s">
        <v>128</v>
      </c>
      <c r="H155" s="14">
        <v>45976</v>
      </c>
      <c r="I155" s="14">
        <v>45747</v>
      </c>
      <c r="J155" s="14">
        <v>45974</v>
      </c>
      <c r="K155" s="14">
        <v>45759</v>
      </c>
      <c r="L155" s="14">
        <v>45796</v>
      </c>
      <c r="M155" s="14">
        <v>45990</v>
      </c>
      <c r="N155" s="14">
        <v>45995</v>
      </c>
      <c r="O155" s="14">
        <v>45997</v>
      </c>
      <c r="P155" s="14"/>
      <c r="Q155" s="13"/>
    </row>
    <row r="156" spans="1:17">
      <c r="A156" s="13">
        <v>155</v>
      </c>
      <c r="B156" s="13" t="s">
        <v>15</v>
      </c>
      <c r="C156" s="13" t="s">
        <v>263</v>
      </c>
      <c r="D156" s="13" t="s">
        <v>323</v>
      </c>
      <c r="E156" s="13" t="s">
        <v>29</v>
      </c>
      <c r="F156" s="13" t="s">
        <v>324</v>
      </c>
      <c r="G156" s="13" t="s">
        <v>128</v>
      </c>
      <c r="H156" s="14">
        <v>45976</v>
      </c>
      <c r="I156" s="14">
        <v>45747</v>
      </c>
      <c r="J156" s="14">
        <v>45974</v>
      </c>
      <c r="K156" s="14">
        <v>45759</v>
      </c>
      <c r="L156" s="14"/>
      <c r="M156" s="14">
        <v>45990</v>
      </c>
      <c r="N156" s="14">
        <v>45995</v>
      </c>
      <c r="O156" s="14">
        <v>45997</v>
      </c>
      <c r="P156" s="14"/>
      <c r="Q156" s="13"/>
    </row>
    <row r="157" spans="1:17">
      <c r="A157" s="13">
        <v>156</v>
      </c>
      <c r="B157" s="13" t="s">
        <v>15</v>
      </c>
      <c r="C157" s="13" t="s">
        <v>263</v>
      </c>
      <c r="D157" s="13" t="s">
        <v>325</v>
      </c>
      <c r="E157" s="13" t="s">
        <v>29</v>
      </c>
      <c r="F157" s="13" t="s">
        <v>326</v>
      </c>
      <c r="G157" s="13" t="s">
        <v>128</v>
      </c>
      <c r="H157" s="14">
        <v>45976</v>
      </c>
      <c r="I157" s="14">
        <v>45757</v>
      </c>
      <c r="J157" s="14">
        <v>45974</v>
      </c>
      <c r="K157" s="14">
        <v>45759</v>
      </c>
      <c r="L157" s="14">
        <v>45796</v>
      </c>
      <c r="M157" s="14">
        <v>45990</v>
      </c>
      <c r="N157" s="14">
        <v>45995</v>
      </c>
      <c r="O157" s="14">
        <v>45997</v>
      </c>
      <c r="P157" s="14"/>
      <c r="Q157" s="13"/>
    </row>
    <row r="158" spans="1:17">
      <c r="A158" s="13">
        <v>157</v>
      </c>
      <c r="B158" s="13" t="s">
        <v>15</v>
      </c>
      <c r="C158" s="13" t="s">
        <v>263</v>
      </c>
      <c r="D158" s="13" t="s">
        <v>327</v>
      </c>
      <c r="E158" s="13" t="s">
        <v>34</v>
      </c>
      <c r="F158" s="13" t="s">
        <v>328</v>
      </c>
      <c r="G158" s="13" t="s">
        <v>128</v>
      </c>
      <c r="H158" s="14">
        <v>45960</v>
      </c>
      <c r="I158" s="14">
        <v>45760</v>
      </c>
      <c r="J158" s="14">
        <v>45966</v>
      </c>
      <c r="K158" s="14">
        <v>45772</v>
      </c>
      <c r="L158" s="14"/>
      <c r="M158" s="14">
        <v>45974</v>
      </c>
      <c r="N158" s="14">
        <v>45995</v>
      </c>
      <c r="O158" s="14">
        <v>45981</v>
      </c>
      <c r="P158" s="14"/>
      <c r="Q158" s="13"/>
    </row>
    <row r="159" spans="1:17">
      <c r="A159" s="13">
        <v>158</v>
      </c>
      <c r="B159" s="13" t="s">
        <v>15</v>
      </c>
      <c r="C159" s="13" t="s">
        <v>263</v>
      </c>
      <c r="D159" s="13" t="s">
        <v>329</v>
      </c>
      <c r="E159" s="13" t="s">
        <v>34</v>
      </c>
      <c r="F159" s="13" t="s">
        <v>330</v>
      </c>
      <c r="G159" s="13" t="s">
        <v>128</v>
      </c>
      <c r="H159" s="14">
        <v>45960</v>
      </c>
      <c r="I159" s="14">
        <v>45760</v>
      </c>
      <c r="J159" s="14">
        <v>45966</v>
      </c>
      <c r="K159" s="14">
        <v>45772</v>
      </c>
      <c r="L159" s="14"/>
      <c r="M159" s="14">
        <v>45974</v>
      </c>
      <c r="N159" s="14">
        <v>45995</v>
      </c>
      <c r="O159" s="14">
        <v>45981</v>
      </c>
      <c r="P159" s="14"/>
      <c r="Q159" s="13"/>
    </row>
    <row r="160" spans="1:17">
      <c r="A160" s="13">
        <v>159</v>
      </c>
      <c r="B160" s="13" t="s">
        <v>15</v>
      </c>
      <c r="C160" s="13" t="s">
        <v>263</v>
      </c>
      <c r="D160" s="13" t="s">
        <v>331</v>
      </c>
      <c r="E160" s="13" t="s">
        <v>34</v>
      </c>
      <c r="F160" s="13" t="s">
        <v>332</v>
      </c>
      <c r="G160" s="13" t="s">
        <v>128</v>
      </c>
      <c r="H160" s="14">
        <v>45960</v>
      </c>
      <c r="I160" s="14">
        <v>45760</v>
      </c>
      <c r="J160" s="14">
        <v>45966</v>
      </c>
      <c r="K160" s="14">
        <v>45772</v>
      </c>
      <c r="L160" s="14"/>
      <c r="M160" s="14">
        <v>45974</v>
      </c>
      <c r="N160" s="14">
        <v>45995</v>
      </c>
      <c r="O160" s="14">
        <v>45981</v>
      </c>
      <c r="P160" s="14"/>
      <c r="Q160" s="13"/>
    </row>
    <row r="161" spans="1:17">
      <c r="A161" s="13">
        <v>160</v>
      </c>
      <c r="B161" s="13" t="s">
        <v>15</v>
      </c>
      <c r="C161" s="13" t="s">
        <v>263</v>
      </c>
      <c r="D161" s="13" t="s">
        <v>333</v>
      </c>
      <c r="E161" s="13" t="s">
        <v>39</v>
      </c>
      <c r="F161" s="13" t="s">
        <v>334</v>
      </c>
      <c r="G161" s="13" t="s">
        <v>128</v>
      </c>
      <c r="H161" s="14">
        <v>45955</v>
      </c>
      <c r="I161" s="14">
        <v>45773</v>
      </c>
      <c r="J161" s="14">
        <v>45958</v>
      </c>
      <c r="K161" s="14">
        <v>45788</v>
      </c>
      <c r="L161" s="14">
        <v>45889</v>
      </c>
      <c r="M161" s="14">
        <v>45969</v>
      </c>
      <c r="N161" s="14">
        <v>45995</v>
      </c>
      <c r="O161" s="14">
        <v>45976</v>
      </c>
      <c r="P161" s="14"/>
      <c r="Q161" s="13"/>
    </row>
    <row r="162" spans="1:17">
      <c r="A162" s="13">
        <v>161</v>
      </c>
      <c r="B162" s="13" t="s">
        <v>15</v>
      </c>
      <c r="C162" s="13" t="s">
        <v>263</v>
      </c>
      <c r="D162" s="13" t="s">
        <v>335</v>
      </c>
      <c r="E162" s="13" t="s">
        <v>39</v>
      </c>
      <c r="F162" s="13" t="s">
        <v>336</v>
      </c>
      <c r="G162" s="13" t="s">
        <v>128</v>
      </c>
      <c r="H162" s="14">
        <v>45955</v>
      </c>
      <c r="I162" s="14">
        <v>45776</v>
      </c>
      <c r="J162" s="14">
        <v>45958</v>
      </c>
      <c r="K162" s="14">
        <v>45788</v>
      </c>
      <c r="L162" s="14">
        <v>45889</v>
      </c>
      <c r="M162" s="14">
        <v>45969</v>
      </c>
      <c r="N162" s="14">
        <v>45995</v>
      </c>
      <c r="O162" s="14">
        <v>45976</v>
      </c>
      <c r="P162" s="14"/>
      <c r="Q162" s="13"/>
    </row>
    <row r="163" spans="1:17">
      <c r="A163" s="13">
        <v>162</v>
      </c>
      <c r="B163" s="13" t="s">
        <v>15</v>
      </c>
      <c r="C163" s="13" t="s">
        <v>263</v>
      </c>
      <c r="D163" s="13" t="s">
        <v>337</v>
      </c>
      <c r="E163" s="13" t="s">
        <v>39</v>
      </c>
      <c r="F163" s="13" t="s">
        <v>338</v>
      </c>
      <c r="G163" s="13" t="s">
        <v>128</v>
      </c>
      <c r="H163" s="14">
        <v>45955</v>
      </c>
      <c r="I163" s="14">
        <v>45776</v>
      </c>
      <c r="J163" s="14">
        <v>45958</v>
      </c>
      <c r="K163" s="14">
        <v>45788</v>
      </c>
      <c r="L163" s="14">
        <v>45889</v>
      </c>
      <c r="M163" s="14">
        <v>45969</v>
      </c>
      <c r="N163" s="14">
        <v>45995</v>
      </c>
      <c r="O163" s="14">
        <v>45976</v>
      </c>
      <c r="P163" s="14"/>
      <c r="Q163" s="13"/>
    </row>
    <row r="164" spans="1:17">
      <c r="A164" s="13">
        <v>163</v>
      </c>
      <c r="B164" s="13" t="s">
        <v>15</v>
      </c>
      <c r="C164" s="13" t="s">
        <v>263</v>
      </c>
      <c r="D164" s="13" t="s">
        <v>339</v>
      </c>
      <c r="E164" s="13" t="s">
        <v>44</v>
      </c>
      <c r="F164" s="13" t="s">
        <v>340</v>
      </c>
      <c r="G164" s="13" t="s">
        <v>128</v>
      </c>
      <c r="H164" s="14">
        <v>45776</v>
      </c>
      <c r="I164" s="14">
        <v>45776</v>
      </c>
      <c r="J164" s="14">
        <v>45796</v>
      </c>
      <c r="K164" s="14">
        <v>45802</v>
      </c>
      <c r="L164" s="14"/>
      <c r="M164" s="14">
        <v>45809</v>
      </c>
      <c r="N164" s="14">
        <v>45812</v>
      </c>
      <c r="O164" s="14">
        <v>45816</v>
      </c>
      <c r="P164" s="14"/>
      <c r="Q164" s="13"/>
    </row>
    <row r="165" spans="1:17">
      <c r="A165" s="13">
        <v>164</v>
      </c>
      <c r="B165" s="13" t="s">
        <v>15</v>
      </c>
      <c r="C165" s="13" t="s">
        <v>263</v>
      </c>
      <c r="D165" s="13" t="s">
        <v>341</v>
      </c>
      <c r="E165" s="13" t="s">
        <v>44</v>
      </c>
      <c r="F165" s="13" t="s">
        <v>342</v>
      </c>
      <c r="G165" s="13" t="s">
        <v>128</v>
      </c>
      <c r="H165" s="14">
        <v>45790</v>
      </c>
      <c r="I165" s="14">
        <v>45790</v>
      </c>
      <c r="J165" s="14">
        <v>45796</v>
      </c>
      <c r="K165" s="14">
        <v>45802</v>
      </c>
      <c r="L165" s="14"/>
      <c r="M165" s="14">
        <v>45809</v>
      </c>
      <c r="N165" s="14">
        <v>45812</v>
      </c>
      <c r="O165" s="14">
        <v>45816</v>
      </c>
      <c r="P165" s="14"/>
      <c r="Q165" s="13"/>
    </row>
    <row r="166" spans="1:17">
      <c r="A166" s="13">
        <v>165</v>
      </c>
      <c r="B166" s="13" t="s">
        <v>15</v>
      </c>
      <c r="C166" s="13" t="s">
        <v>263</v>
      </c>
      <c r="D166" s="13" t="s">
        <v>343</v>
      </c>
      <c r="E166" s="13" t="s">
        <v>44</v>
      </c>
      <c r="F166" s="13" t="s">
        <v>344</v>
      </c>
      <c r="G166" s="13" t="s">
        <v>128</v>
      </c>
      <c r="H166" s="14">
        <v>45790</v>
      </c>
      <c r="I166" s="14">
        <v>45790</v>
      </c>
      <c r="J166" s="14">
        <v>45796</v>
      </c>
      <c r="K166" s="14">
        <v>45802</v>
      </c>
      <c r="L166" s="14"/>
      <c r="M166" s="14">
        <v>45809</v>
      </c>
      <c r="N166" s="14">
        <v>45812</v>
      </c>
      <c r="O166" s="14">
        <v>45816</v>
      </c>
      <c r="P166" s="14"/>
      <c r="Q166" s="13"/>
    </row>
    <row r="167" spans="1:17">
      <c r="A167" s="13">
        <v>166</v>
      </c>
      <c r="B167" s="13" t="s">
        <v>15</v>
      </c>
      <c r="C167" s="13" t="s">
        <v>263</v>
      </c>
      <c r="D167" s="13" t="s">
        <v>345</v>
      </c>
      <c r="E167" s="13" t="s">
        <v>49</v>
      </c>
      <c r="F167" s="13" t="s">
        <v>346</v>
      </c>
      <c r="G167" s="13" t="s">
        <v>128</v>
      </c>
      <c r="H167" s="14">
        <v>45790</v>
      </c>
      <c r="I167" s="14">
        <v>45790</v>
      </c>
      <c r="J167" s="14">
        <v>45840</v>
      </c>
      <c r="K167" s="14">
        <v>45816</v>
      </c>
      <c r="L167" s="14">
        <v>45877</v>
      </c>
      <c r="M167" s="14">
        <v>45823</v>
      </c>
      <c r="N167" s="14">
        <v>45946</v>
      </c>
      <c r="O167" s="14">
        <v>45830</v>
      </c>
      <c r="P167" s="14"/>
      <c r="Q167" s="13"/>
    </row>
    <row r="168" spans="1:17">
      <c r="A168" s="13">
        <v>167</v>
      </c>
      <c r="B168" s="13" t="s">
        <v>15</v>
      </c>
      <c r="C168" s="13" t="s">
        <v>263</v>
      </c>
      <c r="D168" s="13" t="s">
        <v>347</v>
      </c>
      <c r="E168" s="13" t="s">
        <v>49</v>
      </c>
      <c r="F168" s="13" t="s">
        <v>348</v>
      </c>
      <c r="G168" s="13" t="s">
        <v>128</v>
      </c>
      <c r="H168" s="14">
        <v>45790</v>
      </c>
      <c r="I168" s="14">
        <v>45790</v>
      </c>
      <c r="J168" s="14">
        <v>45840</v>
      </c>
      <c r="K168" s="14">
        <v>45816</v>
      </c>
      <c r="L168" s="14">
        <v>45877</v>
      </c>
      <c r="M168" s="14">
        <v>45823</v>
      </c>
      <c r="N168" s="14">
        <v>45946</v>
      </c>
      <c r="O168" s="14">
        <v>45830</v>
      </c>
      <c r="P168" s="14"/>
      <c r="Q168" s="13"/>
    </row>
    <row r="169" spans="1:17">
      <c r="A169" s="13">
        <v>168</v>
      </c>
      <c r="B169" s="13" t="s">
        <v>15</v>
      </c>
      <c r="C169" s="13" t="s">
        <v>263</v>
      </c>
      <c r="D169" s="13" t="s">
        <v>349</v>
      </c>
      <c r="E169" s="13" t="s">
        <v>49</v>
      </c>
      <c r="F169" s="13" t="s">
        <v>350</v>
      </c>
      <c r="G169" s="13" t="s">
        <v>128</v>
      </c>
      <c r="H169" s="14">
        <v>45790</v>
      </c>
      <c r="I169" s="14">
        <v>45790</v>
      </c>
      <c r="J169" s="14">
        <v>45840</v>
      </c>
      <c r="K169" s="14">
        <v>45816</v>
      </c>
      <c r="L169" s="14">
        <v>45877</v>
      </c>
      <c r="M169" s="14">
        <v>45823</v>
      </c>
      <c r="N169" s="14">
        <v>45946</v>
      </c>
      <c r="O169" s="14">
        <v>45830</v>
      </c>
      <c r="P169" s="14"/>
      <c r="Q169" s="13"/>
    </row>
    <row r="170" spans="1:17">
      <c r="A170" s="13">
        <v>169</v>
      </c>
      <c r="B170" s="13" t="s">
        <v>15</v>
      </c>
      <c r="C170" s="13" t="s">
        <v>263</v>
      </c>
      <c r="D170" s="13" t="s">
        <v>351</v>
      </c>
      <c r="E170" s="13" t="s">
        <v>54</v>
      </c>
      <c r="F170" s="13" t="s">
        <v>352</v>
      </c>
      <c r="G170" s="13" t="s">
        <v>128</v>
      </c>
      <c r="H170" s="14">
        <v>45804</v>
      </c>
      <c r="I170" s="14">
        <v>45804</v>
      </c>
      <c r="J170" s="14">
        <v>45847</v>
      </c>
      <c r="K170" s="14">
        <v>45833</v>
      </c>
      <c r="L170" s="14">
        <v>45883</v>
      </c>
      <c r="M170" s="14">
        <v>45840</v>
      </c>
      <c r="N170" s="14">
        <v>45946</v>
      </c>
      <c r="O170" s="14">
        <v>45847</v>
      </c>
      <c r="P170" s="14"/>
      <c r="Q170" s="13"/>
    </row>
    <row r="171" spans="1:17">
      <c r="A171" s="13">
        <v>170</v>
      </c>
      <c r="B171" s="13" t="s">
        <v>15</v>
      </c>
      <c r="C171" s="13" t="s">
        <v>263</v>
      </c>
      <c r="D171" s="13" t="s">
        <v>353</v>
      </c>
      <c r="E171" s="13" t="s">
        <v>54</v>
      </c>
      <c r="F171" s="13" t="s">
        <v>354</v>
      </c>
      <c r="G171" s="13" t="s">
        <v>128</v>
      </c>
      <c r="H171" s="14">
        <v>45804</v>
      </c>
      <c r="I171" s="14">
        <v>45804</v>
      </c>
      <c r="J171" s="14">
        <v>45847</v>
      </c>
      <c r="K171" s="14">
        <v>45833</v>
      </c>
      <c r="L171" s="14">
        <v>45883</v>
      </c>
      <c r="M171" s="14">
        <v>45840</v>
      </c>
      <c r="N171" s="14">
        <v>45946</v>
      </c>
      <c r="O171" s="14">
        <v>45847</v>
      </c>
      <c r="P171" s="14"/>
      <c r="Q171" s="13"/>
    </row>
    <row r="172" spans="1:17">
      <c r="A172" s="13">
        <v>171</v>
      </c>
      <c r="B172" s="13" t="s">
        <v>15</v>
      </c>
      <c r="C172" s="13" t="s">
        <v>263</v>
      </c>
      <c r="D172" s="13" t="s">
        <v>355</v>
      </c>
      <c r="E172" s="13" t="s">
        <v>54</v>
      </c>
      <c r="F172" s="13" t="s">
        <v>356</v>
      </c>
      <c r="G172" s="13" t="s">
        <v>128</v>
      </c>
      <c r="H172" s="14">
        <v>45804</v>
      </c>
      <c r="I172" s="14">
        <v>45804</v>
      </c>
      <c r="J172" s="14">
        <v>45847</v>
      </c>
      <c r="K172" s="14">
        <v>45833</v>
      </c>
      <c r="L172" s="14">
        <v>45883</v>
      </c>
      <c r="M172" s="14">
        <v>45840</v>
      </c>
      <c r="N172" s="14">
        <v>45946</v>
      </c>
      <c r="O172" s="14">
        <v>45847</v>
      </c>
      <c r="P172" s="14"/>
      <c r="Q172" s="13"/>
    </row>
    <row r="173" spans="1:17">
      <c r="A173" s="13">
        <v>172</v>
      </c>
      <c r="B173" s="13" t="s">
        <v>15</v>
      </c>
      <c r="C173" s="13" t="s">
        <v>263</v>
      </c>
      <c r="D173" s="13" t="s">
        <v>357</v>
      </c>
      <c r="E173" s="13" t="s">
        <v>59</v>
      </c>
      <c r="F173" s="13" t="s">
        <v>358</v>
      </c>
      <c r="G173" s="13" t="s">
        <v>128</v>
      </c>
      <c r="H173" s="14">
        <v>45821</v>
      </c>
      <c r="I173" s="14">
        <v>45821</v>
      </c>
      <c r="J173" s="14">
        <v>45896</v>
      </c>
      <c r="K173" s="14">
        <v>45849</v>
      </c>
      <c r="L173" s="14"/>
      <c r="M173" s="14">
        <v>45856</v>
      </c>
      <c r="N173" s="14">
        <v>45946</v>
      </c>
      <c r="O173" s="14">
        <v>45863</v>
      </c>
      <c r="P173" s="14"/>
      <c r="Q173" s="13"/>
    </row>
    <row r="174" spans="1:17">
      <c r="A174" s="13">
        <v>173</v>
      </c>
      <c r="B174" s="13" t="s">
        <v>15</v>
      </c>
      <c r="C174" s="13" t="s">
        <v>263</v>
      </c>
      <c r="D174" s="13" t="s">
        <v>359</v>
      </c>
      <c r="E174" s="13" t="s">
        <v>59</v>
      </c>
      <c r="F174" s="13" t="s">
        <v>360</v>
      </c>
      <c r="G174" s="13" t="s">
        <v>128</v>
      </c>
      <c r="H174" s="14">
        <v>45821</v>
      </c>
      <c r="I174" s="14">
        <v>45821</v>
      </c>
      <c r="J174" s="14">
        <v>45896</v>
      </c>
      <c r="K174" s="14">
        <v>45849</v>
      </c>
      <c r="L174" s="14"/>
      <c r="M174" s="14">
        <v>45856</v>
      </c>
      <c r="N174" s="14">
        <v>45946</v>
      </c>
      <c r="O174" s="14">
        <v>45863</v>
      </c>
      <c r="P174" s="14"/>
      <c r="Q174" s="13"/>
    </row>
    <row r="175" spans="1:17">
      <c r="A175" s="13">
        <v>174</v>
      </c>
      <c r="B175" s="13" t="s">
        <v>15</v>
      </c>
      <c r="C175" s="13" t="s">
        <v>263</v>
      </c>
      <c r="D175" s="13" t="s">
        <v>361</v>
      </c>
      <c r="E175" s="13" t="s">
        <v>59</v>
      </c>
      <c r="F175" s="13" t="s">
        <v>362</v>
      </c>
      <c r="G175" s="13" t="s">
        <v>128</v>
      </c>
      <c r="H175" s="14">
        <v>45821</v>
      </c>
      <c r="I175" s="14">
        <v>45821</v>
      </c>
      <c r="J175" s="14">
        <v>45896</v>
      </c>
      <c r="K175" s="14">
        <v>45849</v>
      </c>
      <c r="L175" s="14"/>
      <c r="M175" s="14">
        <v>45856</v>
      </c>
      <c r="N175" s="14">
        <v>45946</v>
      </c>
      <c r="O175" s="14">
        <v>45863</v>
      </c>
      <c r="P175" s="14"/>
      <c r="Q175" s="13"/>
    </row>
    <row r="176" spans="1:17">
      <c r="A176" s="13">
        <v>175</v>
      </c>
      <c r="B176" s="13" t="s">
        <v>15</v>
      </c>
      <c r="C176" s="13" t="s">
        <v>263</v>
      </c>
      <c r="D176" s="13" t="s">
        <v>363</v>
      </c>
      <c r="E176" s="13" t="s">
        <v>59</v>
      </c>
      <c r="F176" s="13" t="s">
        <v>364</v>
      </c>
      <c r="G176" s="13" t="s">
        <v>128</v>
      </c>
      <c r="H176" s="14">
        <v>45821</v>
      </c>
      <c r="I176" s="14">
        <v>45821</v>
      </c>
      <c r="J176" s="14">
        <v>46086</v>
      </c>
      <c r="K176" s="14">
        <v>45849</v>
      </c>
      <c r="L176" s="14"/>
      <c r="M176" s="14">
        <v>45856</v>
      </c>
      <c r="N176" s="14"/>
      <c r="O176" s="14">
        <v>45863</v>
      </c>
      <c r="P176" s="14"/>
      <c r="Q176" s="13" t="s">
        <v>365</v>
      </c>
    </row>
    <row r="177" spans="1:17">
      <c r="A177" s="13">
        <v>176</v>
      </c>
      <c r="B177" s="13" t="s">
        <v>15</v>
      </c>
      <c r="C177" s="13" t="s">
        <v>263</v>
      </c>
      <c r="D177" s="13" t="s">
        <v>366</v>
      </c>
      <c r="E177" s="13" t="s">
        <v>64</v>
      </c>
      <c r="F177" s="13" t="s">
        <v>367</v>
      </c>
      <c r="G177" s="13" t="s">
        <v>128</v>
      </c>
      <c r="H177" s="14">
        <v>45821</v>
      </c>
      <c r="I177" s="14">
        <v>45821</v>
      </c>
      <c r="J177" s="14">
        <v>45899</v>
      </c>
      <c r="K177" s="14">
        <v>45849</v>
      </c>
      <c r="L177" s="14"/>
      <c r="M177" s="14">
        <v>45856</v>
      </c>
      <c r="N177" s="14">
        <v>45959</v>
      </c>
      <c r="O177" s="14">
        <v>45863</v>
      </c>
      <c r="P177" s="14"/>
      <c r="Q177" s="13"/>
    </row>
    <row r="178" spans="1:17">
      <c r="A178" s="13">
        <v>177</v>
      </c>
      <c r="B178" s="13" t="s">
        <v>15</v>
      </c>
      <c r="C178" s="13" t="s">
        <v>263</v>
      </c>
      <c r="D178" s="13" t="s">
        <v>368</v>
      </c>
      <c r="E178" s="13" t="s">
        <v>64</v>
      </c>
      <c r="F178" s="13" t="s">
        <v>369</v>
      </c>
      <c r="G178" s="13" t="s">
        <v>128</v>
      </c>
      <c r="H178" s="14">
        <v>45837</v>
      </c>
      <c r="I178" s="14">
        <v>45837</v>
      </c>
      <c r="J178" s="14">
        <v>45899</v>
      </c>
      <c r="K178" s="14">
        <v>45849</v>
      </c>
      <c r="L178" s="14"/>
      <c r="M178" s="14">
        <v>45856</v>
      </c>
      <c r="N178" s="14">
        <v>45959</v>
      </c>
      <c r="O178" s="14">
        <v>45863</v>
      </c>
      <c r="P178" s="14"/>
      <c r="Q178" s="13"/>
    </row>
    <row r="179" spans="1:17">
      <c r="A179" s="13">
        <v>178</v>
      </c>
      <c r="B179" s="13" t="s">
        <v>15</v>
      </c>
      <c r="C179" s="13" t="s">
        <v>263</v>
      </c>
      <c r="D179" s="13" t="s">
        <v>370</v>
      </c>
      <c r="E179" s="13" t="s">
        <v>64</v>
      </c>
      <c r="F179" s="13" t="s">
        <v>371</v>
      </c>
      <c r="G179" s="13" t="s">
        <v>128</v>
      </c>
      <c r="H179" s="14">
        <v>45837</v>
      </c>
      <c r="I179" s="14">
        <v>45837</v>
      </c>
      <c r="J179" s="14">
        <v>45899</v>
      </c>
      <c r="K179" s="14">
        <v>45849</v>
      </c>
      <c r="L179" s="14"/>
      <c r="M179" s="14">
        <v>45856</v>
      </c>
      <c r="N179" s="14">
        <v>45959</v>
      </c>
      <c r="O179" s="14">
        <v>45863</v>
      </c>
      <c r="P179" s="14"/>
      <c r="Q179" s="13"/>
    </row>
    <row r="180" spans="1:17">
      <c r="A180" s="13">
        <v>179</v>
      </c>
      <c r="B180" s="13" t="s">
        <v>15</v>
      </c>
      <c r="C180" s="13" t="s">
        <v>263</v>
      </c>
      <c r="D180" s="13" t="s">
        <v>372</v>
      </c>
      <c r="E180" s="13" t="s">
        <v>69</v>
      </c>
      <c r="F180" s="13" t="s">
        <v>373</v>
      </c>
      <c r="G180" s="13" t="s">
        <v>128</v>
      </c>
      <c r="H180" s="14">
        <v>45837</v>
      </c>
      <c r="I180" s="14">
        <v>45837</v>
      </c>
      <c r="J180" s="14">
        <v>45826</v>
      </c>
      <c r="K180" s="14">
        <v>45863</v>
      </c>
      <c r="L180" s="14"/>
      <c r="M180" s="14">
        <v>45870</v>
      </c>
      <c r="N180" s="14">
        <v>45850</v>
      </c>
      <c r="O180" s="14">
        <v>45877</v>
      </c>
      <c r="P180" s="14"/>
      <c r="Q180" s="13"/>
    </row>
    <row r="181" spans="1:17">
      <c r="A181" s="13">
        <v>180</v>
      </c>
      <c r="B181" s="13" t="s">
        <v>15</v>
      </c>
      <c r="C181" s="13" t="s">
        <v>263</v>
      </c>
      <c r="D181" s="13" t="s">
        <v>374</v>
      </c>
      <c r="E181" s="13" t="s">
        <v>69</v>
      </c>
      <c r="F181" s="13" t="s">
        <v>375</v>
      </c>
      <c r="G181" s="13" t="s">
        <v>128</v>
      </c>
      <c r="H181" s="14">
        <v>45837</v>
      </c>
      <c r="I181" s="14">
        <v>45837</v>
      </c>
      <c r="J181" s="14">
        <v>45826</v>
      </c>
      <c r="K181" s="14">
        <v>45863</v>
      </c>
      <c r="L181" s="14"/>
      <c r="M181" s="14">
        <v>45870</v>
      </c>
      <c r="N181" s="14">
        <v>45850</v>
      </c>
      <c r="O181" s="14">
        <v>45877</v>
      </c>
      <c r="P181" s="14"/>
      <c r="Q181" s="13"/>
    </row>
    <row r="182" spans="1:17">
      <c r="A182" s="13">
        <v>181</v>
      </c>
      <c r="B182" s="13" t="s">
        <v>15</v>
      </c>
      <c r="C182" s="13" t="s">
        <v>263</v>
      </c>
      <c r="D182" s="13" t="s">
        <v>376</v>
      </c>
      <c r="E182" s="13" t="s">
        <v>69</v>
      </c>
      <c r="F182" s="13" t="s">
        <v>377</v>
      </c>
      <c r="G182" s="13" t="s">
        <v>128</v>
      </c>
      <c r="H182" s="14">
        <v>45837</v>
      </c>
      <c r="I182" s="14">
        <v>45837</v>
      </c>
      <c r="J182" s="14">
        <v>45826</v>
      </c>
      <c r="K182" s="14">
        <v>45863</v>
      </c>
      <c r="L182" s="14"/>
      <c r="M182" s="14">
        <v>45870</v>
      </c>
      <c r="N182" s="14">
        <v>45850</v>
      </c>
      <c r="O182" s="14">
        <v>45877</v>
      </c>
      <c r="P182" s="14"/>
      <c r="Q182" s="13"/>
    </row>
    <row r="183" spans="1:17">
      <c r="A183" s="13">
        <v>182</v>
      </c>
      <c r="B183" s="13" t="s">
        <v>15</v>
      </c>
      <c r="C183" s="13" t="s">
        <v>263</v>
      </c>
      <c r="D183" s="13" t="s">
        <v>378</v>
      </c>
      <c r="E183" s="13" t="s">
        <v>74</v>
      </c>
      <c r="F183" s="13" t="s">
        <v>379</v>
      </c>
      <c r="G183" s="13" t="s">
        <v>128</v>
      </c>
      <c r="H183" s="14">
        <v>45837</v>
      </c>
      <c r="I183" s="14">
        <v>45837</v>
      </c>
      <c r="J183" s="14">
        <v>45910</v>
      </c>
      <c r="K183" s="14">
        <v>45863</v>
      </c>
      <c r="L183" s="14"/>
      <c r="M183" s="14">
        <v>45870</v>
      </c>
      <c r="N183" s="14">
        <v>45946</v>
      </c>
      <c r="O183" s="14">
        <v>45877</v>
      </c>
      <c r="P183" s="14"/>
      <c r="Q183" s="13"/>
    </row>
    <row r="184" spans="1:17">
      <c r="A184" s="13">
        <v>183</v>
      </c>
      <c r="B184" s="13" t="s">
        <v>15</v>
      </c>
      <c r="C184" s="13" t="s">
        <v>263</v>
      </c>
      <c r="D184" s="13" t="s">
        <v>380</v>
      </c>
      <c r="E184" s="13" t="s">
        <v>74</v>
      </c>
      <c r="F184" s="13" t="s">
        <v>381</v>
      </c>
      <c r="G184" s="13" t="s">
        <v>128</v>
      </c>
      <c r="H184" s="14">
        <v>45837</v>
      </c>
      <c r="I184" s="14">
        <v>45837</v>
      </c>
      <c r="J184" s="14">
        <v>45910</v>
      </c>
      <c r="K184" s="14">
        <v>45863</v>
      </c>
      <c r="L184" s="14"/>
      <c r="M184" s="14">
        <v>45870</v>
      </c>
      <c r="N184" s="14">
        <v>45946</v>
      </c>
      <c r="O184" s="14">
        <v>45877</v>
      </c>
      <c r="P184" s="14"/>
      <c r="Q184" s="13"/>
    </row>
    <row r="185" spans="1:17">
      <c r="A185" s="13">
        <v>184</v>
      </c>
      <c r="B185" s="13" t="s">
        <v>15</v>
      </c>
      <c r="C185" s="13" t="s">
        <v>263</v>
      </c>
      <c r="D185" s="13" t="s">
        <v>382</v>
      </c>
      <c r="E185" s="13" t="s">
        <v>74</v>
      </c>
      <c r="F185" s="13" t="s">
        <v>383</v>
      </c>
      <c r="G185" s="13" t="s">
        <v>128</v>
      </c>
      <c r="H185" s="14">
        <v>45837</v>
      </c>
      <c r="I185" s="14">
        <v>45837</v>
      </c>
      <c r="J185" s="14">
        <v>45910</v>
      </c>
      <c r="K185" s="14">
        <v>45863</v>
      </c>
      <c r="L185" s="14"/>
      <c r="M185" s="14">
        <v>45870</v>
      </c>
      <c r="N185" s="14">
        <v>45946</v>
      </c>
      <c r="O185" s="14">
        <v>45877</v>
      </c>
      <c r="P185" s="14"/>
      <c r="Q185" s="13"/>
    </row>
    <row r="186" spans="1:17">
      <c r="A186" s="13">
        <v>185</v>
      </c>
      <c r="B186" s="13" t="s">
        <v>15</v>
      </c>
      <c r="C186" s="13" t="s">
        <v>263</v>
      </c>
      <c r="D186" s="13" t="s">
        <v>384</v>
      </c>
      <c r="E186" s="13" t="s">
        <v>74</v>
      </c>
      <c r="F186" s="13" t="s">
        <v>385</v>
      </c>
      <c r="G186" s="13" t="s">
        <v>128</v>
      </c>
      <c r="H186" s="14">
        <v>45851</v>
      </c>
      <c r="I186" s="14">
        <v>45851</v>
      </c>
      <c r="J186" s="14">
        <v>46086</v>
      </c>
      <c r="K186" s="14">
        <v>45863</v>
      </c>
      <c r="L186" s="14"/>
      <c r="M186" s="14">
        <v>45870</v>
      </c>
      <c r="N186" s="14"/>
      <c r="O186" s="14">
        <v>45877</v>
      </c>
      <c r="P186" s="14"/>
      <c r="Q186" s="13" t="s">
        <v>365</v>
      </c>
    </row>
    <row r="187" spans="1:17">
      <c r="A187" s="13">
        <v>186</v>
      </c>
      <c r="B187" s="13" t="s">
        <v>15</v>
      </c>
      <c r="C187" s="13" t="s">
        <v>263</v>
      </c>
      <c r="D187" s="13" t="s">
        <v>386</v>
      </c>
      <c r="E187" s="13" t="s">
        <v>79</v>
      </c>
      <c r="F187" s="13" t="s">
        <v>387</v>
      </c>
      <c r="G187" s="13" t="s">
        <v>128</v>
      </c>
      <c r="H187" s="14">
        <v>45976</v>
      </c>
      <c r="I187" s="14">
        <v>45851</v>
      </c>
      <c r="J187" s="14">
        <v>45974</v>
      </c>
      <c r="K187" s="14">
        <v>45878</v>
      </c>
      <c r="L187" s="14"/>
      <c r="M187" s="14">
        <v>45885</v>
      </c>
      <c r="N187" s="14">
        <v>46071</v>
      </c>
      <c r="O187" s="14">
        <v>45892</v>
      </c>
      <c r="P187" s="14"/>
      <c r="Q187" s="13"/>
    </row>
    <row r="188" spans="1:17">
      <c r="A188" s="13">
        <v>187</v>
      </c>
      <c r="B188" s="13" t="s">
        <v>15</v>
      </c>
      <c r="C188" s="13" t="s">
        <v>263</v>
      </c>
      <c r="D188" s="13" t="s">
        <v>388</v>
      </c>
      <c r="E188" s="13" t="s">
        <v>79</v>
      </c>
      <c r="F188" s="13" t="s">
        <v>389</v>
      </c>
      <c r="G188" s="13" t="s">
        <v>128</v>
      </c>
      <c r="H188" s="14">
        <v>45976</v>
      </c>
      <c r="I188" s="14">
        <v>45851</v>
      </c>
      <c r="J188" s="14">
        <v>45974</v>
      </c>
      <c r="K188" s="14">
        <v>45878</v>
      </c>
      <c r="L188" s="14"/>
      <c r="M188" s="14">
        <v>45885</v>
      </c>
      <c r="N188" s="14">
        <v>46071</v>
      </c>
      <c r="O188" s="14">
        <v>45892</v>
      </c>
      <c r="P188" s="14"/>
      <c r="Q188" s="13"/>
    </row>
    <row r="189" spans="1:17">
      <c r="A189" s="13">
        <v>188</v>
      </c>
      <c r="B189" s="13" t="s">
        <v>15</v>
      </c>
      <c r="C189" s="13" t="s">
        <v>263</v>
      </c>
      <c r="D189" s="13" t="s">
        <v>390</v>
      </c>
      <c r="E189" s="13" t="s">
        <v>79</v>
      </c>
      <c r="F189" s="13" t="s">
        <v>391</v>
      </c>
      <c r="G189" s="13" t="s">
        <v>128</v>
      </c>
      <c r="H189" s="14">
        <v>45976</v>
      </c>
      <c r="I189" s="14">
        <v>45851</v>
      </c>
      <c r="J189" s="14">
        <v>45974</v>
      </c>
      <c r="K189" s="14">
        <v>45878</v>
      </c>
      <c r="L189" s="14"/>
      <c r="M189" s="14">
        <v>45885</v>
      </c>
      <c r="N189" s="14">
        <v>46071</v>
      </c>
      <c r="O189" s="14">
        <v>45892</v>
      </c>
      <c r="P189" s="14"/>
      <c r="Q189" s="13"/>
    </row>
    <row r="190" spans="1:17">
      <c r="A190" s="13">
        <v>189</v>
      </c>
      <c r="B190" s="13" t="s">
        <v>15</v>
      </c>
      <c r="C190" s="13" t="s">
        <v>263</v>
      </c>
      <c r="D190" s="13" t="s">
        <v>392</v>
      </c>
      <c r="E190" s="13" t="s">
        <v>97</v>
      </c>
      <c r="F190" s="13" t="s">
        <v>393</v>
      </c>
      <c r="G190" s="13" t="s">
        <v>128</v>
      </c>
      <c r="H190" s="14">
        <v>46006</v>
      </c>
      <c r="I190" s="14">
        <v>45851</v>
      </c>
      <c r="J190" s="14">
        <v>46104</v>
      </c>
      <c r="K190" s="14">
        <v>45875</v>
      </c>
      <c r="L190" s="14"/>
      <c r="M190" s="14">
        <v>45882</v>
      </c>
      <c r="N190" s="14"/>
      <c r="O190" s="14">
        <v>45889</v>
      </c>
      <c r="P190" s="14"/>
      <c r="Q190" s="13" t="s">
        <v>296</v>
      </c>
    </row>
    <row r="191" spans="1:17">
      <c r="A191" s="13">
        <v>190</v>
      </c>
      <c r="B191" s="13" t="s">
        <v>15</v>
      </c>
      <c r="C191" s="13" t="s">
        <v>263</v>
      </c>
      <c r="D191" s="13" t="s">
        <v>394</v>
      </c>
      <c r="E191" s="13" t="s">
        <v>97</v>
      </c>
      <c r="F191" s="13" t="s">
        <v>395</v>
      </c>
      <c r="G191" s="13" t="s">
        <v>128</v>
      </c>
      <c r="H191" s="14">
        <v>46022</v>
      </c>
      <c r="I191" s="14">
        <v>45869</v>
      </c>
      <c r="J191" s="14">
        <v>46129</v>
      </c>
      <c r="K191" s="14">
        <v>45799</v>
      </c>
      <c r="L191" s="14"/>
      <c r="M191" s="14">
        <v>45806</v>
      </c>
      <c r="N191" s="14"/>
      <c r="O191" s="14">
        <v>45813</v>
      </c>
      <c r="P191" s="14"/>
      <c r="Q191" s="13" t="s">
        <v>396</v>
      </c>
    </row>
    <row r="192" spans="1:17">
      <c r="A192" s="13">
        <v>191</v>
      </c>
      <c r="B192" s="13" t="s">
        <v>15</v>
      </c>
      <c r="C192" s="13" t="s">
        <v>397</v>
      </c>
      <c r="D192" s="13" t="s">
        <v>398</v>
      </c>
      <c r="E192" s="13" t="s">
        <v>18</v>
      </c>
      <c r="F192" s="13" t="s">
        <v>399</v>
      </c>
      <c r="G192" s="13" t="s">
        <v>20</v>
      </c>
      <c r="H192" s="14">
        <v>45747</v>
      </c>
      <c r="I192" s="14">
        <v>45747</v>
      </c>
      <c r="J192" s="14">
        <v>45751</v>
      </c>
      <c r="K192" s="14">
        <v>45759</v>
      </c>
      <c r="L192" s="14"/>
      <c r="M192" s="14">
        <v>45766</v>
      </c>
      <c r="N192" s="14">
        <v>45808</v>
      </c>
      <c r="O192" s="14">
        <v>45773</v>
      </c>
      <c r="P192" s="14"/>
      <c r="Q192" s="13"/>
    </row>
    <row r="193" spans="1:17">
      <c r="A193" s="13">
        <v>192</v>
      </c>
      <c r="B193" s="13" t="s">
        <v>15</v>
      </c>
      <c r="C193" s="13" t="s">
        <v>397</v>
      </c>
      <c r="D193" s="13" t="s">
        <v>400</v>
      </c>
      <c r="E193" s="13" t="s">
        <v>18</v>
      </c>
      <c r="F193" s="13" t="s">
        <v>401</v>
      </c>
      <c r="G193" s="13" t="s">
        <v>20</v>
      </c>
      <c r="H193" s="14">
        <v>45747</v>
      </c>
      <c r="I193" s="14">
        <v>45747</v>
      </c>
      <c r="J193" s="14">
        <v>45751</v>
      </c>
      <c r="K193" s="14">
        <v>45759</v>
      </c>
      <c r="L193" s="14">
        <v>45751</v>
      </c>
      <c r="M193" s="14">
        <v>45751</v>
      </c>
      <c r="N193" s="14">
        <v>45808</v>
      </c>
      <c r="O193" s="14">
        <v>45758</v>
      </c>
      <c r="P193" s="14"/>
      <c r="Q193" s="13"/>
    </row>
    <row r="194" spans="1:17">
      <c r="A194" s="13">
        <v>193</v>
      </c>
      <c r="B194" s="13" t="s">
        <v>15</v>
      </c>
      <c r="C194" s="13" t="s">
        <v>397</v>
      </c>
      <c r="D194" s="13" t="s">
        <v>402</v>
      </c>
      <c r="E194" s="13" t="s">
        <v>18</v>
      </c>
      <c r="F194" s="13" t="s">
        <v>403</v>
      </c>
      <c r="G194" s="13" t="s">
        <v>20</v>
      </c>
      <c r="H194" s="14">
        <v>45747</v>
      </c>
      <c r="I194" s="14">
        <v>45747</v>
      </c>
      <c r="J194" s="14">
        <v>45751</v>
      </c>
      <c r="K194" s="14">
        <v>45759</v>
      </c>
      <c r="L194" s="14"/>
      <c r="M194" s="14">
        <v>45766</v>
      </c>
      <c r="N194" s="14">
        <v>45808</v>
      </c>
      <c r="O194" s="14">
        <v>45773</v>
      </c>
      <c r="P194" s="14"/>
      <c r="Q194" s="13"/>
    </row>
    <row r="195" spans="1:17">
      <c r="A195" s="13">
        <v>194</v>
      </c>
      <c r="B195" s="13" t="s">
        <v>15</v>
      </c>
      <c r="C195" s="13" t="s">
        <v>397</v>
      </c>
      <c r="D195" s="13" t="s">
        <v>404</v>
      </c>
      <c r="E195" s="13" t="s">
        <v>24</v>
      </c>
      <c r="F195" s="13" t="s">
        <v>405</v>
      </c>
      <c r="G195" s="13" t="s">
        <v>20</v>
      </c>
      <c r="H195" s="14">
        <v>45747</v>
      </c>
      <c r="I195" s="14">
        <v>45747</v>
      </c>
      <c r="J195" s="14">
        <v>45754</v>
      </c>
      <c r="K195" s="14">
        <v>45759</v>
      </c>
      <c r="L195" s="14">
        <v>45805</v>
      </c>
      <c r="M195" s="14">
        <v>45766</v>
      </c>
      <c r="N195" s="14">
        <v>45812</v>
      </c>
      <c r="O195" s="14">
        <v>45773</v>
      </c>
      <c r="P195" s="14"/>
      <c r="Q195" s="13"/>
    </row>
    <row r="196" spans="1:17">
      <c r="A196" s="13">
        <v>195</v>
      </c>
      <c r="B196" s="13" t="s">
        <v>15</v>
      </c>
      <c r="C196" s="13" t="s">
        <v>397</v>
      </c>
      <c r="D196" s="13" t="s">
        <v>406</v>
      </c>
      <c r="E196" s="13" t="s">
        <v>24</v>
      </c>
      <c r="F196" s="13" t="s">
        <v>407</v>
      </c>
      <c r="G196" s="13" t="s">
        <v>20</v>
      </c>
      <c r="H196" s="14">
        <v>45747</v>
      </c>
      <c r="I196" s="14">
        <v>45747</v>
      </c>
      <c r="J196" s="14">
        <v>45754</v>
      </c>
      <c r="K196" s="14">
        <v>45759</v>
      </c>
      <c r="L196" s="14">
        <v>45805</v>
      </c>
      <c r="M196" s="14">
        <v>45766</v>
      </c>
      <c r="N196" s="14">
        <v>45812</v>
      </c>
      <c r="O196" s="14">
        <v>45773</v>
      </c>
      <c r="P196" s="14"/>
      <c r="Q196" s="13"/>
    </row>
    <row r="197" spans="1:17">
      <c r="A197" s="13">
        <v>196</v>
      </c>
      <c r="B197" s="13" t="s">
        <v>15</v>
      </c>
      <c r="C197" s="13" t="s">
        <v>397</v>
      </c>
      <c r="D197" s="13" t="s">
        <v>408</v>
      </c>
      <c r="E197" s="13" t="s">
        <v>24</v>
      </c>
      <c r="F197" s="13" t="s">
        <v>409</v>
      </c>
      <c r="G197" s="13" t="s">
        <v>20</v>
      </c>
      <c r="H197" s="14">
        <v>45747</v>
      </c>
      <c r="I197" s="14">
        <v>45747</v>
      </c>
      <c r="J197" s="14">
        <v>45754</v>
      </c>
      <c r="K197" s="14">
        <v>45759</v>
      </c>
      <c r="L197" s="14">
        <v>45805</v>
      </c>
      <c r="M197" s="14">
        <v>45766</v>
      </c>
      <c r="N197" s="14">
        <v>45812</v>
      </c>
      <c r="O197" s="14">
        <v>45773</v>
      </c>
      <c r="P197" s="14"/>
      <c r="Q197" s="13"/>
    </row>
    <row r="198" spans="1:17">
      <c r="A198" s="13">
        <v>197</v>
      </c>
      <c r="B198" s="13" t="s">
        <v>15</v>
      </c>
      <c r="C198" s="13" t="s">
        <v>397</v>
      </c>
      <c r="D198" s="13" t="s">
        <v>410</v>
      </c>
      <c r="E198" s="13" t="s">
        <v>29</v>
      </c>
      <c r="F198" s="13" t="s">
        <v>411</v>
      </c>
      <c r="G198" s="13" t="s">
        <v>20</v>
      </c>
      <c r="H198" s="14">
        <v>45976</v>
      </c>
      <c r="I198" s="14">
        <v>45747</v>
      </c>
      <c r="J198" s="14">
        <v>45974</v>
      </c>
      <c r="K198" s="14">
        <v>45759</v>
      </c>
      <c r="L198" s="14">
        <v>45766</v>
      </c>
      <c r="M198" s="14">
        <v>45990</v>
      </c>
      <c r="N198" s="14">
        <v>45995</v>
      </c>
      <c r="O198" s="14">
        <v>45997</v>
      </c>
      <c r="P198" s="14"/>
      <c r="Q198" s="13"/>
    </row>
    <row r="199" spans="1:17">
      <c r="A199" s="13">
        <v>198</v>
      </c>
      <c r="B199" s="13" t="s">
        <v>15</v>
      </c>
      <c r="C199" s="13" t="s">
        <v>397</v>
      </c>
      <c r="D199" s="13" t="s">
        <v>412</v>
      </c>
      <c r="E199" s="13" t="s">
        <v>29</v>
      </c>
      <c r="F199" s="13" t="s">
        <v>413</v>
      </c>
      <c r="G199" s="13" t="s">
        <v>20</v>
      </c>
      <c r="H199" s="14">
        <v>45976</v>
      </c>
      <c r="I199" s="14">
        <v>45747</v>
      </c>
      <c r="J199" s="14">
        <v>45974</v>
      </c>
      <c r="K199" s="14">
        <v>45759</v>
      </c>
      <c r="L199" s="14">
        <v>45766</v>
      </c>
      <c r="M199" s="14">
        <v>45990</v>
      </c>
      <c r="N199" s="14">
        <v>45995</v>
      </c>
      <c r="O199" s="14">
        <v>45997</v>
      </c>
      <c r="P199" s="14"/>
      <c r="Q199" s="13"/>
    </row>
    <row r="200" spans="1:17">
      <c r="A200" s="13">
        <v>199</v>
      </c>
      <c r="B200" s="13" t="s">
        <v>15</v>
      </c>
      <c r="C200" s="13" t="s">
        <v>397</v>
      </c>
      <c r="D200" s="13" t="s">
        <v>414</v>
      </c>
      <c r="E200" s="13" t="s">
        <v>29</v>
      </c>
      <c r="F200" s="13" t="s">
        <v>415</v>
      </c>
      <c r="G200" s="13" t="s">
        <v>20</v>
      </c>
      <c r="H200" s="14">
        <v>45976</v>
      </c>
      <c r="I200" s="14">
        <v>45747</v>
      </c>
      <c r="J200" s="14">
        <v>45974</v>
      </c>
      <c r="K200" s="14">
        <v>45759</v>
      </c>
      <c r="L200" s="14">
        <v>45766</v>
      </c>
      <c r="M200" s="14">
        <v>45990</v>
      </c>
      <c r="N200" s="14">
        <v>45995</v>
      </c>
      <c r="O200" s="14">
        <v>45997</v>
      </c>
      <c r="P200" s="14"/>
      <c r="Q200" s="13"/>
    </row>
    <row r="201" spans="1:17">
      <c r="A201" s="13">
        <v>200</v>
      </c>
      <c r="B201" s="13" t="s">
        <v>15</v>
      </c>
      <c r="C201" s="13" t="s">
        <v>397</v>
      </c>
      <c r="D201" s="13" t="s">
        <v>416</v>
      </c>
      <c r="E201" s="13" t="s">
        <v>34</v>
      </c>
      <c r="F201" s="13" t="s">
        <v>417</v>
      </c>
      <c r="G201" s="13" t="s">
        <v>20</v>
      </c>
      <c r="H201" s="14">
        <v>45960</v>
      </c>
      <c r="I201" s="14">
        <v>45760</v>
      </c>
      <c r="J201" s="14">
        <v>45966</v>
      </c>
      <c r="K201" s="14">
        <v>45772</v>
      </c>
      <c r="L201" s="14"/>
      <c r="M201" s="14">
        <v>45974</v>
      </c>
      <c r="N201" s="14">
        <v>45995</v>
      </c>
      <c r="O201" s="14">
        <v>45981</v>
      </c>
      <c r="P201" s="14"/>
      <c r="Q201" s="13"/>
    </row>
    <row r="202" spans="1:17">
      <c r="A202" s="13">
        <v>201</v>
      </c>
      <c r="B202" s="13" t="s">
        <v>15</v>
      </c>
      <c r="C202" s="13" t="s">
        <v>397</v>
      </c>
      <c r="D202" s="13" t="s">
        <v>418</v>
      </c>
      <c r="E202" s="13" t="s">
        <v>34</v>
      </c>
      <c r="F202" s="13" t="s">
        <v>419</v>
      </c>
      <c r="G202" s="13" t="s">
        <v>20</v>
      </c>
      <c r="H202" s="14">
        <v>45960</v>
      </c>
      <c r="I202" s="14">
        <v>45760</v>
      </c>
      <c r="J202" s="14">
        <v>45966</v>
      </c>
      <c r="K202" s="14">
        <v>45772</v>
      </c>
      <c r="L202" s="14"/>
      <c r="M202" s="14">
        <v>45974</v>
      </c>
      <c r="N202" s="14">
        <v>45995</v>
      </c>
      <c r="O202" s="14">
        <v>45981</v>
      </c>
      <c r="P202" s="14"/>
      <c r="Q202" s="13"/>
    </row>
    <row r="203" spans="1:17">
      <c r="A203" s="13">
        <v>202</v>
      </c>
      <c r="B203" s="13" t="s">
        <v>15</v>
      </c>
      <c r="C203" s="13" t="s">
        <v>397</v>
      </c>
      <c r="D203" s="13" t="s">
        <v>420</v>
      </c>
      <c r="E203" s="13" t="s">
        <v>34</v>
      </c>
      <c r="F203" s="13" t="s">
        <v>421</v>
      </c>
      <c r="G203" s="13" t="s">
        <v>20</v>
      </c>
      <c r="H203" s="14">
        <v>45960</v>
      </c>
      <c r="I203" s="14">
        <v>45760</v>
      </c>
      <c r="J203" s="14">
        <v>45966</v>
      </c>
      <c r="K203" s="14">
        <v>45772</v>
      </c>
      <c r="L203" s="14"/>
      <c r="M203" s="14">
        <v>45974</v>
      </c>
      <c r="N203" s="14">
        <v>45995</v>
      </c>
      <c r="O203" s="14">
        <v>45981</v>
      </c>
      <c r="P203" s="14"/>
      <c r="Q203" s="13"/>
    </row>
    <row r="204" spans="1:17">
      <c r="A204" s="13">
        <v>203</v>
      </c>
      <c r="B204" s="13" t="s">
        <v>15</v>
      </c>
      <c r="C204" s="13" t="s">
        <v>397</v>
      </c>
      <c r="D204" s="13" t="s">
        <v>422</v>
      </c>
      <c r="E204" s="13" t="s">
        <v>39</v>
      </c>
      <c r="F204" s="13" t="s">
        <v>423</v>
      </c>
      <c r="G204" s="13" t="s">
        <v>20</v>
      </c>
      <c r="H204" s="14">
        <v>45955</v>
      </c>
      <c r="I204" s="14">
        <v>45776</v>
      </c>
      <c r="J204" s="14">
        <v>45958</v>
      </c>
      <c r="K204" s="14">
        <v>45788</v>
      </c>
      <c r="L204" s="14">
        <v>45889</v>
      </c>
      <c r="M204" s="14">
        <v>45969</v>
      </c>
      <c r="N204" s="14">
        <v>45995</v>
      </c>
      <c r="O204" s="14">
        <v>45976</v>
      </c>
      <c r="P204" s="14"/>
      <c r="Q204" s="13"/>
    </row>
    <row r="205" spans="1:17">
      <c r="A205" s="13">
        <v>204</v>
      </c>
      <c r="B205" s="13" t="s">
        <v>15</v>
      </c>
      <c r="C205" s="13" t="s">
        <v>397</v>
      </c>
      <c r="D205" s="13" t="s">
        <v>424</v>
      </c>
      <c r="E205" s="13" t="s">
        <v>39</v>
      </c>
      <c r="F205" s="13" t="s">
        <v>425</v>
      </c>
      <c r="G205" s="13" t="s">
        <v>20</v>
      </c>
      <c r="H205" s="14">
        <v>45955</v>
      </c>
      <c r="I205" s="14">
        <v>45776</v>
      </c>
      <c r="J205" s="14">
        <v>45958</v>
      </c>
      <c r="K205" s="14">
        <v>45788</v>
      </c>
      <c r="L205" s="14">
        <v>45889</v>
      </c>
      <c r="M205" s="14">
        <v>45969</v>
      </c>
      <c r="N205" s="14">
        <v>45995</v>
      </c>
      <c r="O205" s="14">
        <v>45976</v>
      </c>
      <c r="P205" s="14"/>
      <c r="Q205" s="13"/>
    </row>
    <row r="206" spans="1:17">
      <c r="A206" s="13">
        <v>205</v>
      </c>
      <c r="B206" s="13" t="s">
        <v>15</v>
      </c>
      <c r="C206" s="13" t="s">
        <v>397</v>
      </c>
      <c r="D206" s="13" t="s">
        <v>426</v>
      </c>
      <c r="E206" s="13" t="s">
        <v>39</v>
      </c>
      <c r="F206" s="13" t="s">
        <v>427</v>
      </c>
      <c r="G206" s="13" t="s">
        <v>20</v>
      </c>
      <c r="H206" s="14">
        <v>45955</v>
      </c>
      <c r="I206" s="14">
        <v>45776</v>
      </c>
      <c r="J206" s="14">
        <v>45958</v>
      </c>
      <c r="K206" s="14">
        <v>45788</v>
      </c>
      <c r="L206" s="14">
        <v>45889</v>
      </c>
      <c r="M206" s="14">
        <v>45969</v>
      </c>
      <c r="N206" s="14">
        <v>45995</v>
      </c>
      <c r="O206" s="14">
        <v>45976</v>
      </c>
      <c r="P206" s="14"/>
      <c r="Q206" s="13"/>
    </row>
    <row r="207" spans="1:17">
      <c r="A207" s="13">
        <v>206</v>
      </c>
      <c r="B207" s="13" t="s">
        <v>15</v>
      </c>
      <c r="C207" s="13" t="s">
        <v>397</v>
      </c>
      <c r="D207" s="13" t="s">
        <v>428</v>
      </c>
      <c r="E207" s="13" t="s">
        <v>44</v>
      </c>
      <c r="F207" s="13" t="s">
        <v>429</v>
      </c>
      <c r="G207" s="13" t="s">
        <v>20</v>
      </c>
      <c r="H207" s="14">
        <v>45790</v>
      </c>
      <c r="I207" s="14">
        <v>45790</v>
      </c>
      <c r="J207" s="14">
        <v>45796</v>
      </c>
      <c r="K207" s="14">
        <v>45802</v>
      </c>
      <c r="L207" s="14"/>
      <c r="M207" s="14">
        <v>45809</v>
      </c>
      <c r="N207" s="14">
        <v>45812</v>
      </c>
      <c r="O207" s="14">
        <v>45816</v>
      </c>
      <c r="P207" s="14"/>
      <c r="Q207" s="13"/>
    </row>
    <row r="208" spans="1:17">
      <c r="A208" s="13">
        <v>207</v>
      </c>
      <c r="B208" s="13" t="s">
        <v>15</v>
      </c>
      <c r="C208" s="13" t="s">
        <v>397</v>
      </c>
      <c r="D208" s="13" t="s">
        <v>430</v>
      </c>
      <c r="E208" s="13" t="s">
        <v>44</v>
      </c>
      <c r="F208" s="13" t="s">
        <v>431</v>
      </c>
      <c r="G208" s="13" t="s">
        <v>20</v>
      </c>
      <c r="H208" s="14">
        <v>45790</v>
      </c>
      <c r="I208" s="14">
        <v>45790</v>
      </c>
      <c r="J208" s="14">
        <v>45796</v>
      </c>
      <c r="K208" s="14">
        <v>45802</v>
      </c>
      <c r="L208" s="14"/>
      <c r="M208" s="14">
        <v>45809</v>
      </c>
      <c r="N208" s="14">
        <v>45812</v>
      </c>
      <c r="O208" s="14">
        <v>45816</v>
      </c>
      <c r="P208" s="14"/>
      <c r="Q208" s="13"/>
    </row>
    <row r="209" spans="1:17">
      <c r="A209" s="13">
        <v>208</v>
      </c>
      <c r="B209" s="13" t="s">
        <v>15</v>
      </c>
      <c r="C209" s="13" t="s">
        <v>397</v>
      </c>
      <c r="D209" s="13" t="s">
        <v>432</v>
      </c>
      <c r="E209" s="13" t="s">
        <v>44</v>
      </c>
      <c r="F209" s="13" t="s">
        <v>433</v>
      </c>
      <c r="G209" s="13" t="s">
        <v>20</v>
      </c>
      <c r="H209" s="14">
        <v>45790</v>
      </c>
      <c r="I209" s="14">
        <v>45790</v>
      </c>
      <c r="J209" s="14">
        <v>45796</v>
      </c>
      <c r="K209" s="14">
        <v>45802</v>
      </c>
      <c r="L209" s="14"/>
      <c r="M209" s="14">
        <v>45809</v>
      </c>
      <c r="N209" s="14">
        <v>45812</v>
      </c>
      <c r="O209" s="14">
        <v>45816</v>
      </c>
      <c r="P209" s="14"/>
      <c r="Q209" s="13"/>
    </row>
    <row r="210" spans="1:17">
      <c r="A210" s="13">
        <v>209</v>
      </c>
      <c r="B210" s="13" t="s">
        <v>15</v>
      </c>
      <c r="C210" s="13" t="s">
        <v>397</v>
      </c>
      <c r="D210" s="13" t="s">
        <v>434</v>
      </c>
      <c r="E210" s="13" t="s">
        <v>49</v>
      </c>
      <c r="F210" s="13" t="s">
        <v>435</v>
      </c>
      <c r="G210" s="13" t="s">
        <v>20</v>
      </c>
      <c r="H210" s="14">
        <v>45804</v>
      </c>
      <c r="I210" s="14">
        <v>45804</v>
      </c>
      <c r="J210" s="14">
        <v>45840</v>
      </c>
      <c r="K210" s="14">
        <v>45816</v>
      </c>
      <c r="L210" s="14">
        <v>45877</v>
      </c>
      <c r="M210" s="14">
        <v>45823</v>
      </c>
      <c r="N210" s="14">
        <v>45946</v>
      </c>
      <c r="O210" s="14">
        <v>45830</v>
      </c>
      <c r="P210" s="14"/>
      <c r="Q210" s="13"/>
    </row>
    <row r="211" spans="1:17">
      <c r="A211" s="13">
        <v>210</v>
      </c>
      <c r="B211" s="13" t="s">
        <v>15</v>
      </c>
      <c r="C211" s="13" t="s">
        <v>397</v>
      </c>
      <c r="D211" s="13" t="s">
        <v>436</v>
      </c>
      <c r="E211" s="13" t="s">
        <v>49</v>
      </c>
      <c r="F211" s="13" t="s">
        <v>437</v>
      </c>
      <c r="G211" s="13" t="s">
        <v>20</v>
      </c>
      <c r="H211" s="14">
        <v>45804</v>
      </c>
      <c r="I211" s="14">
        <v>45804</v>
      </c>
      <c r="J211" s="14">
        <v>45840</v>
      </c>
      <c r="K211" s="14">
        <v>45816</v>
      </c>
      <c r="L211" s="14">
        <v>45877</v>
      </c>
      <c r="M211" s="14">
        <v>45823</v>
      </c>
      <c r="N211" s="14">
        <v>45946</v>
      </c>
      <c r="O211" s="14">
        <v>45830</v>
      </c>
      <c r="P211" s="14"/>
      <c r="Q211" s="13"/>
    </row>
    <row r="212" spans="1:17">
      <c r="A212" s="13">
        <v>211</v>
      </c>
      <c r="B212" s="13" t="s">
        <v>15</v>
      </c>
      <c r="C212" s="13" t="s">
        <v>397</v>
      </c>
      <c r="D212" s="13" t="s">
        <v>438</v>
      </c>
      <c r="E212" s="13" t="s">
        <v>49</v>
      </c>
      <c r="F212" s="13" t="s">
        <v>439</v>
      </c>
      <c r="G212" s="13" t="s">
        <v>20</v>
      </c>
      <c r="H212" s="14">
        <v>45804</v>
      </c>
      <c r="I212" s="14">
        <v>45804</v>
      </c>
      <c r="J212" s="14">
        <v>45840</v>
      </c>
      <c r="K212" s="14">
        <v>45816</v>
      </c>
      <c r="L212" s="14">
        <v>45877</v>
      </c>
      <c r="M212" s="14">
        <v>45823</v>
      </c>
      <c r="N212" s="14">
        <v>45946</v>
      </c>
      <c r="O212" s="14">
        <v>45830</v>
      </c>
      <c r="P212" s="14"/>
      <c r="Q212" s="13"/>
    </row>
    <row r="213" spans="1:17">
      <c r="A213" s="13">
        <v>212</v>
      </c>
      <c r="B213" s="13" t="s">
        <v>15</v>
      </c>
      <c r="C213" s="13" t="s">
        <v>397</v>
      </c>
      <c r="D213" s="13" t="s">
        <v>440</v>
      </c>
      <c r="E213" s="13" t="s">
        <v>54</v>
      </c>
      <c r="F213" s="13" t="s">
        <v>441</v>
      </c>
      <c r="G213" s="13" t="s">
        <v>20</v>
      </c>
      <c r="H213" s="14">
        <v>45821</v>
      </c>
      <c r="I213" s="14">
        <v>45821</v>
      </c>
      <c r="J213" s="14">
        <v>45847</v>
      </c>
      <c r="K213" s="14">
        <v>45833</v>
      </c>
      <c r="L213" s="14">
        <v>45883</v>
      </c>
      <c r="M213" s="14">
        <v>45840</v>
      </c>
      <c r="N213" s="14">
        <v>45946</v>
      </c>
      <c r="O213" s="14">
        <v>45847</v>
      </c>
      <c r="P213" s="14"/>
      <c r="Q213" s="13"/>
    </row>
    <row r="214" spans="1:17">
      <c r="A214" s="13">
        <v>213</v>
      </c>
      <c r="B214" s="13" t="s">
        <v>15</v>
      </c>
      <c r="C214" s="13" t="s">
        <v>397</v>
      </c>
      <c r="D214" s="13" t="s">
        <v>442</v>
      </c>
      <c r="E214" s="13" t="s">
        <v>54</v>
      </c>
      <c r="F214" s="13" t="s">
        <v>443</v>
      </c>
      <c r="G214" s="13" t="s">
        <v>20</v>
      </c>
      <c r="H214" s="14">
        <v>45821</v>
      </c>
      <c r="I214" s="14">
        <v>45821</v>
      </c>
      <c r="J214" s="14">
        <v>45847</v>
      </c>
      <c r="K214" s="14">
        <v>45833</v>
      </c>
      <c r="L214" s="14">
        <v>45883</v>
      </c>
      <c r="M214" s="14">
        <v>45840</v>
      </c>
      <c r="N214" s="14">
        <v>45946</v>
      </c>
      <c r="O214" s="14">
        <v>45847</v>
      </c>
      <c r="P214" s="14"/>
      <c r="Q214" s="13"/>
    </row>
    <row r="215" spans="1:17">
      <c r="A215" s="13">
        <v>214</v>
      </c>
      <c r="B215" s="13" t="s">
        <v>15</v>
      </c>
      <c r="C215" s="13" t="s">
        <v>397</v>
      </c>
      <c r="D215" s="13" t="s">
        <v>444</v>
      </c>
      <c r="E215" s="13" t="s">
        <v>54</v>
      </c>
      <c r="F215" s="13" t="s">
        <v>445</v>
      </c>
      <c r="G215" s="13" t="s">
        <v>20</v>
      </c>
      <c r="H215" s="14">
        <v>45821</v>
      </c>
      <c r="I215" s="14">
        <v>45821</v>
      </c>
      <c r="J215" s="14">
        <v>45847</v>
      </c>
      <c r="K215" s="14">
        <v>45833</v>
      </c>
      <c r="L215" s="14">
        <v>45883</v>
      </c>
      <c r="M215" s="14">
        <v>45840</v>
      </c>
      <c r="N215" s="14">
        <v>45946</v>
      </c>
      <c r="O215" s="14">
        <v>45847</v>
      </c>
      <c r="P215" s="14"/>
      <c r="Q215" s="13"/>
    </row>
    <row r="216" spans="1:17">
      <c r="A216" s="13">
        <v>215</v>
      </c>
      <c r="B216" s="13" t="s">
        <v>15</v>
      </c>
      <c r="C216" s="13" t="s">
        <v>397</v>
      </c>
      <c r="D216" s="13" t="s">
        <v>446</v>
      </c>
      <c r="E216" s="13" t="s">
        <v>59</v>
      </c>
      <c r="F216" s="13" t="s">
        <v>447</v>
      </c>
      <c r="G216" s="13" t="s">
        <v>20</v>
      </c>
      <c r="H216" s="14">
        <v>45837</v>
      </c>
      <c r="I216" s="14">
        <v>45837</v>
      </c>
      <c r="J216" s="14">
        <v>45896</v>
      </c>
      <c r="K216" s="14">
        <v>45849</v>
      </c>
      <c r="L216" s="14"/>
      <c r="M216" s="14">
        <v>45856</v>
      </c>
      <c r="N216" s="14">
        <v>45946</v>
      </c>
      <c r="O216" s="14">
        <v>45863</v>
      </c>
      <c r="P216" s="14"/>
      <c r="Q216" s="13"/>
    </row>
    <row r="217" spans="1:17">
      <c r="A217" s="13">
        <v>216</v>
      </c>
      <c r="B217" s="13" t="s">
        <v>15</v>
      </c>
      <c r="C217" s="13" t="s">
        <v>397</v>
      </c>
      <c r="D217" s="13" t="s">
        <v>448</v>
      </c>
      <c r="E217" s="13" t="s">
        <v>59</v>
      </c>
      <c r="F217" s="13" t="s">
        <v>449</v>
      </c>
      <c r="G217" s="13" t="s">
        <v>20</v>
      </c>
      <c r="H217" s="14">
        <v>45837</v>
      </c>
      <c r="I217" s="14">
        <v>45837</v>
      </c>
      <c r="J217" s="14">
        <v>45896</v>
      </c>
      <c r="K217" s="14">
        <v>45849</v>
      </c>
      <c r="L217" s="14"/>
      <c r="M217" s="14">
        <v>45856</v>
      </c>
      <c r="N217" s="14">
        <v>45946</v>
      </c>
      <c r="O217" s="14">
        <v>45863</v>
      </c>
      <c r="P217" s="14"/>
      <c r="Q217" s="13"/>
    </row>
    <row r="218" spans="1:17">
      <c r="A218" s="13">
        <v>217</v>
      </c>
      <c r="B218" s="13" t="s">
        <v>15</v>
      </c>
      <c r="C218" s="13" t="s">
        <v>397</v>
      </c>
      <c r="D218" s="13" t="s">
        <v>450</v>
      </c>
      <c r="E218" s="13" t="s">
        <v>59</v>
      </c>
      <c r="F218" s="13" t="s">
        <v>451</v>
      </c>
      <c r="G218" s="13" t="s">
        <v>20</v>
      </c>
      <c r="H218" s="14">
        <v>45837</v>
      </c>
      <c r="I218" s="14">
        <v>45837</v>
      </c>
      <c r="J218" s="14">
        <v>45896</v>
      </c>
      <c r="K218" s="14">
        <v>45849</v>
      </c>
      <c r="L218" s="14"/>
      <c r="M218" s="14">
        <v>45856</v>
      </c>
      <c r="N218" s="14">
        <v>45946</v>
      </c>
      <c r="O218" s="14">
        <v>45863</v>
      </c>
      <c r="P218" s="14"/>
      <c r="Q218" s="13"/>
    </row>
    <row r="219" spans="1:17">
      <c r="A219" s="13">
        <v>218</v>
      </c>
      <c r="B219" s="13" t="s">
        <v>15</v>
      </c>
      <c r="C219" s="13" t="s">
        <v>397</v>
      </c>
      <c r="D219" s="13" t="s">
        <v>452</v>
      </c>
      <c r="E219" s="13" t="s">
        <v>64</v>
      </c>
      <c r="F219" s="13" t="s">
        <v>453</v>
      </c>
      <c r="G219" s="13" t="s">
        <v>20</v>
      </c>
      <c r="H219" s="14">
        <v>45837</v>
      </c>
      <c r="I219" s="14">
        <v>45837</v>
      </c>
      <c r="J219" s="14">
        <v>45899</v>
      </c>
      <c r="K219" s="14">
        <v>45849</v>
      </c>
      <c r="L219" s="14"/>
      <c r="M219" s="14">
        <v>45856</v>
      </c>
      <c r="N219" s="14">
        <v>45959</v>
      </c>
      <c r="O219" s="14">
        <v>45863</v>
      </c>
      <c r="P219" s="14"/>
      <c r="Q219" s="13"/>
    </row>
    <row r="220" spans="1:17">
      <c r="A220" s="13">
        <v>219</v>
      </c>
      <c r="B220" s="13" t="s">
        <v>15</v>
      </c>
      <c r="C220" s="13" t="s">
        <v>397</v>
      </c>
      <c r="D220" s="13" t="s">
        <v>454</v>
      </c>
      <c r="E220" s="13" t="s">
        <v>64</v>
      </c>
      <c r="F220" s="13" t="s">
        <v>455</v>
      </c>
      <c r="G220" s="13" t="s">
        <v>20</v>
      </c>
      <c r="H220" s="14">
        <v>45837</v>
      </c>
      <c r="I220" s="14">
        <v>45837</v>
      </c>
      <c r="J220" s="14">
        <v>45899</v>
      </c>
      <c r="K220" s="14">
        <v>45849</v>
      </c>
      <c r="L220" s="14"/>
      <c r="M220" s="14">
        <v>45856</v>
      </c>
      <c r="N220" s="14">
        <v>45959</v>
      </c>
      <c r="O220" s="14">
        <v>45863</v>
      </c>
      <c r="P220" s="14"/>
      <c r="Q220" s="13"/>
    </row>
    <row r="221" spans="1:17">
      <c r="A221" s="13">
        <v>220</v>
      </c>
      <c r="B221" s="13" t="s">
        <v>15</v>
      </c>
      <c r="C221" s="13" t="s">
        <v>397</v>
      </c>
      <c r="D221" s="13" t="s">
        <v>456</v>
      </c>
      <c r="E221" s="13" t="s">
        <v>64</v>
      </c>
      <c r="F221" s="13" t="s">
        <v>457</v>
      </c>
      <c r="G221" s="13" t="s">
        <v>20</v>
      </c>
      <c r="H221" s="14">
        <v>45837</v>
      </c>
      <c r="I221" s="14">
        <v>45837</v>
      </c>
      <c r="J221" s="14">
        <v>45899</v>
      </c>
      <c r="K221" s="14">
        <v>45849</v>
      </c>
      <c r="L221" s="14"/>
      <c r="M221" s="14">
        <v>45856</v>
      </c>
      <c r="N221" s="14">
        <v>45959</v>
      </c>
      <c r="O221" s="14">
        <v>45863</v>
      </c>
      <c r="P221" s="14"/>
      <c r="Q221" s="13"/>
    </row>
    <row r="222" spans="1:17">
      <c r="A222" s="13">
        <v>221</v>
      </c>
      <c r="B222" s="13" t="s">
        <v>15</v>
      </c>
      <c r="C222" s="13" t="s">
        <v>397</v>
      </c>
      <c r="D222" s="13" t="s">
        <v>458</v>
      </c>
      <c r="E222" s="13" t="s">
        <v>69</v>
      </c>
      <c r="F222" s="13" t="s">
        <v>459</v>
      </c>
      <c r="G222" s="13" t="s">
        <v>20</v>
      </c>
      <c r="H222" s="14">
        <v>45851</v>
      </c>
      <c r="I222" s="14">
        <v>45851</v>
      </c>
      <c r="J222" s="14">
        <v>45826</v>
      </c>
      <c r="K222" s="14">
        <v>45863</v>
      </c>
      <c r="L222" s="14"/>
      <c r="M222" s="14">
        <v>45870</v>
      </c>
      <c r="N222" s="14">
        <v>45850</v>
      </c>
      <c r="O222" s="14">
        <v>45877</v>
      </c>
      <c r="P222" s="14"/>
      <c r="Q222" s="13"/>
    </row>
    <row r="223" spans="1:17">
      <c r="A223" s="13">
        <v>222</v>
      </c>
      <c r="B223" s="13" t="s">
        <v>15</v>
      </c>
      <c r="C223" s="13" t="s">
        <v>397</v>
      </c>
      <c r="D223" s="13" t="s">
        <v>460</v>
      </c>
      <c r="E223" s="13" t="s">
        <v>69</v>
      </c>
      <c r="F223" s="13" t="s">
        <v>461</v>
      </c>
      <c r="G223" s="13" t="s">
        <v>20</v>
      </c>
      <c r="H223" s="14">
        <v>45851</v>
      </c>
      <c r="I223" s="14">
        <v>45851</v>
      </c>
      <c r="J223" s="14">
        <v>45826</v>
      </c>
      <c r="K223" s="14">
        <v>45863</v>
      </c>
      <c r="L223" s="14"/>
      <c r="M223" s="14">
        <v>45870</v>
      </c>
      <c r="N223" s="14">
        <v>45850</v>
      </c>
      <c r="O223" s="14">
        <v>45877</v>
      </c>
      <c r="P223" s="14"/>
      <c r="Q223" s="13"/>
    </row>
    <row r="224" spans="1:17">
      <c r="A224" s="13">
        <v>223</v>
      </c>
      <c r="B224" s="13" t="s">
        <v>15</v>
      </c>
      <c r="C224" s="13" t="s">
        <v>397</v>
      </c>
      <c r="D224" s="13" t="s">
        <v>462</v>
      </c>
      <c r="E224" s="13" t="s">
        <v>69</v>
      </c>
      <c r="F224" s="13" t="s">
        <v>463</v>
      </c>
      <c r="G224" s="13" t="s">
        <v>20</v>
      </c>
      <c r="H224" s="14">
        <v>45851</v>
      </c>
      <c r="I224" s="14">
        <v>45851</v>
      </c>
      <c r="J224" s="14">
        <v>45826</v>
      </c>
      <c r="K224" s="14">
        <v>45863</v>
      </c>
      <c r="L224" s="14"/>
      <c r="M224" s="14">
        <v>45870</v>
      </c>
      <c r="N224" s="14">
        <v>45850</v>
      </c>
      <c r="O224" s="14">
        <v>45877</v>
      </c>
      <c r="P224" s="14"/>
      <c r="Q224" s="13"/>
    </row>
    <row r="225" spans="1:17">
      <c r="A225" s="13">
        <v>224</v>
      </c>
      <c r="B225" s="13" t="s">
        <v>15</v>
      </c>
      <c r="C225" s="13" t="s">
        <v>397</v>
      </c>
      <c r="D225" s="13" t="s">
        <v>464</v>
      </c>
      <c r="E225" s="13" t="s">
        <v>74</v>
      </c>
      <c r="F225" s="13" t="s">
        <v>465</v>
      </c>
      <c r="G225" s="13" t="s">
        <v>20</v>
      </c>
      <c r="H225" s="14">
        <v>45851</v>
      </c>
      <c r="I225" s="14">
        <v>45851</v>
      </c>
      <c r="J225" s="14">
        <v>45910</v>
      </c>
      <c r="K225" s="14">
        <v>45863</v>
      </c>
      <c r="L225" s="14"/>
      <c r="M225" s="14">
        <v>45870</v>
      </c>
      <c r="N225" s="14">
        <v>45946</v>
      </c>
      <c r="O225" s="14">
        <v>45877</v>
      </c>
      <c r="P225" s="14"/>
      <c r="Q225" s="13"/>
    </row>
    <row r="226" spans="1:17">
      <c r="A226" s="13">
        <v>225</v>
      </c>
      <c r="B226" s="13" t="s">
        <v>15</v>
      </c>
      <c r="C226" s="13" t="s">
        <v>397</v>
      </c>
      <c r="D226" s="13" t="s">
        <v>466</v>
      </c>
      <c r="E226" s="13" t="s">
        <v>74</v>
      </c>
      <c r="F226" s="13" t="s">
        <v>467</v>
      </c>
      <c r="G226" s="13" t="s">
        <v>20</v>
      </c>
      <c r="H226" s="14">
        <v>45851</v>
      </c>
      <c r="I226" s="14">
        <v>45851</v>
      </c>
      <c r="J226" s="14">
        <v>45910</v>
      </c>
      <c r="K226" s="14">
        <v>45863</v>
      </c>
      <c r="L226" s="14"/>
      <c r="M226" s="14">
        <v>45870</v>
      </c>
      <c r="N226" s="14">
        <v>45946</v>
      </c>
      <c r="O226" s="14">
        <v>45877</v>
      </c>
      <c r="P226" s="14"/>
      <c r="Q226" s="13"/>
    </row>
    <row r="227" spans="1:17">
      <c r="A227" s="13">
        <v>226</v>
      </c>
      <c r="B227" s="13" t="s">
        <v>15</v>
      </c>
      <c r="C227" s="13" t="s">
        <v>397</v>
      </c>
      <c r="D227" s="13" t="s">
        <v>468</v>
      </c>
      <c r="E227" s="13" t="s">
        <v>79</v>
      </c>
      <c r="F227" s="13" t="s">
        <v>469</v>
      </c>
      <c r="G227" s="13" t="s">
        <v>20</v>
      </c>
      <c r="H227" s="14">
        <v>45976</v>
      </c>
      <c r="I227" s="14">
        <v>45866</v>
      </c>
      <c r="J227" s="14">
        <v>45978</v>
      </c>
      <c r="K227" s="14">
        <v>45878</v>
      </c>
      <c r="L227" s="14"/>
      <c r="M227" s="14">
        <v>45885</v>
      </c>
      <c r="N227" s="14">
        <v>46071</v>
      </c>
      <c r="O227" s="14">
        <v>45892</v>
      </c>
      <c r="P227" s="14"/>
      <c r="Q227" s="13"/>
    </row>
    <row r="228" spans="1:17">
      <c r="A228" s="13">
        <v>227</v>
      </c>
      <c r="B228" s="13" t="s">
        <v>15</v>
      </c>
      <c r="C228" s="13" t="s">
        <v>397</v>
      </c>
      <c r="D228" s="13" t="s">
        <v>470</v>
      </c>
      <c r="E228" s="13" t="s">
        <v>79</v>
      </c>
      <c r="F228" s="13" t="s">
        <v>471</v>
      </c>
      <c r="G228" s="13" t="s">
        <v>20</v>
      </c>
      <c r="H228" s="14">
        <v>45976</v>
      </c>
      <c r="I228" s="14">
        <v>45863</v>
      </c>
      <c r="J228" s="14">
        <v>45974</v>
      </c>
      <c r="K228" s="14">
        <v>45875</v>
      </c>
      <c r="L228" s="14"/>
      <c r="M228" s="14">
        <v>45882</v>
      </c>
      <c r="N228" s="14">
        <v>46071</v>
      </c>
      <c r="O228" s="14">
        <v>45889</v>
      </c>
      <c r="P228" s="14"/>
      <c r="Q228" s="13"/>
    </row>
    <row r="229" spans="1:17">
      <c r="A229" s="13">
        <v>228</v>
      </c>
      <c r="B229" s="13" t="s">
        <v>15</v>
      </c>
      <c r="C229" s="13" t="s">
        <v>397</v>
      </c>
      <c r="D229" s="13" t="s">
        <v>472</v>
      </c>
      <c r="E229" s="13" t="s">
        <v>79</v>
      </c>
      <c r="F229" s="13" t="s">
        <v>473</v>
      </c>
      <c r="G229" s="13" t="s">
        <v>20</v>
      </c>
      <c r="H229" s="14">
        <v>45976</v>
      </c>
      <c r="I229" s="14">
        <v>45863</v>
      </c>
      <c r="J229" s="14">
        <v>45974</v>
      </c>
      <c r="K229" s="14">
        <v>45875</v>
      </c>
      <c r="L229" s="14"/>
      <c r="M229" s="14">
        <v>45882</v>
      </c>
      <c r="N229" s="14">
        <v>46071</v>
      </c>
      <c r="O229" s="14">
        <v>45889</v>
      </c>
      <c r="P229" s="14"/>
      <c r="Q229" s="13"/>
    </row>
    <row r="230" spans="1:17">
      <c r="A230" s="13">
        <v>229</v>
      </c>
      <c r="B230" s="13" t="s">
        <v>15</v>
      </c>
      <c r="C230" s="13" t="s">
        <v>397</v>
      </c>
      <c r="D230" s="13" t="s">
        <v>474</v>
      </c>
      <c r="E230" s="13" t="s">
        <v>18</v>
      </c>
      <c r="F230" s="13" t="s">
        <v>475</v>
      </c>
      <c r="G230" s="13" t="s">
        <v>20</v>
      </c>
      <c r="H230" s="14">
        <v>45762</v>
      </c>
      <c r="I230" s="14">
        <v>45762</v>
      </c>
      <c r="J230" s="14">
        <v>45762</v>
      </c>
      <c r="K230" s="14">
        <v>45778</v>
      </c>
      <c r="L230" s="14">
        <v>45762</v>
      </c>
      <c r="M230" s="14">
        <v>45789</v>
      </c>
      <c r="N230" s="14">
        <v>45762</v>
      </c>
      <c r="O230" s="14">
        <v>45796</v>
      </c>
      <c r="P230" s="14"/>
      <c r="Q230" s="13"/>
    </row>
    <row r="231" spans="1:17">
      <c r="A231" s="13">
        <v>230</v>
      </c>
      <c r="B231" s="13" t="s">
        <v>15</v>
      </c>
      <c r="C231" s="13" t="s">
        <v>397</v>
      </c>
      <c r="D231" s="13" t="s">
        <v>476</v>
      </c>
      <c r="E231" s="13" t="s">
        <v>86</v>
      </c>
      <c r="F231" s="13" t="s">
        <v>477</v>
      </c>
      <c r="G231" s="13" t="s">
        <v>20</v>
      </c>
      <c r="H231" s="14">
        <v>45731</v>
      </c>
      <c r="I231" s="14">
        <v>45731</v>
      </c>
      <c r="J231" s="14">
        <v>45966</v>
      </c>
      <c r="K231" s="14">
        <v>45799</v>
      </c>
      <c r="L231" s="14">
        <v>45898</v>
      </c>
      <c r="M231" s="14">
        <v>45810</v>
      </c>
      <c r="N231" s="14">
        <v>46071</v>
      </c>
      <c r="O231" s="14">
        <v>45817</v>
      </c>
      <c r="P231" s="14"/>
      <c r="Q231" s="13"/>
    </row>
    <row r="232" spans="1:17">
      <c r="A232" s="13">
        <v>231</v>
      </c>
      <c r="B232" s="13" t="s">
        <v>15</v>
      </c>
      <c r="C232" s="13" t="s">
        <v>397</v>
      </c>
      <c r="D232" s="13" t="s">
        <v>478</v>
      </c>
      <c r="E232" s="13" t="s">
        <v>97</v>
      </c>
      <c r="F232" s="13" t="s">
        <v>479</v>
      </c>
      <c r="G232" s="13" t="s">
        <v>20</v>
      </c>
      <c r="H232" s="14">
        <v>45731</v>
      </c>
      <c r="I232" s="14">
        <v>45731</v>
      </c>
      <c r="J232" s="14">
        <v>45762</v>
      </c>
      <c r="K232" s="14">
        <v>45748</v>
      </c>
      <c r="L232" s="14">
        <v>45748</v>
      </c>
      <c r="M232" s="14">
        <v>45757</v>
      </c>
      <c r="N232" s="14">
        <v>45757</v>
      </c>
      <c r="O232" s="14">
        <v>45764</v>
      </c>
      <c r="P232" s="14"/>
      <c r="Q232" s="13"/>
    </row>
    <row r="233" spans="1:17">
      <c r="A233" s="13">
        <v>232</v>
      </c>
      <c r="B233" s="13" t="s">
        <v>15</v>
      </c>
      <c r="C233" s="13" t="s">
        <v>397</v>
      </c>
      <c r="D233" s="13" t="s">
        <v>480</v>
      </c>
      <c r="E233" s="13" t="s">
        <v>97</v>
      </c>
      <c r="F233" s="13" t="s">
        <v>481</v>
      </c>
      <c r="G233" s="13" t="s">
        <v>20</v>
      </c>
      <c r="H233" s="14">
        <v>45731</v>
      </c>
      <c r="I233" s="14">
        <v>45731</v>
      </c>
      <c r="J233" s="14">
        <v>45762</v>
      </c>
      <c r="K233" s="14">
        <v>45748</v>
      </c>
      <c r="L233" s="14">
        <v>45748</v>
      </c>
      <c r="M233" s="14">
        <v>45757</v>
      </c>
      <c r="N233" s="14">
        <v>45757</v>
      </c>
      <c r="O233" s="14">
        <v>45764</v>
      </c>
      <c r="P233" s="14"/>
      <c r="Q233" s="13"/>
    </row>
    <row r="234" spans="1:17">
      <c r="A234" s="13">
        <v>233</v>
      </c>
      <c r="B234" s="13" t="s">
        <v>15</v>
      </c>
      <c r="C234" s="13" t="s">
        <v>397</v>
      </c>
      <c r="D234" s="13" t="s">
        <v>482</v>
      </c>
      <c r="E234" s="13" t="s">
        <v>97</v>
      </c>
      <c r="F234" s="13" t="s">
        <v>483</v>
      </c>
      <c r="G234" s="13" t="s">
        <v>20</v>
      </c>
      <c r="H234" s="14">
        <v>45731</v>
      </c>
      <c r="I234" s="14">
        <v>45731</v>
      </c>
      <c r="J234" s="14">
        <v>45762</v>
      </c>
      <c r="K234" s="14">
        <v>45748</v>
      </c>
      <c r="L234" s="14">
        <v>45748</v>
      </c>
      <c r="M234" s="14">
        <v>45757</v>
      </c>
      <c r="N234" s="14">
        <v>45757</v>
      </c>
      <c r="O234" s="14">
        <v>45764</v>
      </c>
      <c r="P234" s="14"/>
      <c r="Q234" s="13"/>
    </row>
    <row r="235" spans="1:17">
      <c r="A235" s="13">
        <v>234</v>
      </c>
      <c r="B235" s="13" t="s">
        <v>15</v>
      </c>
      <c r="C235" s="13" t="s">
        <v>397</v>
      </c>
      <c r="D235" s="13" t="s">
        <v>484</v>
      </c>
      <c r="E235" s="13" t="s">
        <v>97</v>
      </c>
      <c r="F235" s="13" t="s">
        <v>485</v>
      </c>
      <c r="G235" s="13" t="s">
        <v>20</v>
      </c>
      <c r="H235" s="14">
        <v>45731</v>
      </c>
      <c r="I235" s="14">
        <v>45731</v>
      </c>
      <c r="J235" s="14">
        <v>45762</v>
      </c>
      <c r="K235" s="14">
        <v>45748</v>
      </c>
      <c r="L235" s="14">
        <v>45748</v>
      </c>
      <c r="M235" s="14">
        <v>45757</v>
      </c>
      <c r="N235" s="14">
        <v>45757</v>
      </c>
      <c r="O235" s="14">
        <v>45764</v>
      </c>
      <c r="P235" s="14"/>
      <c r="Q235" s="13"/>
    </row>
    <row r="236" spans="1:17">
      <c r="A236" s="13">
        <v>235</v>
      </c>
      <c r="B236" s="13" t="s">
        <v>15</v>
      </c>
      <c r="C236" s="13" t="s">
        <v>397</v>
      </c>
      <c r="D236" s="13" t="s">
        <v>486</v>
      </c>
      <c r="E236" s="13" t="s">
        <v>24</v>
      </c>
      <c r="F236" s="13" t="s">
        <v>487</v>
      </c>
      <c r="G236" s="13" t="s">
        <v>20</v>
      </c>
      <c r="H236" s="14">
        <v>45747</v>
      </c>
      <c r="I236" s="14">
        <v>45747</v>
      </c>
      <c r="J236" s="14">
        <v>45754</v>
      </c>
      <c r="K236" s="14">
        <v>45763</v>
      </c>
      <c r="L236" s="14">
        <v>45748</v>
      </c>
      <c r="M236" s="14">
        <v>45772</v>
      </c>
      <c r="N236" s="14">
        <v>46071</v>
      </c>
      <c r="O236" s="14">
        <v>45779</v>
      </c>
      <c r="P236" s="14"/>
      <c r="Q236" s="13"/>
    </row>
    <row r="237" spans="1:17">
      <c r="A237" s="13">
        <v>236</v>
      </c>
      <c r="B237" s="13" t="s">
        <v>15</v>
      </c>
      <c r="C237" s="13" t="s">
        <v>397</v>
      </c>
      <c r="D237" s="13" t="s">
        <v>488</v>
      </c>
      <c r="E237" s="13" t="s">
        <v>97</v>
      </c>
      <c r="F237" s="13" t="s">
        <v>489</v>
      </c>
      <c r="G237" s="13" t="s">
        <v>20</v>
      </c>
      <c r="H237" s="14">
        <v>45731</v>
      </c>
      <c r="I237" s="14">
        <v>45731</v>
      </c>
      <c r="J237" s="14">
        <v>45762</v>
      </c>
      <c r="K237" s="14">
        <v>45748</v>
      </c>
      <c r="L237" s="14">
        <v>45759</v>
      </c>
      <c r="M237" s="14">
        <v>45757</v>
      </c>
      <c r="N237" s="14">
        <v>45757</v>
      </c>
      <c r="O237" s="14">
        <v>45764</v>
      </c>
      <c r="P237" s="14"/>
      <c r="Q237" s="13"/>
    </row>
    <row r="238" spans="1:17">
      <c r="A238" s="13">
        <v>237</v>
      </c>
      <c r="B238" s="13" t="s">
        <v>1107</v>
      </c>
      <c r="C238" s="13" t="s">
        <v>490</v>
      </c>
      <c r="D238" s="13" t="s">
        <v>491</v>
      </c>
      <c r="E238" s="13" t="s">
        <v>18</v>
      </c>
      <c r="F238" s="13" t="s">
        <v>492</v>
      </c>
      <c r="G238" s="13" t="s">
        <v>493</v>
      </c>
      <c r="H238" s="14">
        <v>45747</v>
      </c>
      <c r="I238" s="14">
        <v>45747</v>
      </c>
      <c r="J238" s="14">
        <v>45751</v>
      </c>
      <c r="K238" s="14">
        <v>45759</v>
      </c>
      <c r="L238" s="14">
        <v>45759</v>
      </c>
      <c r="M238" s="14">
        <v>45766</v>
      </c>
      <c r="N238" s="14">
        <v>45808</v>
      </c>
      <c r="O238" s="14">
        <v>45773</v>
      </c>
      <c r="P238" s="14"/>
      <c r="Q238" s="13"/>
    </row>
    <row r="239" spans="1:17">
      <c r="A239" s="13">
        <v>238</v>
      </c>
      <c r="B239" s="13" t="s">
        <v>1107</v>
      </c>
      <c r="C239" s="13" t="s">
        <v>490</v>
      </c>
      <c r="D239" s="13" t="s">
        <v>494</v>
      </c>
      <c r="E239" s="13" t="s">
        <v>18</v>
      </c>
      <c r="F239" s="13" t="s">
        <v>495</v>
      </c>
      <c r="G239" s="13" t="s">
        <v>493</v>
      </c>
      <c r="H239" s="14">
        <v>45747</v>
      </c>
      <c r="I239" s="14">
        <v>45747</v>
      </c>
      <c r="J239" s="14">
        <v>45751</v>
      </c>
      <c r="K239" s="14">
        <v>45759</v>
      </c>
      <c r="L239" s="14">
        <v>45759</v>
      </c>
      <c r="M239" s="14">
        <v>45766</v>
      </c>
      <c r="N239" s="14">
        <v>45808</v>
      </c>
      <c r="O239" s="14">
        <v>45773</v>
      </c>
      <c r="P239" s="14"/>
      <c r="Q239" s="13"/>
    </row>
    <row r="240" spans="1:17">
      <c r="A240" s="13">
        <v>239</v>
      </c>
      <c r="B240" s="13" t="s">
        <v>1107</v>
      </c>
      <c r="C240" s="13" t="s">
        <v>490</v>
      </c>
      <c r="D240" s="13" t="s">
        <v>496</v>
      </c>
      <c r="E240" s="13" t="s">
        <v>18</v>
      </c>
      <c r="F240" s="13" t="s">
        <v>497</v>
      </c>
      <c r="G240" s="13" t="s">
        <v>493</v>
      </c>
      <c r="H240" s="14">
        <v>45747</v>
      </c>
      <c r="I240" s="14">
        <v>45747</v>
      </c>
      <c r="J240" s="14">
        <v>45751</v>
      </c>
      <c r="K240" s="14">
        <v>45759</v>
      </c>
      <c r="L240" s="14">
        <v>45759</v>
      </c>
      <c r="M240" s="14">
        <v>45766</v>
      </c>
      <c r="N240" s="14">
        <v>45808</v>
      </c>
      <c r="O240" s="14">
        <v>45773</v>
      </c>
      <c r="P240" s="14"/>
      <c r="Q240" s="13"/>
    </row>
    <row r="241" spans="1:17">
      <c r="A241" s="13">
        <v>240</v>
      </c>
      <c r="B241" s="13" t="s">
        <v>1107</v>
      </c>
      <c r="C241" s="13" t="s">
        <v>490</v>
      </c>
      <c r="D241" s="13" t="s">
        <v>498</v>
      </c>
      <c r="E241" s="13" t="s">
        <v>18</v>
      </c>
      <c r="F241" s="13" t="s">
        <v>499</v>
      </c>
      <c r="G241" s="13" t="s">
        <v>493</v>
      </c>
      <c r="H241" s="14">
        <v>45747</v>
      </c>
      <c r="I241" s="14">
        <v>45747</v>
      </c>
      <c r="J241" s="14">
        <v>45751</v>
      </c>
      <c r="K241" s="14">
        <v>45759</v>
      </c>
      <c r="L241" s="14">
        <v>45759</v>
      </c>
      <c r="M241" s="14">
        <v>45766</v>
      </c>
      <c r="N241" s="14">
        <v>45808</v>
      </c>
      <c r="O241" s="14">
        <v>45773</v>
      </c>
      <c r="P241" s="14"/>
      <c r="Q241" s="13"/>
    </row>
    <row r="242" spans="1:17">
      <c r="A242" s="13">
        <v>241</v>
      </c>
      <c r="B242" s="13" t="s">
        <v>1107</v>
      </c>
      <c r="C242" s="13" t="s">
        <v>490</v>
      </c>
      <c r="D242" s="13" t="s">
        <v>500</v>
      </c>
      <c r="E242" s="13" t="s">
        <v>18</v>
      </c>
      <c r="F242" s="13" t="s">
        <v>501</v>
      </c>
      <c r="G242" s="13" t="s">
        <v>493</v>
      </c>
      <c r="H242" s="14">
        <v>45747</v>
      </c>
      <c r="I242" s="14">
        <v>45747</v>
      </c>
      <c r="J242" s="14">
        <v>45751</v>
      </c>
      <c r="K242" s="14">
        <v>45759</v>
      </c>
      <c r="L242" s="14">
        <v>45759</v>
      </c>
      <c r="M242" s="14">
        <v>45766</v>
      </c>
      <c r="N242" s="14">
        <v>45808</v>
      </c>
      <c r="O242" s="14">
        <v>45773</v>
      </c>
      <c r="P242" s="14"/>
      <c r="Q242" s="13"/>
    </row>
    <row r="243" spans="1:17">
      <c r="A243" s="13">
        <v>242</v>
      </c>
      <c r="B243" s="13" t="s">
        <v>1107</v>
      </c>
      <c r="C243" s="13" t="s">
        <v>490</v>
      </c>
      <c r="D243" s="13" t="s">
        <v>502</v>
      </c>
      <c r="E243" s="13" t="s">
        <v>24</v>
      </c>
      <c r="F243" s="13" t="s">
        <v>503</v>
      </c>
      <c r="G243" s="13" t="s">
        <v>493</v>
      </c>
      <c r="H243" s="14">
        <v>45747</v>
      </c>
      <c r="I243" s="14">
        <v>45747</v>
      </c>
      <c r="J243" s="14">
        <v>45754</v>
      </c>
      <c r="K243" s="14">
        <v>45759</v>
      </c>
      <c r="L243" s="14">
        <v>45805</v>
      </c>
      <c r="M243" s="14">
        <v>45766</v>
      </c>
      <c r="N243" s="14">
        <v>45812</v>
      </c>
      <c r="O243" s="14">
        <v>45773</v>
      </c>
      <c r="P243" s="14"/>
      <c r="Q243" s="13"/>
    </row>
    <row r="244" spans="1:17">
      <c r="A244" s="13">
        <v>243</v>
      </c>
      <c r="B244" s="13" t="s">
        <v>1107</v>
      </c>
      <c r="C244" s="13" t="s">
        <v>490</v>
      </c>
      <c r="D244" s="13" t="s">
        <v>504</v>
      </c>
      <c r="E244" s="13" t="s">
        <v>24</v>
      </c>
      <c r="F244" s="13" t="s">
        <v>505</v>
      </c>
      <c r="G244" s="13" t="s">
        <v>493</v>
      </c>
      <c r="H244" s="14">
        <v>45747</v>
      </c>
      <c r="I244" s="14">
        <v>45747</v>
      </c>
      <c r="J244" s="14">
        <v>45754</v>
      </c>
      <c r="K244" s="14">
        <v>45759</v>
      </c>
      <c r="L244" s="14">
        <v>45805</v>
      </c>
      <c r="M244" s="14">
        <v>45766</v>
      </c>
      <c r="N244" s="14">
        <v>45812</v>
      </c>
      <c r="O244" s="14">
        <v>45773</v>
      </c>
      <c r="P244" s="14"/>
      <c r="Q244" s="13"/>
    </row>
    <row r="245" spans="1:17">
      <c r="A245" s="13">
        <v>244</v>
      </c>
      <c r="B245" s="13" t="s">
        <v>1107</v>
      </c>
      <c r="C245" s="13" t="s">
        <v>490</v>
      </c>
      <c r="D245" s="13" t="s">
        <v>506</v>
      </c>
      <c r="E245" s="13" t="s">
        <v>24</v>
      </c>
      <c r="F245" s="13" t="s">
        <v>507</v>
      </c>
      <c r="G245" s="13" t="s">
        <v>493</v>
      </c>
      <c r="H245" s="14">
        <v>45747</v>
      </c>
      <c r="I245" s="14">
        <v>45747</v>
      </c>
      <c r="J245" s="14">
        <v>45754</v>
      </c>
      <c r="K245" s="14">
        <v>45759</v>
      </c>
      <c r="L245" s="14">
        <v>45805</v>
      </c>
      <c r="M245" s="14">
        <v>45766</v>
      </c>
      <c r="N245" s="14">
        <v>45812</v>
      </c>
      <c r="O245" s="14">
        <v>45773</v>
      </c>
      <c r="P245" s="14"/>
      <c r="Q245" s="13"/>
    </row>
    <row r="246" spans="1:17">
      <c r="A246" s="13">
        <v>245</v>
      </c>
      <c r="B246" s="13" t="s">
        <v>1107</v>
      </c>
      <c r="C246" s="13" t="s">
        <v>490</v>
      </c>
      <c r="D246" s="13" t="s">
        <v>1115</v>
      </c>
      <c r="E246" s="13" t="s">
        <v>24</v>
      </c>
      <c r="F246" s="13" t="s">
        <v>508</v>
      </c>
      <c r="G246" s="13" t="s">
        <v>493</v>
      </c>
      <c r="H246" s="14">
        <v>45747</v>
      </c>
      <c r="I246" s="14">
        <v>45747</v>
      </c>
      <c r="J246" s="14">
        <v>45754</v>
      </c>
      <c r="K246" s="14">
        <v>45759</v>
      </c>
      <c r="L246" s="14">
        <v>45805</v>
      </c>
      <c r="M246" s="14">
        <v>45766</v>
      </c>
      <c r="N246" s="14">
        <v>45812</v>
      </c>
      <c r="O246" s="14">
        <v>45773</v>
      </c>
      <c r="P246" s="14"/>
      <c r="Q246" s="13"/>
    </row>
    <row r="247" spans="1:17">
      <c r="A247" s="13">
        <v>246</v>
      </c>
      <c r="B247" s="13" t="s">
        <v>1107</v>
      </c>
      <c r="C247" s="13" t="s">
        <v>490</v>
      </c>
      <c r="D247" s="13" t="s">
        <v>509</v>
      </c>
      <c r="E247" s="13" t="s">
        <v>24</v>
      </c>
      <c r="F247" s="13" t="s">
        <v>510</v>
      </c>
      <c r="G247" s="13" t="s">
        <v>493</v>
      </c>
      <c r="H247" s="14">
        <v>45747</v>
      </c>
      <c r="I247" s="14">
        <v>45747</v>
      </c>
      <c r="J247" s="14">
        <v>45754</v>
      </c>
      <c r="K247" s="14">
        <v>45759</v>
      </c>
      <c r="L247" s="14">
        <v>45805</v>
      </c>
      <c r="M247" s="14">
        <v>45766</v>
      </c>
      <c r="N247" s="14">
        <v>45812</v>
      </c>
      <c r="O247" s="14">
        <v>45773</v>
      </c>
      <c r="P247" s="14"/>
      <c r="Q247" s="13"/>
    </row>
    <row r="248" spans="1:17">
      <c r="A248" s="13">
        <v>247</v>
      </c>
      <c r="B248" s="13" t="s">
        <v>1107</v>
      </c>
      <c r="C248" s="13" t="s">
        <v>490</v>
      </c>
      <c r="D248" s="13" t="s">
        <v>511</v>
      </c>
      <c r="E248" s="13" t="s">
        <v>29</v>
      </c>
      <c r="F248" s="13" t="s">
        <v>512</v>
      </c>
      <c r="G248" s="13" t="s">
        <v>493</v>
      </c>
      <c r="H248" s="14">
        <v>45976</v>
      </c>
      <c r="I248" s="14">
        <v>45747</v>
      </c>
      <c r="J248" s="14">
        <v>45974</v>
      </c>
      <c r="K248" s="14">
        <v>45759</v>
      </c>
      <c r="L248" s="14">
        <v>45796</v>
      </c>
      <c r="M248" s="14">
        <v>45990</v>
      </c>
      <c r="N248" s="14">
        <v>45995</v>
      </c>
      <c r="O248" s="14">
        <v>45997</v>
      </c>
      <c r="P248" s="14"/>
      <c r="Q248" s="13"/>
    </row>
    <row r="249" spans="1:17">
      <c r="A249" s="13">
        <v>248</v>
      </c>
      <c r="B249" s="13" t="s">
        <v>1107</v>
      </c>
      <c r="C249" s="13" t="s">
        <v>490</v>
      </c>
      <c r="D249" s="13" t="s">
        <v>513</v>
      </c>
      <c r="E249" s="13" t="s">
        <v>29</v>
      </c>
      <c r="F249" s="13" t="s">
        <v>514</v>
      </c>
      <c r="G249" s="13" t="s">
        <v>493</v>
      </c>
      <c r="H249" s="14">
        <v>45976</v>
      </c>
      <c r="I249" s="14">
        <v>45747</v>
      </c>
      <c r="J249" s="14">
        <v>45974</v>
      </c>
      <c r="K249" s="14">
        <v>45759</v>
      </c>
      <c r="L249" s="14">
        <v>45796</v>
      </c>
      <c r="M249" s="14">
        <v>45990</v>
      </c>
      <c r="N249" s="14">
        <v>45995</v>
      </c>
      <c r="O249" s="14">
        <v>45997</v>
      </c>
      <c r="P249" s="14"/>
      <c r="Q249" s="13"/>
    </row>
    <row r="250" spans="1:17">
      <c r="A250" s="13">
        <v>249</v>
      </c>
      <c r="B250" s="13" t="s">
        <v>1107</v>
      </c>
      <c r="C250" s="13" t="s">
        <v>490</v>
      </c>
      <c r="D250" s="13" t="s">
        <v>515</v>
      </c>
      <c r="E250" s="13" t="s">
        <v>29</v>
      </c>
      <c r="F250" s="13" t="s">
        <v>516</v>
      </c>
      <c r="G250" s="13" t="s">
        <v>493</v>
      </c>
      <c r="H250" s="14">
        <v>45976</v>
      </c>
      <c r="I250" s="14">
        <v>45747</v>
      </c>
      <c r="J250" s="14">
        <v>45974</v>
      </c>
      <c r="K250" s="14">
        <v>45759</v>
      </c>
      <c r="L250" s="14">
        <v>45796</v>
      </c>
      <c r="M250" s="14">
        <v>45990</v>
      </c>
      <c r="N250" s="14">
        <v>45995</v>
      </c>
      <c r="O250" s="14">
        <v>45997</v>
      </c>
      <c r="P250" s="14"/>
      <c r="Q250" s="13"/>
    </row>
    <row r="251" spans="1:17">
      <c r="A251" s="13">
        <v>250</v>
      </c>
      <c r="B251" s="13" t="s">
        <v>1107</v>
      </c>
      <c r="C251" s="13" t="s">
        <v>490</v>
      </c>
      <c r="D251" s="13" t="s">
        <v>517</v>
      </c>
      <c r="E251" s="13" t="s">
        <v>29</v>
      </c>
      <c r="F251" s="13" t="s">
        <v>518</v>
      </c>
      <c r="G251" s="13" t="s">
        <v>493</v>
      </c>
      <c r="H251" s="14">
        <v>45976</v>
      </c>
      <c r="I251" s="14">
        <v>45747</v>
      </c>
      <c r="J251" s="14">
        <v>45974</v>
      </c>
      <c r="K251" s="14">
        <v>45759</v>
      </c>
      <c r="L251" s="14">
        <v>45796</v>
      </c>
      <c r="M251" s="14">
        <v>45990</v>
      </c>
      <c r="N251" s="14">
        <v>45995</v>
      </c>
      <c r="O251" s="14">
        <v>45997</v>
      </c>
      <c r="P251" s="14"/>
      <c r="Q251" s="13"/>
    </row>
    <row r="252" spans="1:17">
      <c r="A252" s="13">
        <v>251</v>
      </c>
      <c r="B252" s="13" t="s">
        <v>1107</v>
      </c>
      <c r="C252" s="13" t="s">
        <v>490</v>
      </c>
      <c r="D252" s="13" t="s">
        <v>519</v>
      </c>
      <c r="E252" s="13" t="s">
        <v>29</v>
      </c>
      <c r="F252" s="13" t="s">
        <v>520</v>
      </c>
      <c r="G252" s="13" t="s">
        <v>493</v>
      </c>
      <c r="H252" s="14">
        <v>45976</v>
      </c>
      <c r="I252" s="14">
        <v>45747</v>
      </c>
      <c r="J252" s="14">
        <v>45974</v>
      </c>
      <c r="K252" s="14">
        <v>45759</v>
      </c>
      <c r="L252" s="14">
        <v>45796</v>
      </c>
      <c r="M252" s="14">
        <v>45990</v>
      </c>
      <c r="N252" s="14">
        <v>45995</v>
      </c>
      <c r="O252" s="14">
        <v>45997</v>
      </c>
      <c r="P252" s="14"/>
      <c r="Q252" s="13"/>
    </row>
    <row r="253" spans="1:17">
      <c r="A253" s="13">
        <v>252</v>
      </c>
      <c r="B253" s="13" t="s">
        <v>1107</v>
      </c>
      <c r="C253" s="13" t="s">
        <v>490</v>
      </c>
      <c r="D253" s="13" t="s">
        <v>521</v>
      </c>
      <c r="E253" s="13" t="s">
        <v>34</v>
      </c>
      <c r="F253" s="13" t="s">
        <v>522</v>
      </c>
      <c r="G253" s="13" t="s">
        <v>493</v>
      </c>
      <c r="H253" s="14">
        <v>45960</v>
      </c>
      <c r="I253" s="14">
        <v>45760</v>
      </c>
      <c r="J253" s="14">
        <v>45966</v>
      </c>
      <c r="K253" s="14">
        <v>45772</v>
      </c>
      <c r="L253" s="14"/>
      <c r="M253" s="14">
        <v>45974</v>
      </c>
      <c r="N253" s="14">
        <v>45995</v>
      </c>
      <c r="O253" s="14">
        <v>45981</v>
      </c>
      <c r="P253" s="14"/>
      <c r="Q253" s="13"/>
    </row>
    <row r="254" spans="1:17">
      <c r="A254" s="13">
        <v>253</v>
      </c>
      <c r="B254" s="13" t="s">
        <v>1107</v>
      </c>
      <c r="C254" s="13" t="s">
        <v>490</v>
      </c>
      <c r="D254" s="13" t="s">
        <v>523</v>
      </c>
      <c r="E254" s="13" t="s">
        <v>34</v>
      </c>
      <c r="F254" s="13" t="s">
        <v>524</v>
      </c>
      <c r="G254" s="13" t="s">
        <v>493</v>
      </c>
      <c r="H254" s="14">
        <v>45960</v>
      </c>
      <c r="I254" s="14">
        <v>45760</v>
      </c>
      <c r="J254" s="14">
        <v>45966</v>
      </c>
      <c r="K254" s="14">
        <v>45772</v>
      </c>
      <c r="L254" s="14"/>
      <c r="M254" s="14">
        <v>45974</v>
      </c>
      <c r="N254" s="14">
        <v>45995</v>
      </c>
      <c r="O254" s="14">
        <v>45981</v>
      </c>
      <c r="P254" s="14"/>
      <c r="Q254" s="13"/>
    </row>
    <row r="255" spans="1:17">
      <c r="A255" s="13">
        <v>254</v>
      </c>
      <c r="B255" s="13" t="s">
        <v>1107</v>
      </c>
      <c r="C255" s="13" t="s">
        <v>490</v>
      </c>
      <c r="D255" s="13" t="s">
        <v>525</v>
      </c>
      <c r="E255" s="13" t="s">
        <v>34</v>
      </c>
      <c r="F255" s="13" t="s">
        <v>526</v>
      </c>
      <c r="G255" s="13" t="s">
        <v>493</v>
      </c>
      <c r="H255" s="14">
        <v>45960</v>
      </c>
      <c r="I255" s="14">
        <v>45760</v>
      </c>
      <c r="J255" s="14">
        <v>45966</v>
      </c>
      <c r="K255" s="14">
        <v>45772</v>
      </c>
      <c r="L255" s="14"/>
      <c r="M255" s="14">
        <v>45974</v>
      </c>
      <c r="N255" s="14">
        <v>45995</v>
      </c>
      <c r="O255" s="14">
        <v>45981</v>
      </c>
      <c r="P255" s="14"/>
      <c r="Q255" s="13"/>
    </row>
    <row r="256" spans="1:17">
      <c r="A256" s="13">
        <v>255</v>
      </c>
      <c r="B256" s="13" t="s">
        <v>1107</v>
      </c>
      <c r="C256" s="13" t="s">
        <v>490</v>
      </c>
      <c r="D256" s="13" t="s">
        <v>527</v>
      </c>
      <c r="E256" s="13" t="s">
        <v>34</v>
      </c>
      <c r="F256" s="13" t="s">
        <v>528</v>
      </c>
      <c r="G256" s="13" t="s">
        <v>493</v>
      </c>
      <c r="H256" s="14">
        <v>45960</v>
      </c>
      <c r="I256" s="14">
        <v>45760</v>
      </c>
      <c r="J256" s="14">
        <v>45966</v>
      </c>
      <c r="K256" s="14">
        <v>45772</v>
      </c>
      <c r="L256" s="14"/>
      <c r="M256" s="14">
        <v>45974</v>
      </c>
      <c r="N256" s="14">
        <v>45995</v>
      </c>
      <c r="O256" s="14">
        <v>45981</v>
      </c>
      <c r="P256" s="14"/>
      <c r="Q256" s="13"/>
    </row>
    <row r="257" spans="1:17">
      <c r="A257" s="13">
        <v>256</v>
      </c>
      <c r="B257" s="13" t="s">
        <v>1107</v>
      </c>
      <c r="C257" s="13" t="s">
        <v>490</v>
      </c>
      <c r="D257" s="13" t="s">
        <v>529</v>
      </c>
      <c r="E257" s="13" t="s">
        <v>34</v>
      </c>
      <c r="F257" s="13" t="s">
        <v>530</v>
      </c>
      <c r="G257" s="13" t="s">
        <v>493</v>
      </c>
      <c r="H257" s="14">
        <v>45960</v>
      </c>
      <c r="I257" s="14">
        <v>45760</v>
      </c>
      <c r="J257" s="14">
        <v>45966</v>
      </c>
      <c r="K257" s="14">
        <v>45772</v>
      </c>
      <c r="L257" s="14"/>
      <c r="M257" s="14">
        <v>45974</v>
      </c>
      <c r="N257" s="14">
        <v>45995</v>
      </c>
      <c r="O257" s="14">
        <v>45981</v>
      </c>
      <c r="P257" s="14"/>
      <c r="Q257" s="13"/>
    </row>
    <row r="258" spans="1:17">
      <c r="A258" s="13">
        <v>257</v>
      </c>
      <c r="B258" s="13" t="s">
        <v>1107</v>
      </c>
      <c r="C258" s="13" t="s">
        <v>490</v>
      </c>
      <c r="D258" s="13" t="s">
        <v>531</v>
      </c>
      <c r="E258" s="13" t="s">
        <v>39</v>
      </c>
      <c r="F258" s="13" t="s">
        <v>532</v>
      </c>
      <c r="G258" s="13" t="s">
        <v>493</v>
      </c>
      <c r="H258" s="14">
        <v>45955</v>
      </c>
      <c r="I258" s="14">
        <v>45776</v>
      </c>
      <c r="J258" s="14">
        <v>45958</v>
      </c>
      <c r="K258" s="14">
        <v>45788</v>
      </c>
      <c r="L258" s="14">
        <v>45889</v>
      </c>
      <c r="M258" s="14">
        <v>45969</v>
      </c>
      <c r="N258" s="14">
        <v>45995</v>
      </c>
      <c r="O258" s="14">
        <v>45976</v>
      </c>
      <c r="P258" s="14"/>
      <c r="Q258" s="13"/>
    </row>
    <row r="259" spans="1:17">
      <c r="A259" s="13">
        <v>258</v>
      </c>
      <c r="B259" s="13" t="s">
        <v>1107</v>
      </c>
      <c r="C259" s="13" t="s">
        <v>490</v>
      </c>
      <c r="D259" s="13" t="s">
        <v>533</v>
      </c>
      <c r="E259" s="13" t="s">
        <v>39</v>
      </c>
      <c r="F259" s="13" t="s">
        <v>534</v>
      </c>
      <c r="G259" s="13" t="s">
        <v>493</v>
      </c>
      <c r="H259" s="14">
        <v>45955</v>
      </c>
      <c r="I259" s="14">
        <v>45776</v>
      </c>
      <c r="J259" s="14">
        <v>45958</v>
      </c>
      <c r="K259" s="14">
        <v>45788</v>
      </c>
      <c r="L259" s="14">
        <v>45889</v>
      </c>
      <c r="M259" s="14">
        <v>45969</v>
      </c>
      <c r="N259" s="14">
        <v>45995</v>
      </c>
      <c r="O259" s="14">
        <v>45976</v>
      </c>
      <c r="P259" s="14"/>
      <c r="Q259" s="13"/>
    </row>
    <row r="260" spans="1:17">
      <c r="A260" s="13">
        <v>259</v>
      </c>
      <c r="B260" s="13" t="s">
        <v>1107</v>
      </c>
      <c r="C260" s="13" t="s">
        <v>490</v>
      </c>
      <c r="D260" s="13" t="s">
        <v>535</v>
      </c>
      <c r="E260" s="13" t="s">
        <v>39</v>
      </c>
      <c r="F260" s="13" t="s">
        <v>536</v>
      </c>
      <c r="G260" s="13" t="s">
        <v>493</v>
      </c>
      <c r="H260" s="14">
        <v>45955</v>
      </c>
      <c r="I260" s="14">
        <v>45776</v>
      </c>
      <c r="J260" s="14">
        <v>45958</v>
      </c>
      <c r="K260" s="14">
        <v>45788</v>
      </c>
      <c r="L260" s="14">
        <v>45889</v>
      </c>
      <c r="M260" s="14">
        <v>45969</v>
      </c>
      <c r="N260" s="14">
        <v>45995</v>
      </c>
      <c r="O260" s="14">
        <v>45976</v>
      </c>
      <c r="P260" s="14"/>
      <c r="Q260" s="13"/>
    </row>
    <row r="261" spans="1:17">
      <c r="A261" s="13">
        <v>260</v>
      </c>
      <c r="B261" s="13" t="s">
        <v>1107</v>
      </c>
      <c r="C261" s="13" t="s">
        <v>490</v>
      </c>
      <c r="D261" s="13" t="s">
        <v>537</v>
      </c>
      <c r="E261" s="13" t="s">
        <v>39</v>
      </c>
      <c r="F261" s="13" t="s">
        <v>538</v>
      </c>
      <c r="G261" s="13" t="s">
        <v>493</v>
      </c>
      <c r="H261" s="14">
        <v>45955</v>
      </c>
      <c r="I261" s="14">
        <v>45776</v>
      </c>
      <c r="J261" s="14">
        <v>45958</v>
      </c>
      <c r="K261" s="14">
        <v>45788</v>
      </c>
      <c r="L261" s="14">
        <v>45889</v>
      </c>
      <c r="M261" s="14">
        <v>45969</v>
      </c>
      <c r="N261" s="14">
        <v>45995</v>
      </c>
      <c r="O261" s="14">
        <v>45976</v>
      </c>
      <c r="P261" s="14"/>
      <c r="Q261" s="13"/>
    </row>
    <row r="262" spans="1:17">
      <c r="A262" s="13">
        <v>261</v>
      </c>
      <c r="B262" s="13" t="s">
        <v>1107</v>
      </c>
      <c r="C262" s="13" t="s">
        <v>490</v>
      </c>
      <c r="D262" s="13" t="s">
        <v>539</v>
      </c>
      <c r="E262" s="13" t="s">
        <v>39</v>
      </c>
      <c r="F262" s="13" t="s">
        <v>540</v>
      </c>
      <c r="G262" s="13" t="s">
        <v>493</v>
      </c>
      <c r="H262" s="14">
        <v>45955</v>
      </c>
      <c r="I262" s="14">
        <v>45776</v>
      </c>
      <c r="J262" s="14">
        <v>45958</v>
      </c>
      <c r="K262" s="14">
        <v>45788</v>
      </c>
      <c r="L262" s="14">
        <v>45889</v>
      </c>
      <c r="M262" s="14">
        <v>45969</v>
      </c>
      <c r="N262" s="14">
        <v>45995</v>
      </c>
      <c r="O262" s="14">
        <v>45976</v>
      </c>
      <c r="P262" s="14"/>
      <c r="Q262" s="13"/>
    </row>
    <row r="263" spans="1:17">
      <c r="A263" s="13">
        <v>262</v>
      </c>
      <c r="B263" s="13" t="s">
        <v>1107</v>
      </c>
      <c r="C263" s="13" t="s">
        <v>490</v>
      </c>
      <c r="D263" s="13" t="s">
        <v>541</v>
      </c>
      <c r="E263" s="13" t="s">
        <v>44</v>
      </c>
      <c r="F263" s="13" t="s">
        <v>542</v>
      </c>
      <c r="G263" s="13" t="s">
        <v>493</v>
      </c>
      <c r="H263" s="14">
        <v>45790</v>
      </c>
      <c r="I263" s="14">
        <v>45790</v>
      </c>
      <c r="J263" s="14">
        <v>45817</v>
      </c>
      <c r="K263" s="14">
        <v>45802</v>
      </c>
      <c r="L263" s="14">
        <v>45869</v>
      </c>
      <c r="M263" s="14">
        <v>45809</v>
      </c>
      <c r="N263" s="14">
        <v>45812</v>
      </c>
      <c r="O263" s="14">
        <v>45816</v>
      </c>
      <c r="P263" s="14"/>
      <c r="Q263" s="13"/>
    </row>
    <row r="264" spans="1:17">
      <c r="A264" s="13">
        <v>263</v>
      </c>
      <c r="B264" s="13" t="s">
        <v>1107</v>
      </c>
      <c r="C264" s="13" t="s">
        <v>490</v>
      </c>
      <c r="D264" s="13" t="s">
        <v>543</v>
      </c>
      <c r="E264" s="13" t="s">
        <v>44</v>
      </c>
      <c r="F264" s="13" t="s">
        <v>544</v>
      </c>
      <c r="G264" s="13" t="s">
        <v>493</v>
      </c>
      <c r="H264" s="14">
        <v>45790</v>
      </c>
      <c r="I264" s="14">
        <v>45790</v>
      </c>
      <c r="J264" s="14">
        <v>45817</v>
      </c>
      <c r="K264" s="14">
        <v>45802</v>
      </c>
      <c r="L264" s="14">
        <v>45869</v>
      </c>
      <c r="M264" s="14">
        <v>45809</v>
      </c>
      <c r="N264" s="14">
        <v>45812</v>
      </c>
      <c r="O264" s="14">
        <v>45816</v>
      </c>
      <c r="P264" s="14"/>
      <c r="Q264" s="13"/>
    </row>
    <row r="265" spans="1:17">
      <c r="A265" s="13">
        <v>264</v>
      </c>
      <c r="B265" s="13" t="s">
        <v>1107</v>
      </c>
      <c r="C265" s="13" t="s">
        <v>490</v>
      </c>
      <c r="D265" s="13" t="s">
        <v>545</v>
      </c>
      <c r="E265" s="13" t="s">
        <v>44</v>
      </c>
      <c r="F265" s="13" t="s">
        <v>546</v>
      </c>
      <c r="G265" s="13" t="s">
        <v>493</v>
      </c>
      <c r="H265" s="14">
        <v>45790</v>
      </c>
      <c r="I265" s="14">
        <v>45790</v>
      </c>
      <c r="J265" s="14">
        <v>45817</v>
      </c>
      <c r="K265" s="14">
        <v>45802</v>
      </c>
      <c r="L265" s="14">
        <v>45869</v>
      </c>
      <c r="M265" s="14">
        <v>45809</v>
      </c>
      <c r="N265" s="14">
        <v>45812</v>
      </c>
      <c r="O265" s="14">
        <v>45816</v>
      </c>
      <c r="P265" s="14"/>
      <c r="Q265" s="13"/>
    </row>
    <row r="266" spans="1:17">
      <c r="A266" s="13">
        <v>265</v>
      </c>
      <c r="B266" s="13" t="s">
        <v>1107</v>
      </c>
      <c r="C266" s="13" t="s">
        <v>490</v>
      </c>
      <c r="D266" s="13" t="s">
        <v>547</v>
      </c>
      <c r="E266" s="13" t="s">
        <v>44</v>
      </c>
      <c r="F266" s="13" t="s">
        <v>548</v>
      </c>
      <c r="G266" s="13" t="s">
        <v>493</v>
      </c>
      <c r="H266" s="14">
        <v>45790</v>
      </c>
      <c r="I266" s="14">
        <v>45790</v>
      </c>
      <c r="J266" s="14">
        <v>45817</v>
      </c>
      <c r="K266" s="14">
        <v>45802</v>
      </c>
      <c r="L266" s="14">
        <v>45869</v>
      </c>
      <c r="M266" s="14">
        <v>45809</v>
      </c>
      <c r="N266" s="14">
        <v>45812</v>
      </c>
      <c r="O266" s="14">
        <v>45816</v>
      </c>
      <c r="P266" s="14"/>
      <c r="Q266" s="13"/>
    </row>
    <row r="267" spans="1:17">
      <c r="A267" s="13">
        <v>266</v>
      </c>
      <c r="B267" s="13" t="s">
        <v>1107</v>
      </c>
      <c r="C267" s="13" t="s">
        <v>490</v>
      </c>
      <c r="D267" s="13" t="s">
        <v>549</v>
      </c>
      <c r="E267" s="13" t="s">
        <v>44</v>
      </c>
      <c r="F267" s="13" t="s">
        <v>550</v>
      </c>
      <c r="G267" s="13" t="s">
        <v>493</v>
      </c>
      <c r="H267" s="14">
        <v>45790</v>
      </c>
      <c r="I267" s="14">
        <v>45790</v>
      </c>
      <c r="J267" s="14">
        <v>45817</v>
      </c>
      <c r="K267" s="14">
        <v>45802</v>
      </c>
      <c r="L267" s="14">
        <v>45869</v>
      </c>
      <c r="M267" s="14">
        <v>45809</v>
      </c>
      <c r="N267" s="14">
        <v>45812</v>
      </c>
      <c r="O267" s="14">
        <v>45816</v>
      </c>
      <c r="P267" s="14"/>
      <c r="Q267" s="13"/>
    </row>
    <row r="268" spans="1:17">
      <c r="A268" s="13">
        <v>267</v>
      </c>
      <c r="B268" s="13" t="s">
        <v>1107</v>
      </c>
      <c r="C268" s="13" t="s">
        <v>490</v>
      </c>
      <c r="D268" s="13" t="s">
        <v>551</v>
      </c>
      <c r="E268" s="13" t="s">
        <v>49</v>
      </c>
      <c r="F268" s="13" t="s">
        <v>552</v>
      </c>
      <c r="G268" s="13" t="s">
        <v>493</v>
      </c>
      <c r="H268" s="14">
        <v>45804</v>
      </c>
      <c r="I268" s="14">
        <v>45804</v>
      </c>
      <c r="J268" s="14">
        <v>45840</v>
      </c>
      <c r="K268" s="14">
        <v>45816</v>
      </c>
      <c r="L268" s="14">
        <v>45877</v>
      </c>
      <c r="M268" s="14">
        <v>45823</v>
      </c>
      <c r="N268" s="14">
        <v>45946</v>
      </c>
      <c r="O268" s="14">
        <v>45830</v>
      </c>
      <c r="P268" s="14"/>
      <c r="Q268" s="13"/>
    </row>
    <row r="269" spans="1:17">
      <c r="A269" s="13">
        <v>268</v>
      </c>
      <c r="B269" s="13" t="s">
        <v>1107</v>
      </c>
      <c r="C269" s="13" t="s">
        <v>490</v>
      </c>
      <c r="D269" s="13" t="s">
        <v>553</v>
      </c>
      <c r="E269" s="13" t="s">
        <v>49</v>
      </c>
      <c r="F269" s="13" t="s">
        <v>554</v>
      </c>
      <c r="G269" s="13" t="s">
        <v>493</v>
      </c>
      <c r="H269" s="14">
        <v>45804</v>
      </c>
      <c r="I269" s="14">
        <v>45804</v>
      </c>
      <c r="J269" s="14">
        <v>45840</v>
      </c>
      <c r="K269" s="14">
        <v>45816</v>
      </c>
      <c r="L269" s="14">
        <v>45877</v>
      </c>
      <c r="M269" s="14">
        <v>45823</v>
      </c>
      <c r="N269" s="14">
        <v>45946</v>
      </c>
      <c r="O269" s="14">
        <v>45830</v>
      </c>
      <c r="P269" s="14"/>
      <c r="Q269" s="13"/>
    </row>
    <row r="270" spans="1:17">
      <c r="A270" s="13">
        <v>269</v>
      </c>
      <c r="B270" s="13" t="s">
        <v>1107</v>
      </c>
      <c r="C270" s="13" t="s">
        <v>490</v>
      </c>
      <c r="D270" s="13" t="s">
        <v>555</v>
      </c>
      <c r="E270" s="13" t="s">
        <v>49</v>
      </c>
      <c r="F270" s="13" t="s">
        <v>556</v>
      </c>
      <c r="G270" s="13" t="s">
        <v>493</v>
      </c>
      <c r="H270" s="14">
        <v>45804</v>
      </c>
      <c r="I270" s="14">
        <v>45804</v>
      </c>
      <c r="J270" s="14">
        <v>45840</v>
      </c>
      <c r="K270" s="14">
        <v>45816</v>
      </c>
      <c r="L270" s="14">
        <v>45877</v>
      </c>
      <c r="M270" s="14">
        <v>45823</v>
      </c>
      <c r="N270" s="14">
        <v>45946</v>
      </c>
      <c r="O270" s="14">
        <v>45830</v>
      </c>
      <c r="P270" s="14"/>
      <c r="Q270" s="13"/>
    </row>
    <row r="271" spans="1:17">
      <c r="A271" s="13">
        <v>270</v>
      </c>
      <c r="B271" s="13" t="s">
        <v>1107</v>
      </c>
      <c r="C271" s="13" t="s">
        <v>490</v>
      </c>
      <c r="D271" s="13" t="s">
        <v>557</v>
      </c>
      <c r="E271" s="13" t="s">
        <v>49</v>
      </c>
      <c r="F271" s="13" t="s">
        <v>558</v>
      </c>
      <c r="G271" s="13" t="s">
        <v>493</v>
      </c>
      <c r="H271" s="14">
        <v>45804</v>
      </c>
      <c r="I271" s="14">
        <v>45804</v>
      </c>
      <c r="J271" s="14">
        <v>45840</v>
      </c>
      <c r="K271" s="14">
        <v>45816</v>
      </c>
      <c r="L271" s="14">
        <v>45877</v>
      </c>
      <c r="M271" s="14">
        <v>45823</v>
      </c>
      <c r="N271" s="14">
        <v>45946</v>
      </c>
      <c r="O271" s="14">
        <v>45830</v>
      </c>
      <c r="P271" s="14"/>
      <c r="Q271" s="13"/>
    </row>
    <row r="272" spans="1:17">
      <c r="A272" s="13">
        <v>271</v>
      </c>
      <c r="B272" s="13" t="s">
        <v>1107</v>
      </c>
      <c r="C272" s="13" t="s">
        <v>490</v>
      </c>
      <c r="D272" s="13" t="s">
        <v>559</v>
      </c>
      <c r="E272" s="13" t="s">
        <v>49</v>
      </c>
      <c r="F272" s="13" t="s">
        <v>560</v>
      </c>
      <c r="G272" s="13" t="s">
        <v>493</v>
      </c>
      <c r="H272" s="14">
        <v>45804</v>
      </c>
      <c r="I272" s="14">
        <v>45804</v>
      </c>
      <c r="J272" s="14">
        <v>45840</v>
      </c>
      <c r="K272" s="14">
        <v>45816</v>
      </c>
      <c r="L272" s="14">
        <v>45877</v>
      </c>
      <c r="M272" s="14">
        <v>45823</v>
      </c>
      <c r="N272" s="14">
        <v>45910</v>
      </c>
      <c r="O272" s="14">
        <v>45830</v>
      </c>
      <c r="P272" s="14"/>
      <c r="Q272" s="13"/>
    </row>
    <row r="273" spans="1:17">
      <c r="A273" s="13">
        <v>272</v>
      </c>
      <c r="B273" s="13" t="s">
        <v>1107</v>
      </c>
      <c r="C273" s="13" t="s">
        <v>490</v>
      </c>
      <c r="D273" s="13" t="s">
        <v>561</v>
      </c>
      <c r="E273" s="13" t="s">
        <v>54</v>
      </c>
      <c r="F273" s="13" t="s">
        <v>562</v>
      </c>
      <c r="G273" s="13" t="s">
        <v>493</v>
      </c>
      <c r="H273" s="14">
        <v>45821</v>
      </c>
      <c r="I273" s="14">
        <v>45821</v>
      </c>
      <c r="J273" s="14">
        <v>45847</v>
      </c>
      <c r="K273" s="14">
        <v>45833</v>
      </c>
      <c r="L273" s="14">
        <v>45883</v>
      </c>
      <c r="M273" s="14">
        <v>45840</v>
      </c>
      <c r="N273" s="14">
        <v>45946</v>
      </c>
      <c r="O273" s="14">
        <v>45847</v>
      </c>
      <c r="P273" s="14"/>
      <c r="Q273" s="13"/>
    </row>
    <row r="274" spans="1:17">
      <c r="A274" s="13">
        <v>273</v>
      </c>
      <c r="B274" s="13" t="s">
        <v>1107</v>
      </c>
      <c r="C274" s="13" t="s">
        <v>490</v>
      </c>
      <c r="D274" s="13" t="s">
        <v>563</v>
      </c>
      <c r="E274" s="13" t="s">
        <v>54</v>
      </c>
      <c r="F274" s="13" t="s">
        <v>564</v>
      </c>
      <c r="G274" s="13" t="s">
        <v>493</v>
      </c>
      <c r="H274" s="14">
        <v>45821</v>
      </c>
      <c r="I274" s="14">
        <v>45821</v>
      </c>
      <c r="J274" s="14">
        <v>45847</v>
      </c>
      <c r="K274" s="14">
        <v>45833</v>
      </c>
      <c r="L274" s="14">
        <v>45883</v>
      </c>
      <c r="M274" s="14">
        <v>45840</v>
      </c>
      <c r="N274" s="14">
        <v>45946</v>
      </c>
      <c r="O274" s="14">
        <v>45847</v>
      </c>
      <c r="P274" s="14"/>
      <c r="Q274" s="13"/>
    </row>
    <row r="275" spans="1:17">
      <c r="A275" s="13">
        <v>274</v>
      </c>
      <c r="B275" s="13" t="s">
        <v>1107</v>
      </c>
      <c r="C275" s="13" t="s">
        <v>490</v>
      </c>
      <c r="D275" s="13" t="s">
        <v>565</v>
      </c>
      <c r="E275" s="13" t="s">
        <v>54</v>
      </c>
      <c r="F275" s="13" t="s">
        <v>566</v>
      </c>
      <c r="G275" s="13" t="s">
        <v>493</v>
      </c>
      <c r="H275" s="14">
        <v>45821</v>
      </c>
      <c r="I275" s="14">
        <v>45821</v>
      </c>
      <c r="J275" s="14">
        <v>45847</v>
      </c>
      <c r="K275" s="14">
        <v>45833</v>
      </c>
      <c r="L275" s="14">
        <v>45883</v>
      </c>
      <c r="M275" s="14">
        <v>45840</v>
      </c>
      <c r="N275" s="14">
        <v>45946</v>
      </c>
      <c r="O275" s="14">
        <v>45847</v>
      </c>
      <c r="P275" s="14"/>
      <c r="Q275" s="13"/>
    </row>
    <row r="276" spans="1:17">
      <c r="A276" s="13">
        <v>275</v>
      </c>
      <c r="B276" s="13" t="s">
        <v>1107</v>
      </c>
      <c r="C276" s="13" t="s">
        <v>490</v>
      </c>
      <c r="D276" s="13" t="s">
        <v>567</v>
      </c>
      <c r="E276" s="13" t="s">
        <v>54</v>
      </c>
      <c r="F276" s="13" t="s">
        <v>568</v>
      </c>
      <c r="G276" s="13" t="s">
        <v>493</v>
      </c>
      <c r="H276" s="14">
        <v>45821</v>
      </c>
      <c r="I276" s="14">
        <v>45821</v>
      </c>
      <c r="J276" s="14">
        <v>45847</v>
      </c>
      <c r="K276" s="14">
        <v>45833</v>
      </c>
      <c r="L276" s="14">
        <v>45883</v>
      </c>
      <c r="M276" s="14">
        <v>45840</v>
      </c>
      <c r="N276" s="14">
        <v>45946</v>
      </c>
      <c r="O276" s="14">
        <v>45847</v>
      </c>
      <c r="P276" s="14"/>
      <c r="Q276" s="13"/>
    </row>
    <row r="277" spans="1:17">
      <c r="A277" s="13">
        <v>276</v>
      </c>
      <c r="B277" s="13" t="s">
        <v>1107</v>
      </c>
      <c r="C277" s="13" t="s">
        <v>490</v>
      </c>
      <c r="D277" s="13" t="s">
        <v>569</v>
      </c>
      <c r="E277" s="13" t="s">
        <v>54</v>
      </c>
      <c r="F277" s="13" t="s">
        <v>570</v>
      </c>
      <c r="G277" s="13" t="s">
        <v>493</v>
      </c>
      <c r="H277" s="14">
        <v>45821</v>
      </c>
      <c r="I277" s="14">
        <v>45821</v>
      </c>
      <c r="J277" s="14">
        <v>45847</v>
      </c>
      <c r="K277" s="14">
        <v>45833</v>
      </c>
      <c r="L277" s="14">
        <v>45883</v>
      </c>
      <c r="M277" s="14">
        <v>45840</v>
      </c>
      <c r="N277" s="14">
        <v>45910</v>
      </c>
      <c r="O277" s="14">
        <v>45847</v>
      </c>
      <c r="P277" s="14"/>
      <c r="Q277" s="13"/>
    </row>
    <row r="278" spans="1:17">
      <c r="A278" s="13">
        <v>277</v>
      </c>
      <c r="B278" s="13" t="s">
        <v>1107</v>
      </c>
      <c r="C278" s="13" t="s">
        <v>490</v>
      </c>
      <c r="D278" s="13" t="s">
        <v>571</v>
      </c>
      <c r="E278" s="13" t="s">
        <v>59</v>
      </c>
      <c r="F278" s="13" t="s">
        <v>572</v>
      </c>
      <c r="G278" s="13" t="s">
        <v>493</v>
      </c>
      <c r="H278" s="14">
        <v>45837</v>
      </c>
      <c r="I278" s="14">
        <v>45837</v>
      </c>
      <c r="J278" s="14">
        <v>45896</v>
      </c>
      <c r="K278" s="14">
        <v>45849</v>
      </c>
      <c r="L278" s="14"/>
      <c r="M278" s="14">
        <v>45856</v>
      </c>
      <c r="N278" s="14">
        <v>45946</v>
      </c>
      <c r="O278" s="14">
        <v>45863</v>
      </c>
      <c r="P278" s="14"/>
      <c r="Q278" s="13"/>
    </row>
    <row r="279" spans="1:17">
      <c r="A279" s="13">
        <v>278</v>
      </c>
      <c r="B279" s="13" t="s">
        <v>1107</v>
      </c>
      <c r="C279" s="13" t="s">
        <v>490</v>
      </c>
      <c r="D279" s="13" t="s">
        <v>573</v>
      </c>
      <c r="E279" s="13" t="s">
        <v>59</v>
      </c>
      <c r="F279" s="13" t="s">
        <v>574</v>
      </c>
      <c r="G279" s="13" t="s">
        <v>493</v>
      </c>
      <c r="H279" s="14">
        <v>45837</v>
      </c>
      <c r="I279" s="14">
        <v>45837</v>
      </c>
      <c r="J279" s="14">
        <v>45896</v>
      </c>
      <c r="K279" s="14">
        <v>45849</v>
      </c>
      <c r="L279" s="14"/>
      <c r="M279" s="14">
        <v>45856</v>
      </c>
      <c r="N279" s="14">
        <v>45946</v>
      </c>
      <c r="O279" s="14">
        <v>45863</v>
      </c>
      <c r="P279" s="14"/>
      <c r="Q279" s="13"/>
    </row>
    <row r="280" spans="1:17">
      <c r="A280" s="13">
        <v>279</v>
      </c>
      <c r="B280" s="13" t="s">
        <v>1107</v>
      </c>
      <c r="C280" s="13" t="s">
        <v>490</v>
      </c>
      <c r="D280" s="13" t="s">
        <v>575</v>
      </c>
      <c r="E280" s="13" t="s">
        <v>59</v>
      </c>
      <c r="F280" s="13" t="s">
        <v>576</v>
      </c>
      <c r="G280" s="13" t="s">
        <v>493</v>
      </c>
      <c r="H280" s="14">
        <v>45837</v>
      </c>
      <c r="I280" s="14">
        <v>45837</v>
      </c>
      <c r="J280" s="14">
        <v>45896</v>
      </c>
      <c r="K280" s="14">
        <v>45849</v>
      </c>
      <c r="L280" s="14"/>
      <c r="M280" s="14">
        <v>45856</v>
      </c>
      <c r="N280" s="14">
        <v>45946</v>
      </c>
      <c r="O280" s="14">
        <v>45863</v>
      </c>
      <c r="P280" s="14"/>
      <c r="Q280" s="13"/>
    </row>
    <row r="281" spans="1:17">
      <c r="A281" s="13">
        <v>280</v>
      </c>
      <c r="B281" s="13" t="s">
        <v>1107</v>
      </c>
      <c r="C281" s="13" t="s">
        <v>490</v>
      </c>
      <c r="D281" s="13" t="s">
        <v>577</v>
      </c>
      <c r="E281" s="13" t="s">
        <v>59</v>
      </c>
      <c r="F281" s="13" t="s">
        <v>578</v>
      </c>
      <c r="G281" s="13" t="s">
        <v>493</v>
      </c>
      <c r="H281" s="14">
        <v>45837</v>
      </c>
      <c r="I281" s="14">
        <v>45837</v>
      </c>
      <c r="J281" s="14">
        <v>45896</v>
      </c>
      <c r="K281" s="14">
        <v>45849</v>
      </c>
      <c r="L281" s="14"/>
      <c r="M281" s="14">
        <v>45856</v>
      </c>
      <c r="N281" s="14">
        <v>45946</v>
      </c>
      <c r="O281" s="14">
        <v>45863</v>
      </c>
      <c r="P281" s="14"/>
      <c r="Q281" s="13"/>
    </row>
    <row r="282" spans="1:17">
      <c r="A282" s="13">
        <v>281</v>
      </c>
      <c r="B282" s="13" t="s">
        <v>1107</v>
      </c>
      <c r="C282" s="13" t="s">
        <v>490</v>
      </c>
      <c r="D282" s="13" t="s">
        <v>579</v>
      </c>
      <c r="E282" s="13" t="s">
        <v>59</v>
      </c>
      <c r="F282" s="13" t="s">
        <v>580</v>
      </c>
      <c r="G282" s="13" t="s">
        <v>493</v>
      </c>
      <c r="H282" s="14">
        <v>45837</v>
      </c>
      <c r="I282" s="14">
        <v>45837</v>
      </c>
      <c r="J282" s="14">
        <v>45896</v>
      </c>
      <c r="K282" s="14">
        <v>45849</v>
      </c>
      <c r="L282" s="14"/>
      <c r="M282" s="14">
        <v>45856</v>
      </c>
      <c r="N282" s="14">
        <v>45946</v>
      </c>
      <c r="O282" s="14">
        <v>45863</v>
      </c>
      <c r="P282" s="14"/>
      <c r="Q282" s="13"/>
    </row>
    <row r="283" spans="1:17">
      <c r="A283" s="13">
        <v>282</v>
      </c>
      <c r="B283" s="13" t="s">
        <v>1107</v>
      </c>
      <c r="C283" s="13" t="s">
        <v>490</v>
      </c>
      <c r="D283" s="13" t="s">
        <v>581</v>
      </c>
      <c r="E283" s="13" t="s">
        <v>64</v>
      </c>
      <c r="F283" s="13" t="s">
        <v>582</v>
      </c>
      <c r="G283" s="13" t="s">
        <v>493</v>
      </c>
      <c r="H283" s="14">
        <v>45837</v>
      </c>
      <c r="I283" s="14">
        <v>45837</v>
      </c>
      <c r="J283" s="14">
        <v>45899</v>
      </c>
      <c r="K283" s="14">
        <v>45849</v>
      </c>
      <c r="L283" s="14"/>
      <c r="M283" s="14">
        <v>45856</v>
      </c>
      <c r="N283" s="14">
        <v>45959</v>
      </c>
      <c r="O283" s="14">
        <v>45863</v>
      </c>
      <c r="P283" s="14"/>
      <c r="Q283" s="13"/>
    </row>
    <row r="284" spans="1:17">
      <c r="A284" s="13">
        <v>283</v>
      </c>
      <c r="B284" s="13" t="s">
        <v>1107</v>
      </c>
      <c r="C284" s="13" t="s">
        <v>490</v>
      </c>
      <c r="D284" s="13" t="s">
        <v>583</v>
      </c>
      <c r="E284" s="13" t="s">
        <v>64</v>
      </c>
      <c r="F284" s="13" t="s">
        <v>584</v>
      </c>
      <c r="G284" s="13" t="s">
        <v>493</v>
      </c>
      <c r="H284" s="14">
        <v>45837</v>
      </c>
      <c r="I284" s="14">
        <v>45837</v>
      </c>
      <c r="J284" s="14">
        <v>45899</v>
      </c>
      <c r="K284" s="14">
        <v>45849</v>
      </c>
      <c r="L284" s="14"/>
      <c r="M284" s="14">
        <v>45856</v>
      </c>
      <c r="N284" s="14">
        <v>45959</v>
      </c>
      <c r="O284" s="14">
        <v>45863</v>
      </c>
      <c r="P284" s="14"/>
      <c r="Q284" s="13"/>
    </row>
    <row r="285" spans="1:17">
      <c r="A285" s="13">
        <v>284</v>
      </c>
      <c r="B285" s="13" t="s">
        <v>1107</v>
      </c>
      <c r="C285" s="13" t="s">
        <v>490</v>
      </c>
      <c r="D285" s="13" t="s">
        <v>585</v>
      </c>
      <c r="E285" s="13" t="s">
        <v>64</v>
      </c>
      <c r="F285" s="13" t="s">
        <v>586</v>
      </c>
      <c r="G285" s="13" t="s">
        <v>493</v>
      </c>
      <c r="H285" s="14">
        <v>45837</v>
      </c>
      <c r="I285" s="14">
        <v>45837</v>
      </c>
      <c r="J285" s="14">
        <v>45899</v>
      </c>
      <c r="K285" s="14">
        <v>45849</v>
      </c>
      <c r="L285" s="14"/>
      <c r="M285" s="14">
        <v>45856</v>
      </c>
      <c r="N285" s="14">
        <v>45959</v>
      </c>
      <c r="O285" s="14">
        <v>45863</v>
      </c>
      <c r="P285" s="14"/>
      <c r="Q285" s="13"/>
    </row>
    <row r="286" spans="1:17">
      <c r="A286" s="13">
        <v>285</v>
      </c>
      <c r="B286" s="13" t="s">
        <v>1107</v>
      </c>
      <c r="C286" s="13" t="s">
        <v>490</v>
      </c>
      <c r="D286" s="13" t="s">
        <v>587</v>
      </c>
      <c r="E286" s="13" t="s">
        <v>64</v>
      </c>
      <c r="F286" s="13" t="s">
        <v>588</v>
      </c>
      <c r="G286" s="13" t="s">
        <v>493</v>
      </c>
      <c r="H286" s="14">
        <v>45837</v>
      </c>
      <c r="I286" s="14">
        <v>45837</v>
      </c>
      <c r="J286" s="14">
        <v>45899</v>
      </c>
      <c r="K286" s="14">
        <v>45849</v>
      </c>
      <c r="L286" s="14"/>
      <c r="M286" s="14">
        <v>45856</v>
      </c>
      <c r="N286" s="14">
        <v>45959</v>
      </c>
      <c r="O286" s="14">
        <v>45863</v>
      </c>
      <c r="P286" s="14"/>
      <c r="Q286" s="13"/>
    </row>
    <row r="287" spans="1:17">
      <c r="A287" s="13">
        <v>286</v>
      </c>
      <c r="B287" s="13" t="s">
        <v>1107</v>
      </c>
      <c r="C287" s="13" t="s">
        <v>490</v>
      </c>
      <c r="D287" s="13" t="s">
        <v>589</v>
      </c>
      <c r="E287" s="13" t="s">
        <v>64</v>
      </c>
      <c r="F287" s="13" t="s">
        <v>590</v>
      </c>
      <c r="G287" s="13" t="s">
        <v>493</v>
      </c>
      <c r="H287" s="14">
        <v>45837</v>
      </c>
      <c r="I287" s="14">
        <v>45837</v>
      </c>
      <c r="J287" s="14">
        <v>45899</v>
      </c>
      <c r="K287" s="14">
        <v>45849</v>
      </c>
      <c r="L287" s="14"/>
      <c r="M287" s="14">
        <v>45856</v>
      </c>
      <c r="N287" s="14">
        <v>45959</v>
      </c>
      <c r="O287" s="14">
        <v>45863</v>
      </c>
      <c r="P287" s="14"/>
      <c r="Q287" s="13"/>
    </row>
    <row r="288" spans="1:17">
      <c r="A288" s="13">
        <v>287</v>
      </c>
      <c r="B288" s="13" t="s">
        <v>1107</v>
      </c>
      <c r="C288" s="13" t="s">
        <v>490</v>
      </c>
      <c r="D288" s="13" t="s">
        <v>591</v>
      </c>
      <c r="E288" s="13" t="s">
        <v>69</v>
      </c>
      <c r="F288" s="13" t="s">
        <v>592</v>
      </c>
      <c r="G288" s="13" t="s">
        <v>493</v>
      </c>
      <c r="H288" s="14">
        <v>45851</v>
      </c>
      <c r="I288" s="14">
        <v>45851</v>
      </c>
      <c r="J288" s="14">
        <v>45826</v>
      </c>
      <c r="K288" s="14">
        <v>45863</v>
      </c>
      <c r="L288" s="14"/>
      <c r="M288" s="14">
        <v>45870</v>
      </c>
      <c r="N288" s="14">
        <v>45850</v>
      </c>
      <c r="O288" s="14">
        <v>45877</v>
      </c>
      <c r="P288" s="14"/>
      <c r="Q288" s="13"/>
    </row>
    <row r="289" spans="1:17">
      <c r="A289" s="13">
        <v>288</v>
      </c>
      <c r="B289" s="13" t="s">
        <v>1107</v>
      </c>
      <c r="C289" s="13" t="s">
        <v>490</v>
      </c>
      <c r="D289" s="13" t="s">
        <v>593</v>
      </c>
      <c r="E289" s="13" t="s">
        <v>69</v>
      </c>
      <c r="F289" s="13" t="s">
        <v>594</v>
      </c>
      <c r="G289" s="13" t="s">
        <v>493</v>
      </c>
      <c r="H289" s="14">
        <v>45851</v>
      </c>
      <c r="I289" s="14">
        <v>45851</v>
      </c>
      <c r="J289" s="14">
        <v>45826</v>
      </c>
      <c r="K289" s="14">
        <v>45863</v>
      </c>
      <c r="L289" s="14"/>
      <c r="M289" s="14">
        <v>45870</v>
      </c>
      <c r="N289" s="14">
        <v>45850</v>
      </c>
      <c r="O289" s="14">
        <v>45877</v>
      </c>
      <c r="P289" s="14"/>
      <c r="Q289" s="13"/>
    </row>
    <row r="290" spans="1:17">
      <c r="A290" s="13">
        <v>289</v>
      </c>
      <c r="B290" s="13" t="s">
        <v>1107</v>
      </c>
      <c r="C290" s="13" t="s">
        <v>490</v>
      </c>
      <c r="D290" s="13" t="s">
        <v>595</v>
      </c>
      <c r="E290" s="13" t="s">
        <v>69</v>
      </c>
      <c r="F290" s="13" t="s">
        <v>596</v>
      </c>
      <c r="G290" s="13" t="s">
        <v>493</v>
      </c>
      <c r="H290" s="14">
        <v>45851</v>
      </c>
      <c r="I290" s="14">
        <v>45851</v>
      </c>
      <c r="J290" s="14">
        <v>45826</v>
      </c>
      <c r="K290" s="14">
        <v>45863</v>
      </c>
      <c r="L290" s="14"/>
      <c r="M290" s="14">
        <v>45870</v>
      </c>
      <c r="N290" s="14">
        <v>45850</v>
      </c>
      <c r="O290" s="14">
        <v>45877</v>
      </c>
      <c r="P290" s="14"/>
      <c r="Q290" s="13"/>
    </row>
    <row r="291" spans="1:17">
      <c r="A291" s="13">
        <v>290</v>
      </c>
      <c r="B291" s="13" t="s">
        <v>1107</v>
      </c>
      <c r="C291" s="13" t="s">
        <v>490</v>
      </c>
      <c r="D291" s="13" t="s">
        <v>597</v>
      </c>
      <c r="E291" s="13" t="s">
        <v>69</v>
      </c>
      <c r="F291" s="13" t="s">
        <v>598</v>
      </c>
      <c r="G291" s="13" t="s">
        <v>493</v>
      </c>
      <c r="H291" s="14">
        <v>45851</v>
      </c>
      <c r="I291" s="14">
        <v>45851</v>
      </c>
      <c r="J291" s="14">
        <v>45826</v>
      </c>
      <c r="K291" s="14">
        <v>45863</v>
      </c>
      <c r="L291" s="14"/>
      <c r="M291" s="14">
        <v>45870</v>
      </c>
      <c r="N291" s="14">
        <v>45850</v>
      </c>
      <c r="O291" s="14">
        <v>45877</v>
      </c>
      <c r="P291" s="14"/>
      <c r="Q291" s="13"/>
    </row>
    <row r="292" spans="1:17">
      <c r="A292" s="13">
        <v>291</v>
      </c>
      <c r="B292" s="13" t="s">
        <v>1107</v>
      </c>
      <c r="C292" s="13" t="s">
        <v>490</v>
      </c>
      <c r="D292" s="13" t="s">
        <v>599</v>
      </c>
      <c r="E292" s="13" t="s">
        <v>69</v>
      </c>
      <c r="F292" s="13" t="s">
        <v>600</v>
      </c>
      <c r="G292" s="13" t="s">
        <v>493</v>
      </c>
      <c r="H292" s="14">
        <v>45851</v>
      </c>
      <c r="I292" s="14">
        <v>45851</v>
      </c>
      <c r="J292" s="14">
        <v>45826</v>
      </c>
      <c r="K292" s="14">
        <v>45863</v>
      </c>
      <c r="L292" s="14"/>
      <c r="M292" s="14">
        <v>45870</v>
      </c>
      <c r="N292" s="14">
        <v>45850</v>
      </c>
      <c r="O292" s="14">
        <v>45877</v>
      </c>
      <c r="P292" s="14"/>
      <c r="Q292" s="13"/>
    </row>
    <row r="293" spans="1:17">
      <c r="A293" s="13">
        <v>292</v>
      </c>
      <c r="B293" s="13" t="s">
        <v>1107</v>
      </c>
      <c r="C293" s="13" t="s">
        <v>490</v>
      </c>
      <c r="D293" s="13" t="s">
        <v>601</v>
      </c>
      <c r="E293" s="13" t="s">
        <v>74</v>
      </c>
      <c r="F293" s="13" t="s">
        <v>602</v>
      </c>
      <c r="G293" s="13" t="s">
        <v>493</v>
      </c>
      <c r="H293" s="14">
        <v>45851</v>
      </c>
      <c r="I293" s="14">
        <v>45851</v>
      </c>
      <c r="J293" s="14">
        <v>45910</v>
      </c>
      <c r="K293" s="14">
        <v>45863</v>
      </c>
      <c r="L293" s="14"/>
      <c r="M293" s="14">
        <v>45870</v>
      </c>
      <c r="N293" s="14">
        <v>45946</v>
      </c>
      <c r="O293" s="14">
        <v>45877</v>
      </c>
      <c r="P293" s="14"/>
      <c r="Q293" s="13"/>
    </row>
    <row r="294" spans="1:17">
      <c r="A294" s="13">
        <v>293</v>
      </c>
      <c r="B294" s="13" t="s">
        <v>1107</v>
      </c>
      <c r="C294" s="13" t="s">
        <v>490</v>
      </c>
      <c r="D294" s="13" t="s">
        <v>603</v>
      </c>
      <c r="E294" s="13" t="s">
        <v>74</v>
      </c>
      <c r="F294" s="13" t="s">
        <v>604</v>
      </c>
      <c r="G294" s="13" t="s">
        <v>493</v>
      </c>
      <c r="H294" s="14">
        <v>45851</v>
      </c>
      <c r="I294" s="14">
        <v>45851</v>
      </c>
      <c r="J294" s="14">
        <v>45910</v>
      </c>
      <c r="K294" s="14">
        <v>45863</v>
      </c>
      <c r="L294" s="14"/>
      <c r="M294" s="14">
        <v>45870</v>
      </c>
      <c r="N294" s="14">
        <v>45946</v>
      </c>
      <c r="O294" s="14">
        <v>45877</v>
      </c>
      <c r="P294" s="14"/>
      <c r="Q294" s="13"/>
    </row>
    <row r="295" spans="1:17">
      <c r="A295" s="13">
        <v>294</v>
      </c>
      <c r="B295" s="13" t="s">
        <v>1107</v>
      </c>
      <c r="C295" s="13" t="s">
        <v>490</v>
      </c>
      <c r="D295" s="13" t="s">
        <v>605</v>
      </c>
      <c r="E295" s="13" t="s">
        <v>74</v>
      </c>
      <c r="F295" s="13" t="s">
        <v>606</v>
      </c>
      <c r="G295" s="13" t="s">
        <v>493</v>
      </c>
      <c r="H295" s="14">
        <v>45848</v>
      </c>
      <c r="I295" s="14">
        <v>45848</v>
      </c>
      <c r="J295" s="14">
        <v>45910</v>
      </c>
      <c r="K295" s="14">
        <v>45860</v>
      </c>
      <c r="L295" s="14"/>
      <c r="M295" s="14">
        <v>45867</v>
      </c>
      <c r="N295" s="14">
        <v>45946</v>
      </c>
      <c r="O295" s="14">
        <v>45874</v>
      </c>
      <c r="P295" s="14"/>
      <c r="Q295" s="13"/>
    </row>
    <row r="296" spans="1:17">
      <c r="A296" s="13">
        <v>295</v>
      </c>
      <c r="B296" s="13" t="s">
        <v>1107</v>
      </c>
      <c r="C296" s="13" t="s">
        <v>490</v>
      </c>
      <c r="D296" s="13" t="s">
        <v>607</v>
      </c>
      <c r="E296" s="13" t="s">
        <v>74</v>
      </c>
      <c r="F296" s="13" t="s">
        <v>608</v>
      </c>
      <c r="G296" s="13" t="s">
        <v>493</v>
      </c>
      <c r="H296" s="14">
        <v>45851</v>
      </c>
      <c r="I296" s="14">
        <v>45851</v>
      </c>
      <c r="J296" s="14">
        <v>45910</v>
      </c>
      <c r="K296" s="14">
        <v>45863</v>
      </c>
      <c r="L296" s="14"/>
      <c r="M296" s="14">
        <v>45870</v>
      </c>
      <c r="N296" s="14">
        <v>45946</v>
      </c>
      <c r="O296" s="14">
        <v>45877</v>
      </c>
      <c r="P296" s="14"/>
      <c r="Q296" s="13"/>
    </row>
    <row r="297" spans="1:17">
      <c r="A297" s="13">
        <v>296</v>
      </c>
      <c r="B297" s="13" t="s">
        <v>1107</v>
      </c>
      <c r="C297" s="13" t="s">
        <v>490</v>
      </c>
      <c r="D297" s="13" t="s">
        <v>609</v>
      </c>
      <c r="E297" s="13" t="s">
        <v>74</v>
      </c>
      <c r="F297" s="13" t="s">
        <v>610</v>
      </c>
      <c r="G297" s="13" t="s">
        <v>493</v>
      </c>
      <c r="H297" s="14">
        <v>45851</v>
      </c>
      <c r="I297" s="14">
        <v>45851</v>
      </c>
      <c r="J297" s="14">
        <v>45910</v>
      </c>
      <c r="K297" s="14">
        <v>45863</v>
      </c>
      <c r="L297" s="14"/>
      <c r="M297" s="14">
        <v>45870</v>
      </c>
      <c r="N297" s="14">
        <v>45946</v>
      </c>
      <c r="O297" s="14">
        <v>45877</v>
      </c>
      <c r="P297" s="14"/>
      <c r="Q297" s="13"/>
    </row>
    <row r="298" spans="1:17">
      <c r="A298" s="13">
        <v>297</v>
      </c>
      <c r="B298" s="13" t="s">
        <v>1107</v>
      </c>
      <c r="C298" s="13" t="s">
        <v>490</v>
      </c>
      <c r="D298" s="13" t="s">
        <v>611</v>
      </c>
      <c r="E298" s="13" t="s">
        <v>79</v>
      </c>
      <c r="F298" s="13" t="s">
        <v>612</v>
      </c>
      <c r="G298" s="13" t="s">
        <v>493</v>
      </c>
      <c r="H298" s="14">
        <v>45976</v>
      </c>
      <c r="I298" s="14">
        <v>45863</v>
      </c>
      <c r="J298" s="14">
        <v>45974</v>
      </c>
      <c r="K298" s="14">
        <v>45875</v>
      </c>
      <c r="L298" s="14"/>
      <c r="M298" s="14">
        <v>45882</v>
      </c>
      <c r="N298" s="14">
        <v>46071</v>
      </c>
      <c r="O298" s="14">
        <v>45889</v>
      </c>
      <c r="P298" s="14"/>
      <c r="Q298" s="13"/>
    </row>
    <row r="299" spans="1:17">
      <c r="A299" s="13">
        <v>298</v>
      </c>
      <c r="B299" s="13" t="s">
        <v>1107</v>
      </c>
      <c r="C299" s="13" t="s">
        <v>490</v>
      </c>
      <c r="D299" s="13" t="s">
        <v>613</v>
      </c>
      <c r="E299" s="13" t="s">
        <v>79</v>
      </c>
      <c r="F299" s="13" t="s">
        <v>614</v>
      </c>
      <c r="G299" s="13" t="s">
        <v>493</v>
      </c>
      <c r="H299" s="14">
        <v>45976</v>
      </c>
      <c r="I299" s="14">
        <v>45863</v>
      </c>
      <c r="J299" s="14">
        <v>45986</v>
      </c>
      <c r="K299" s="14">
        <v>45875</v>
      </c>
      <c r="L299" s="14"/>
      <c r="M299" s="14">
        <v>45882</v>
      </c>
      <c r="N299" s="14">
        <v>46071</v>
      </c>
      <c r="O299" s="14">
        <v>45889</v>
      </c>
      <c r="P299" s="14"/>
      <c r="Q299" s="13"/>
    </row>
    <row r="300" spans="1:17">
      <c r="A300" s="13">
        <v>299</v>
      </c>
      <c r="B300" s="13" t="s">
        <v>1107</v>
      </c>
      <c r="C300" s="13" t="s">
        <v>490</v>
      </c>
      <c r="D300" s="13" t="s">
        <v>615</v>
      </c>
      <c r="E300" s="13" t="s">
        <v>141</v>
      </c>
      <c r="F300" s="13" t="s">
        <v>616</v>
      </c>
      <c r="G300" s="13" t="s">
        <v>493</v>
      </c>
      <c r="H300" s="14">
        <v>45976</v>
      </c>
      <c r="I300" s="14">
        <v>45863</v>
      </c>
      <c r="J300" s="14">
        <v>45974</v>
      </c>
      <c r="K300" s="14">
        <v>45875</v>
      </c>
      <c r="L300" s="14"/>
      <c r="M300" s="14">
        <v>45882</v>
      </c>
      <c r="N300" s="14">
        <v>46071</v>
      </c>
      <c r="O300" s="14">
        <v>45889</v>
      </c>
      <c r="P300" s="14"/>
      <c r="Q300" s="13"/>
    </row>
    <row r="301" spans="1:17">
      <c r="A301" s="13">
        <v>300</v>
      </c>
      <c r="B301" s="13" t="s">
        <v>1107</v>
      </c>
      <c r="C301" s="13" t="s">
        <v>490</v>
      </c>
      <c r="D301" s="13" t="s">
        <v>617</v>
      </c>
      <c r="E301" s="13" t="s">
        <v>97</v>
      </c>
      <c r="F301" s="13" t="s">
        <v>618</v>
      </c>
      <c r="G301" s="13" t="s">
        <v>493</v>
      </c>
      <c r="H301" s="14">
        <v>45863</v>
      </c>
      <c r="I301" s="14">
        <v>45863</v>
      </c>
      <c r="J301" s="14">
        <v>45751</v>
      </c>
      <c r="K301" s="14">
        <v>45875</v>
      </c>
      <c r="L301" s="14">
        <v>45759</v>
      </c>
      <c r="M301" s="14">
        <v>45882</v>
      </c>
      <c r="N301" s="14">
        <v>45808</v>
      </c>
      <c r="O301" s="14">
        <v>45889</v>
      </c>
      <c r="P301" s="14"/>
      <c r="Q301" s="13"/>
    </row>
    <row r="302" spans="1:17">
      <c r="A302" s="13">
        <v>301</v>
      </c>
      <c r="B302" s="13" t="s">
        <v>1107</v>
      </c>
      <c r="C302" s="13" t="s">
        <v>490</v>
      </c>
      <c r="D302" s="13" t="s">
        <v>619</v>
      </c>
      <c r="E302" s="13" t="s">
        <v>18</v>
      </c>
      <c r="F302" s="13" t="s">
        <v>620</v>
      </c>
      <c r="G302" s="13" t="s">
        <v>493</v>
      </c>
      <c r="H302" s="14">
        <v>45747</v>
      </c>
      <c r="I302" s="14">
        <v>45747</v>
      </c>
      <c r="J302" s="14">
        <v>45751</v>
      </c>
      <c r="K302" s="14">
        <v>45759</v>
      </c>
      <c r="L302" s="14">
        <v>45759</v>
      </c>
      <c r="M302" s="14">
        <v>45766</v>
      </c>
      <c r="N302" s="14">
        <v>45808</v>
      </c>
      <c r="O302" s="14">
        <v>45773</v>
      </c>
      <c r="P302" s="14"/>
      <c r="Q302" s="13"/>
    </row>
    <row r="303" spans="1:17">
      <c r="A303" s="13">
        <v>302</v>
      </c>
      <c r="B303" s="13" t="s">
        <v>1107</v>
      </c>
      <c r="C303" s="13" t="s">
        <v>490</v>
      </c>
      <c r="D303" s="13" t="s">
        <v>621</v>
      </c>
      <c r="E303" s="13" t="s">
        <v>97</v>
      </c>
      <c r="F303" s="13" t="s">
        <v>622</v>
      </c>
      <c r="G303" s="13" t="s">
        <v>493</v>
      </c>
      <c r="H303" s="14">
        <v>45747</v>
      </c>
      <c r="I303" s="14">
        <v>45747</v>
      </c>
      <c r="J303" s="14">
        <v>45898</v>
      </c>
      <c r="K303" s="14">
        <v>45759</v>
      </c>
      <c r="L303" s="14"/>
      <c r="M303" s="14">
        <v>45766</v>
      </c>
      <c r="N303" s="14">
        <v>45898</v>
      </c>
      <c r="O303" s="14">
        <v>45773</v>
      </c>
      <c r="P303" s="14"/>
      <c r="Q303" s="13"/>
    </row>
    <row r="304" spans="1:17">
      <c r="A304" s="13">
        <v>303</v>
      </c>
      <c r="B304" s="13" t="s">
        <v>1107</v>
      </c>
      <c r="C304" s="13" t="s">
        <v>490</v>
      </c>
      <c r="D304" s="13" t="s">
        <v>623</v>
      </c>
      <c r="E304" s="13" t="s">
        <v>97</v>
      </c>
      <c r="F304" s="13" t="s">
        <v>624</v>
      </c>
      <c r="G304" s="13"/>
      <c r="H304" s="14">
        <v>45730</v>
      </c>
      <c r="I304" s="14">
        <v>45730</v>
      </c>
      <c r="J304" s="14">
        <v>45730</v>
      </c>
      <c r="K304" s="14">
        <v>45748</v>
      </c>
      <c r="L304" s="14">
        <v>45730</v>
      </c>
      <c r="M304" s="14">
        <v>45757</v>
      </c>
      <c r="N304" s="14">
        <v>45730</v>
      </c>
      <c r="O304" s="14">
        <v>45764</v>
      </c>
      <c r="P304" s="14"/>
      <c r="Q304" s="13"/>
    </row>
    <row r="305" spans="1:17">
      <c r="A305" s="13">
        <v>304</v>
      </c>
      <c r="B305" s="13" t="s">
        <v>1107</v>
      </c>
      <c r="C305" s="13" t="s">
        <v>490</v>
      </c>
      <c r="D305" s="13" t="s">
        <v>625</v>
      </c>
      <c r="E305" s="13" t="s">
        <v>97</v>
      </c>
      <c r="F305" s="13" t="s">
        <v>626</v>
      </c>
      <c r="G305" s="13"/>
      <c r="H305" s="14">
        <v>45863</v>
      </c>
      <c r="I305" s="14">
        <v>45863</v>
      </c>
      <c r="J305" s="14">
        <v>45898</v>
      </c>
      <c r="K305" s="14">
        <v>45881</v>
      </c>
      <c r="L305" s="14"/>
      <c r="M305" s="14">
        <v>45890</v>
      </c>
      <c r="N305" s="14">
        <v>45898</v>
      </c>
      <c r="O305" s="14">
        <v>45897</v>
      </c>
      <c r="P305" s="14"/>
      <c r="Q305" s="13"/>
    </row>
    <row r="306" spans="1:17">
      <c r="A306" s="13">
        <v>305</v>
      </c>
      <c r="B306" s="13" t="s">
        <v>1107</v>
      </c>
      <c r="C306" s="13" t="s">
        <v>490</v>
      </c>
      <c r="D306" s="13" t="s">
        <v>627</v>
      </c>
      <c r="E306" s="13" t="s">
        <v>97</v>
      </c>
      <c r="F306" s="13" t="s">
        <v>627</v>
      </c>
      <c r="G306" s="13"/>
      <c r="H306" s="14">
        <v>45863</v>
      </c>
      <c r="I306" s="14">
        <v>45863</v>
      </c>
      <c r="J306" s="14">
        <v>45898</v>
      </c>
      <c r="K306" s="14">
        <v>45881</v>
      </c>
      <c r="L306" s="14"/>
      <c r="M306" s="14">
        <v>45890</v>
      </c>
      <c r="N306" s="14">
        <v>45898</v>
      </c>
      <c r="O306" s="14">
        <v>45897</v>
      </c>
      <c r="P306" s="14"/>
      <c r="Q306" s="13"/>
    </row>
    <row r="307" spans="1:17">
      <c r="A307" s="13">
        <v>306</v>
      </c>
      <c r="B307" s="13" t="s">
        <v>1107</v>
      </c>
      <c r="C307" s="13" t="s">
        <v>490</v>
      </c>
      <c r="D307" s="13" t="s">
        <v>628</v>
      </c>
      <c r="E307" s="13" t="s">
        <v>97</v>
      </c>
      <c r="F307" s="13" t="s">
        <v>628</v>
      </c>
      <c r="G307" s="13"/>
      <c r="H307" s="14">
        <v>45863</v>
      </c>
      <c r="I307" s="14">
        <v>45863</v>
      </c>
      <c r="J307" s="14">
        <v>45898</v>
      </c>
      <c r="K307" s="14">
        <v>45881</v>
      </c>
      <c r="L307" s="14"/>
      <c r="M307" s="14">
        <v>45890</v>
      </c>
      <c r="N307" s="14">
        <v>45898</v>
      </c>
      <c r="O307" s="14">
        <v>45897</v>
      </c>
      <c r="P307" s="14"/>
      <c r="Q307" s="13"/>
    </row>
    <row r="308" spans="1:17">
      <c r="A308" s="13">
        <v>307</v>
      </c>
      <c r="B308" s="13" t="s">
        <v>1107</v>
      </c>
      <c r="C308" s="13" t="s">
        <v>490</v>
      </c>
      <c r="D308" s="13" t="s">
        <v>629</v>
      </c>
      <c r="E308" s="13" t="s">
        <v>97</v>
      </c>
      <c r="F308" s="13" t="s">
        <v>630</v>
      </c>
      <c r="G308" s="13"/>
      <c r="H308" s="14">
        <v>45730</v>
      </c>
      <c r="I308" s="14">
        <v>45730</v>
      </c>
      <c r="J308" s="14">
        <v>45730</v>
      </c>
      <c r="K308" s="14">
        <v>45748</v>
      </c>
      <c r="L308" s="14">
        <v>45730</v>
      </c>
      <c r="M308" s="14">
        <v>45757</v>
      </c>
      <c r="N308" s="14">
        <v>45730</v>
      </c>
      <c r="O308" s="14">
        <v>45764</v>
      </c>
      <c r="P308" s="14"/>
      <c r="Q308" s="13"/>
    </row>
    <row r="309" spans="1:17">
      <c r="A309" s="13">
        <v>308</v>
      </c>
      <c r="B309" s="13" t="s">
        <v>1107</v>
      </c>
      <c r="C309" s="13" t="s">
        <v>490</v>
      </c>
      <c r="D309" s="13" t="s">
        <v>631</v>
      </c>
      <c r="E309" s="13" t="s">
        <v>97</v>
      </c>
      <c r="F309" s="13" t="s">
        <v>632</v>
      </c>
      <c r="G309" s="13"/>
      <c r="H309" s="14">
        <v>45730</v>
      </c>
      <c r="I309" s="14">
        <v>45730</v>
      </c>
      <c r="J309" s="14">
        <v>45730</v>
      </c>
      <c r="K309" s="14">
        <v>45748</v>
      </c>
      <c r="L309" s="14">
        <v>45730</v>
      </c>
      <c r="M309" s="14">
        <v>45757</v>
      </c>
      <c r="N309" s="14">
        <v>45730</v>
      </c>
      <c r="O309" s="14">
        <v>45764</v>
      </c>
      <c r="P309" s="14"/>
      <c r="Q309" s="13"/>
    </row>
    <row r="310" spans="1:17">
      <c r="A310" s="13">
        <v>309</v>
      </c>
      <c r="B310" s="13" t="s">
        <v>1107</v>
      </c>
      <c r="C310" s="13" t="s">
        <v>490</v>
      </c>
      <c r="D310" s="13" t="s">
        <v>633</v>
      </c>
      <c r="E310" s="13" t="s">
        <v>97</v>
      </c>
      <c r="F310" s="13" t="s">
        <v>634</v>
      </c>
      <c r="G310" s="13"/>
      <c r="H310" s="14">
        <v>45863</v>
      </c>
      <c r="I310" s="14">
        <v>45863</v>
      </c>
      <c r="J310" s="14">
        <v>45898</v>
      </c>
      <c r="K310" s="14">
        <v>45881</v>
      </c>
      <c r="L310" s="14"/>
      <c r="M310" s="14">
        <v>45890</v>
      </c>
      <c r="N310" s="14">
        <v>45898</v>
      </c>
      <c r="O310" s="14">
        <v>45897</v>
      </c>
      <c r="P310" s="14"/>
      <c r="Q310" s="13"/>
    </row>
    <row r="311" spans="1:17">
      <c r="A311" s="13">
        <v>310</v>
      </c>
      <c r="B311" s="13" t="s">
        <v>1107</v>
      </c>
      <c r="C311" s="13" t="s">
        <v>490</v>
      </c>
      <c r="D311" s="13" t="s">
        <v>635</v>
      </c>
      <c r="E311" s="13" t="s">
        <v>97</v>
      </c>
      <c r="F311" s="13" t="s">
        <v>636</v>
      </c>
      <c r="G311" s="13"/>
      <c r="H311" s="14">
        <v>45863</v>
      </c>
      <c r="I311" s="14">
        <v>45863</v>
      </c>
      <c r="J311" s="14">
        <v>45730</v>
      </c>
      <c r="K311" s="14" t="s">
        <v>637</v>
      </c>
      <c r="L311" s="14" t="s">
        <v>637</v>
      </c>
      <c r="M311" s="14">
        <v>45741</v>
      </c>
      <c r="N311" s="14">
        <v>45730</v>
      </c>
      <c r="O311" s="14">
        <v>45748</v>
      </c>
      <c r="P311" s="14"/>
      <c r="Q311" s="13"/>
    </row>
    <row r="312" spans="1:17">
      <c r="A312" s="13">
        <v>311</v>
      </c>
      <c r="B312" s="13" t="s">
        <v>1107</v>
      </c>
      <c r="C312" s="13" t="s">
        <v>490</v>
      </c>
      <c r="D312" s="13" t="s">
        <v>638</v>
      </c>
      <c r="E312" s="13" t="s">
        <v>97</v>
      </c>
      <c r="F312" s="13" t="s">
        <v>639</v>
      </c>
      <c r="G312" s="13" t="s">
        <v>493</v>
      </c>
      <c r="H312" s="14">
        <v>45991</v>
      </c>
      <c r="I312" s="14">
        <v>45863</v>
      </c>
      <c r="J312" s="14">
        <v>46034</v>
      </c>
      <c r="K312" s="14">
        <v>46007</v>
      </c>
      <c r="L312" s="14"/>
      <c r="M312" s="14">
        <v>46016</v>
      </c>
      <c r="N312" s="14"/>
      <c r="O312" s="14">
        <v>46023</v>
      </c>
      <c r="P312" s="14"/>
      <c r="Q312" s="13"/>
    </row>
    <row r="313" spans="1:17">
      <c r="A313" s="13">
        <v>312</v>
      </c>
      <c r="B313" s="13" t="s">
        <v>1107</v>
      </c>
      <c r="C313" s="13" t="s">
        <v>490</v>
      </c>
      <c r="D313" s="13" t="s">
        <v>640</v>
      </c>
      <c r="E313" s="13" t="s">
        <v>97</v>
      </c>
      <c r="F313" s="13" t="s">
        <v>641</v>
      </c>
      <c r="G313" s="13"/>
      <c r="H313" s="14">
        <v>45863</v>
      </c>
      <c r="I313" s="14">
        <v>45863</v>
      </c>
      <c r="J313" s="14">
        <v>45898</v>
      </c>
      <c r="K313" s="14">
        <v>45881</v>
      </c>
      <c r="L313" s="14"/>
      <c r="M313" s="14">
        <v>45890</v>
      </c>
      <c r="N313" s="14">
        <v>45898</v>
      </c>
      <c r="O313" s="14">
        <v>45897</v>
      </c>
      <c r="P313" s="14"/>
      <c r="Q313" s="13"/>
    </row>
    <row r="314" spans="1:17">
      <c r="A314" s="13">
        <v>313</v>
      </c>
      <c r="B314" s="13" t="s">
        <v>1107</v>
      </c>
      <c r="C314" s="13" t="s">
        <v>15</v>
      </c>
      <c r="D314" s="13" t="s">
        <v>642</v>
      </c>
      <c r="E314" s="13" t="s">
        <v>18</v>
      </c>
      <c r="F314" s="13" t="s">
        <v>643</v>
      </c>
      <c r="G314" s="13" t="s">
        <v>644</v>
      </c>
      <c r="H314" s="14">
        <v>45747</v>
      </c>
      <c r="I314" s="14">
        <v>45747</v>
      </c>
      <c r="J314" s="14">
        <v>45751</v>
      </c>
      <c r="K314" s="14">
        <v>45759</v>
      </c>
      <c r="L314" s="14"/>
      <c r="M314" s="14">
        <v>45766</v>
      </c>
      <c r="N314" s="14">
        <v>45808</v>
      </c>
      <c r="O314" s="14">
        <v>45773</v>
      </c>
      <c r="P314" s="14"/>
      <c r="Q314" s="13"/>
    </row>
    <row r="315" spans="1:17">
      <c r="A315" s="13">
        <v>314</v>
      </c>
      <c r="B315" s="13" t="s">
        <v>1107</v>
      </c>
      <c r="C315" s="13" t="s">
        <v>15</v>
      </c>
      <c r="D315" s="13" t="s">
        <v>645</v>
      </c>
      <c r="E315" s="13" t="s">
        <v>18</v>
      </c>
      <c r="F315" s="13" t="s">
        <v>646</v>
      </c>
      <c r="G315" s="13" t="s">
        <v>644</v>
      </c>
      <c r="H315" s="14">
        <v>45747</v>
      </c>
      <c r="I315" s="14">
        <v>45747</v>
      </c>
      <c r="J315" s="14">
        <v>45751</v>
      </c>
      <c r="K315" s="14">
        <v>45759</v>
      </c>
      <c r="L315" s="14"/>
      <c r="M315" s="14">
        <v>45766</v>
      </c>
      <c r="N315" s="14">
        <v>45808</v>
      </c>
      <c r="O315" s="14">
        <v>45773</v>
      </c>
      <c r="P315" s="14"/>
      <c r="Q315" s="13"/>
    </row>
    <row r="316" spans="1:17">
      <c r="A316" s="13">
        <v>315</v>
      </c>
      <c r="B316" s="13" t="s">
        <v>1107</v>
      </c>
      <c r="C316" s="13" t="s">
        <v>15</v>
      </c>
      <c r="D316" s="13" t="s">
        <v>647</v>
      </c>
      <c r="E316" s="13" t="s">
        <v>24</v>
      </c>
      <c r="F316" s="13" t="s">
        <v>648</v>
      </c>
      <c r="G316" s="13" t="s">
        <v>644</v>
      </c>
      <c r="H316" s="14">
        <v>45747</v>
      </c>
      <c r="I316" s="14">
        <v>45747</v>
      </c>
      <c r="J316" s="14">
        <v>45754</v>
      </c>
      <c r="K316" s="14">
        <v>45759</v>
      </c>
      <c r="L316" s="14"/>
      <c r="M316" s="14">
        <v>45766</v>
      </c>
      <c r="N316" s="14">
        <v>45812</v>
      </c>
      <c r="O316" s="14">
        <v>45773</v>
      </c>
      <c r="P316" s="14"/>
      <c r="Q316" s="13"/>
    </row>
    <row r="317" spans="1:17">
      <c r="A317" s="13">
        <v>316</v>
      </c>
      <c r="B317" s="13" t="s">
        <v>1107</v>
      </c>
      <c r="C317" s="13" t="s">
        <v>15</v>
      </c>
      <c r="D317" s="13" t="s">
        <v>649</v>
      </c>
      <c r="E317" s="13" t="s">
        <v>24</v>
      </c>
      <c r="F317" s="13" t="s">
        <v>650</v>
      </c>
      <c r="G317" s="13" t="s">
        <v>644</v>
      </c>
      <c r="H317" s="14">
        <v>45747</v>
      </c>
      <c r="I317" s="14">
        <v>45747</v>
      </c>
      <c r="J317" s="14">
        <v>45754</v>
      </c>
      <c r="K317" s="14">
        <v>45759</v>
      </c>
      <c r="L317" s="14"/>
      <c r="M317" s="14">
        <v>45766</v>
      </c>
      <c r="N317" s="14">
        <v>45812</v>
      </c>
      <c r="O317" s="14">
        <v>45773</v>
      </c>
      <c r="P317" s="14"/>
      <c r="Q317" s="13"/>
    </row>
    <row r="318" spans="1:17">
      <c r="A318" s="13">
        <v>317</v>
      </c>
      <c r="B318" s="13" t="s">
        <v>1107</v>
      </c>
      <c r="C318" s="13" t="s">
        <v>15</v>
      </c>
      <c r="D318" s="13" t="s">
        <v>651</v>
      </c>
      <c r="E318" s="13" t="s">
        <v>29</v>
      </c>
      <c r="F318" s="13" t="s">
        <v>652</v>
      </c>
      <c r="G318" s="13" t="s">
        <v>644</v>
      </c>
      <c r="H318" s="14">
        <v>45976</v>
      </c>
      <c r="I318" s="14">
        <v>45747</v>
      </c>
      <c r="J318" s="14">
        <v>45974</v>
      </c>
      <c r="K318" s="14">
        <v>45759</v>
      </c>
      <c r="L318" s="14"/>
      <c r="M318" s="14">
        <v>45990</v>
      </c>
      <c r="N318" s="14">
        <v>45995</v>
      </c>
      <c r="O318" s="14">
        <v>45997</v>
      </c>
      <c r="P318" s="14"/>
      <c r="Q318" s="13"/>
    </row>
    <row r="319" spans="1:17">
      <c r="A319" s="13">
        <v>318</v>
      </c>
      <c r="B319" s="13" t="s">
        <v>1107</v>
      </c>
      <c r="C319" s="13" t="s">
        <v>15</v>
      </c>
      <c r="D319" s="13" t="s">
        <v>653</v>
      </c>
      <c r="E319" s="13" t="s">
        <v>29</v>
      </c>
      <c r="F319" s="13" t="s">
        <v>654</v>
      </c>
      <c r="G319" s="13" t="s">
        <v>644</v>
      </c>
      <c r="H319" s="14">
        <v>45976</v>
      </c>
      <c r="I319" s="14">
        <v>45747</v>
      </c>
      <c r="J319" s="14">
        <v>45974</v>
      </c>
      <c r="K319" s="14">
        <v>45759</v>
      </c>
      <c r="L319" s="14"/>
      <c r="M319" s="14">
        <v>45990</v>
      </c>
      <c r="N319" s="14">
        <v>45995</v>
      </c>
      <c r="O319" s="14">
        <v>45997</v>
      </c>
      <c r="P319" s="14"/>
      <c r="Q319" s="13"/>
    </row>
    <row r="320" spans="1:17">
      <c r="A320" s="13">
        <v>319</v>
      </c>
      <c r="B320" s="13" t="s">
        <v>1107</v>
      </c>
      <c r="C320" s="13" t="s">
        <v>15</v>
      </c>
      <c r="D320" s="13" t="s">
        <v>655</v>
      </c>
      <c r="E320" s="13" t="s">
        <v>34</v>
      </c>
      <c r="F320" s="13" t="s">
        <v>656</v>
      </c>
      <c r="G320" s="13" t="s">
        <v>644</v>
      </c>
      <c r="H320" s="14">
        <v>45960</v>
      </c>
      <c r="I320" s="14">
        <v>45760</v>
      </c>
      <c r="J320" s="14">
        <v>45966</v>
      </c>
      <c r="K320" s="14">
        <v>45772</v>
      </c>
      <c r="L320" s="14"/>
      <c r="M320" s="14">
        <v>45974</v>
      </c>
      <c r="N320" s="14">
        <v>45995</v>
      </c>
      <c r="O320" s="14">
        <v>45981</v>
      </c>
      <c r="P320" s="14"/>
      <c r="Q320" s="13"/>
    </row>
    <row r="321" spans="1:17">
      <c r="A321" s="13">
        <v>320</v>
      </c>
      <c r="B321" s="13" t="s">
        <v>1107</v>
      </c>
      <c r="C321" s="13" t="s">
        <v>15</v>
      </c>
      <c r="D321" s="13" t="s">
        <v>657</v>
      </c>
      <c r="E321" s="13" t="s">
        <v>34</v>
      </c>
      <c r="F321" s="13" t="s">
        <v>658</v>
      </c>
      <c r="G321" s="13" t="s">
        <v>644</v>
      </c>
      <c r="H321" s="14">
        <v>45960</v>
      </c>
      <c r="I321" s="14">
        <v>45760</v>
      </c>
      <c r="J321" s="14">
        <v>45966</v>
      </c>
      <c r="K321" s="14">
        <v>45772</v>
      </c>
      <c r="L321" s="14"/>
      <c r="M321" s="14">
        <v>45974</v>
      </c>
      <c r="N321" s="14">
        <v>45995</v>
      </c>
      <c r="O321" s="14">
        <v>45981</v>
      </c>
      <c r="P321" s="14"/>
      <c r="Q321" s="13"/>
    </row>
    <row r="322" spans="1:17">
      <c r="A322" s="13">
        <v>321</v>
      </c>
      <c r="B322" s="13" t="s">
        <v>1107</v>
      </c>
      <c r="C322" s="13" t="s">
        <v>15</v>
      </c>
      <c r="D322" s="13" t="s">
        <v>659</v>
      </c>
      <c r="E322" s="13" t="s">
        <v>39</v>
      </c>
      <c r="F322" s="13" t="s">
        <v>660</v>
      </c>
      <c r="G322" s="13" t="s">
        <v>644</v>
      </c>
      <c r="H322" s="14">
        <v>45955</v>
      </c>
      <c r="I322" s="14">
        <v>45776</v>
      </c>
      <c r="J322" s="14">
        <v>45958</v>
      </c>
      <c r="K322" s="14">
        <v>45788</v>
      </c>
      <c r="L322" s="14">
        <v>45889</v>
      </c>
      <c r="M322" s="14">
        <v>45969</v>
      </c>
      <c r="N322" s="14">
        <v>45995</v>
      </c>
      <c r="O322" s="14">
        <v>45976</v>
      </c>
      <c r="P322" s="14"/>
      <c r="Q322" s="13"/>
    </row>
    <row r="323" spans="1:17">
      <c r="A323" s="13">
        <v>322</v>
      </c>
      <c r="B323" s="13" t="s">
        <v>1107</v>
      </c>
      <c r="C323" s="13" t="s">
        <v>15</v>
      </c>
      <c r="D323" s="13" t="s">
        <v>661</v>
      </c>
      <c r="E323" s="13" t="s">
        <v>39</v>
      </c>
      <c r="F323" s="13" t="s">
        <v>662</v>
      </c>
      <c r="G323" s="13" t="s">
        <v>644</v>
      </c>
      <c r="H323" s="14">
        <v>45955</v>
      </c>
      <c r="I323" s="14">
        <v>45776</v>
      </c>
      <c r="J323" s="14">
        <v>45958</v>
      </c>
      <c r="K323" s="14">
        <v>45788</v>
      </c>
      <c r="L323" s="14">
        <v>45889</v>
      </c>
      <c r="M323" s="14">
        <v>45969</v>
      </c>
      <c r="N323" s="14">
        <v>45995</v>
      </c>
      <c r="O323" s="14">
        <v>45976</v>
      </c>
      <c r="P323" s="14"/>
      <c r="Q323" s="13"/>
    </row>
    <row r="324" spans="1:17">
      <c r="A324" s="13">
        <v>323</v>
      </c>
      <c r="B324" s="13" t="s">
        <v>1107</v>
      </c>
      <c r="C324" s="13" t="s">
        <v>15</v>
      </c>
      <c r="D324" s="13" t="s">
        <v>663</v>
      </c>
      <c r="E324" s="13" t="s">
        <v>44</v>
      </c>
      <c r="F324" s="13" t="s">
        <v>664</v>
      </c>
      <c r="G324" s="13" t="s">
        <v>644</v>
      </c>
      <c r="H324" s="14">
        <v>45790</v>
      </c>
      <c r="I324" s="14">
        <v>45790</v>
      </c>
      <c r="J324" s="14">
        <v>45796</v>
      </c>
      <c r="K324" s="14">
        <v>45802</v>
      </c>
      <c r="L324" s="14"/>
      <c r="M324" s="14">
        <v>45809</v>
      </c>
      <c r="N324" s="14">
        <v>45812</v>
      </c>
      <c r="O324" s="14">
        <v>45816</v>
      </c>
      <c r="P324" s="14"/>
      <c r="Q324" s="13"/>
    </row>
    <row r="325" spans="1:17">
      <c r="A325" s="13">
        <v>324</v>
      </c>
      <c r="B325" s="13" t="s">
        <v>1107</v>
      </c>
      <c r="C325" s="13" t="s">
        <v>15</v>
      </c>
      <c r="D325" s="13" t="s">
        <v>665</v>
      </c>
      <c r="E325" s="13" t="s">
        <v>44</v>
      </c>
      <c r="F325" s="13" t="s">
        <v>666</v>
      </c>
      <c r="G325" s="13" t="s">
        <v>644</v>
      </c>
      <c r="H325" s="14">
        <v>45790</v>
      </c>
      <c r="I325" s="14">
        <v>45790</v>
      </c>
      <c r="J325" s="14">
        <v>45796</v>
      </c>
      <c r="K325" s="14">
        <v>45802</v>
      </c>
      <c r="L325" s="14"/>
      <c r="M325" s="14">
        <v>45809</v>
      </c>
      <c r="N325" s="14">
        <v>45812</v>
      </c>
      <c r="O325" s="14">
        <v>45816</v>
      </c>
      <c r="P325" s="14"/>
      <c r="Q325" s="13"/>
    </row>
    <row r="326" spans="1:17">
      <c r="A326" s="13">
        <v>325</v>
      </c>
      <c r="B326" s="13" t="s">
        <v>1107</v>
      </c>
      <c r="C326" s="13" t="s">
        <v>15</v>
      </c>
      <c r="D326" s="13" t="s">
        <v>667</v>
      </c>
      <c r="E326" s="13" t="s">
        <v>49</v>
      </c>
      <c r="F326" s="13" t="s">
        <v>668</v>
      </c>
      <c r="G326" s="13" t="s">
        <v>644</v>
      </c>
      <c r="H326" s="14">
        <v>45804</v>
      </c>
      <c r="I326" s="14">
        <v>45804</v>
      </c>
      <c r="J326" s="14">
        <v>45840</v>
      </c>
      <c r="K326" s="14">
        <v>45816</v>
      </c>
      <c r="L326" s="14">
        <v>45877</v>
      </c>
      <c r="M326" s="14">
        <v>45823</v>
      </c>
      <c r="N326" s="14">
        <v>45910</v>
      </c>
      <c r="O326" s="14">
        <v>45830</v>
      </c>
      <c r="P326" s="14"/>
      <c r="Q326" s="13"/>
    </row>
    <row r="327" spans="1:17">
      <c r="A327" s="13">
        <v>326</v>
      </c>
      <c r="B327" s="13" t="s">
        <v>1107</v>
      </c>
      <c r="C327" s="13" t="s">
        <v>15</v>
      </c>
      <c r="D327" s="13" t="s">
        <v>669</v>
      </c>
      <c r="E327" s="13" t="s">
        <v>49</v>
      </c>
      <c r="F327" s="13" t="s">
        <v>670</v>
      </c>
      <c r="G327" s="13" t="s">
        <v>644</v>
      </c>
      <c r="H327" s="14">
        <v>45804</v>
      </c>
      <c r="I327" s="14">
        <v>45804</v>
      </c>
      <c r="J327" s="14">
        <v>45840</v>
      </c>
      <c r="K327" s="14">
        <v>45816</v>
      </c>
      <c r="L327" s="14">
        <v>45877</v>
      </c>
      <c r="M327" s="14">
        <v>45823</v>
      </c>
      <c r="N327" s="14">
        <v>45910</v>
      </c>
      <c r="O327" s="14">
        <v>45830</v>
      </c>
      <c r="P327" s="14"/>
      <c r="Q327" s="13"/>
    </row>
    <row r="328" spans="1:17">
      <c r="A328" s="13">
        <v>327</v>
      </c>
      <c r="B328" s="13" t="s">
        <v>1107</v>
      </c>
      <c r="C328" s="13" t="s">
        <v>15</v>
      </c>
      <c r="D328" s="13" t="s">
        <v>671</v>
      </c>
      <c r="E328" s="13" t="s">
        <v>54</v>
      </c>
      <c r="F328" s="13" t="s">
        <v>672</v>
      </c>
      <c r="G328" s="13" t="s">
        <v>644</v>
      </c>
      <c r="H328" s="14">
        <v>45821</v>
      </c>
      <c r="I328" s="14">
        <v>45821</v>
      </c>
      <c r="J328" s="14">
        <v>45847</v>
      </c>
      <c r="K328" s="14">
        <v>45833</v>
      </c>
      <c r="L328" s="14">
        <v>45883</v>
      </c>
      <c r="M328" s="14">
        <v>45840</v>
      </c>
      <c r="N328" s="14">
        <v>45910</v>
      </c>
      <c r="O328" s="14">
        <v>45847</v>
      </c>
      <c r="P328" s="14"/>
      <c r="Q328" s="13"/>
    </row>
    <row r="329" spans="1:17">
      <c r="A329" s="13">
        <v>328</v>
      </c>
      <c r="B329" s="13" t="s">
        <v>1107</v>
      </c>
      <c r="C329" s="13" t="s">
        <v>15</v>
      </c>
      <c r="D329" s="13" t="s">
        <v>673</v>
      </c>
      <c r="E329" s="13" t="s">
        <v>54</v>
      </c>
      <c r="F329" s="13" t="s">
        <v>674</v>
      </c>
      <c r="G329" s="13" t="s">
        <v>644</v>
      </c>
      <c r="H329" s="14">
        <v>45821</v>
      </c>
      <c r="I329" s="14">
        <v>45821</v>
      </c>
      <c r="J329" s="14">
        <v>45847</v>
      </c>
      <c r="K329" s="14">
        <v>45833</v>
      </c>
      <c r="L329" s="14">
        <v>45883</v>
      </c>
      <c r="M329" s="14">
        <v>45840</v>
      </c>
      <c r="N329" s="14">
        <v>45910</v>
      </c>
      <c r="O329" s="14">
        <v>45847</v>
      </c>
      <c r="P329" s="14"/>
      <c r="Q329" s="13"/>
    </row>
    <row r="330" spans="1:17">
      <c r="A330" s="13">
        <v>329</v>
      </c>
      <c r="B330" s="13" t="s">
        <v>1107</v>
      </c>
      <c r="C330" s="13" t="s">
        <v>15</v>
      </c>
      <c r="D330" s="13" t="s">
        <v>675</v>
      </c>
      <c r="E330" s="13" t="s">
        <v>59</v>
      </c>
      <c r="F330" s="13" t="s">
        <v>676</v>
      </c>
      <c r="G330" s="13" t="s">
        <v>644</v>
      </c>
      <c r="H330" s="14">
        <v>45837</v>
      </c>
      <c r="I330" s="14">
        <v>45837</v>
      </c>
      <c r="J330" s="14">
        <v>45896</v>
      </c>
      <c r="K330" s="14">
        <v>45849</v>
      </c>
      <c r="L330" s="14"/>
      <c r="M330" s="14">
        <v>45856</v>
      </c>
      <c r="N330" s="14">
        <v>45946</v>
      </c>
      <c r="O330" s="14">
        <v>45863</v>
      </c>
      <c r="P330" s="14"/>
      <c r="Q330" s="13"/>
    </row>
    <row r="331" spans="1:17">
      <c r="A331" s="13">
        <v>330</v>
      </c>
      <c r="B331" s="13" t="s">
        <v>1107</v>
      </c>
      <c r="C331" s="13" t="s">
        <v>15</v>
      </c>
      <c r="D331" s="13" t="s">
        <v>677</v>
      </c>
      <c r="E331" s="13" t="s">
        <v>59</v>
      </c>
      <c r="F331" s="13" t="s">
        <v>678</v>
      </c>
      <c r="G331" s="13" t="s">
        <v>644</v>
      </c>
      <c r="H331" s="14">
        <v>45837</v>
      </c>
      <c r="I331" s="14">
        <v>45837</v>
      </c>
      <c r="J331" s="14">
        <v>45896</v>
      </c>
      <c r="K331" s="14">
        <v>45849</v>
      </c>
      <c r="L331" s="14"/>
      <c r="M331" s="14">
        <v>45856</v>
      </c>
      <c r="N331" s="14">
        <v>45946</v>
      </c>
      <c r="O331" s="14">
        <v>45863</v>
      </c>
      <c r="P331" s="14"/>
      <c r="Q331" s="13"/>
    </row>
    <row r="332" spans="1:17">
      <c r="A332" s="13">
        <v>331</v>
      </c>
      <c r="B332" s="13" t="s">
        <v>1107</v>
      </c>
      <c r="C332" s="13" t="s">
        <v>15</v>
      </c>
      <c r="D332" s="13" t="s">
        <v>679</v>
      </c>
      <c r="E332" s="13" t="s">
        <v>64</v>
      </c>
      <c r="F332" s="13" t="s">
        <v>680</v>
      </c>
      <c r="G332" s="13" t="s">
        <v>644</v>
      </c>
      <c r="H332" s="14">
        <v>45837</v>
      </c>
      <c r="I332" s="14">
        <v>45837</v>
      </c>
      <c r="J332" s="14">
        <v>45899</v>
      </c>
      <c r="K332" s="14">
        <v>45849</v>
      </c>
      <c r="L332" s="14"/>
      <c r="M332" s="14">
        <v>45856</v>
      </c>
      <c r="N332" s="14">
        <v>45959</v>
      </c>
      <c r="O332" s="14">
        <v>45863</v>
      </c>
      <c r="P332" s="14"/>
      <c r="Q332" s="13"/>
    </row>
    <row r="333" spans="1:17">
      <c r="A333" s="13">
        <v>332</v>
      </c>
      <c r="B333" s="13" t="s">
        <v>1107</v>
      </c>
      <c r="C333" s="13" t="s">
        <v>15</v>
      </c>
      <c r="D333" s="13" t="s">
        <v>681</v>
      </c>
      <c r="E333" s="13" t="s">
        <v>64</v>
      </c>
      <c r="F333" s="13" t="s">
        <v>682</v>
      </c>
      <c r="G333" s="13" t="s">
        <v>644</v>
      </c>
      <c r="H333" s="14">
        <v>45837</v>
      </c>
      <c r="I333" s="14">
        <v>45837</v>
      </c>
      <c r="J333" s="14">
        <v>45899</v>
      </c>
      <c r="K333" s="14">
        <v>45849</v>
      </c>
      <c r="L333" s="14"/>
      <c r="M333" s="14">
        <v>45856</v>
      </c>
      <c r="N333" s="14">
        <v>45959</v>
      </c>
      <c r="O333" s="14">
        <v>45863</v>
      </c>
      <c r="P333" s="14"/>
      <c r="Q333" s="13"/>
    </row>
    <row r="334" spans="1:17">
      <c r="A334" s="13">
        <v>333</v>
      </c>
      <c r="B334" s="13" t="s">
        <v>1107</v>
      </c>
      <c r="C334" s="13" t="s">
        <v>15</v>
      </c>
      <c r="D334" s="13" t="s">
        <v>683</v>
      </c>
      <c r="E334" s="13" t="s">
        <v>64</v>
      </c>
      <c r="F334" s="13" t="s">
        <v>684</v>
      </c>
      <c r="G334" s="13" t="s">
        <v>644</v>
      </c>
      <c r="H334" s="14">
        <v>45851</v>
      </c>
      <c r="I334" s="14">
        <v>45851</v>
      </c>
      <c r="J334" s="14">
        <v>45826</v>
      </c>
      <c r="K334" s="14">
        <v>45863</v>
      </c>
      <c r="L334" s="14"/>
      <c r="M334" s="14">
        <v>45870</v>
      </c>
      <c r="N334" s="14">
        <v>45850</v>
      </c>
      <c r="O334" s="14">
        <v>45877</v>
      </c>
      <c r="P334" s="14"/>
      <c r="Q334" s="13"/>
    </row>
    <row r="335" spans="1:17">
      <c r="A335" s="13">
        <v>334</v>
      </c>
      <c r="B335" s="13" t="s">
        <v>1107</v>
      </c>
      <c r="C335" s="13" t="s">
        <v>15</v>
      </c>
      <c r="D335" s="13" t="s">
        <v>685</v>
      </c>
      <c r="E335" s="13" t="s">
        <v>64</v>
      </c>
      <c r="F335" s="13" t="s">
        <v>686</v>
      </c>
      <c r="G335" s="13" t="s">
        <v>644</v>
      </c>
      <c r="H335" s="14">
        <v>45851</v>
      </c>
      <c r="I335" s="14">
        <v>45851</v>
      </c>
      <c r="J335" s="14">
        <v>45826</v>
      </c>
      <c r="K335" s="14">
        <v>45863</v>
      </c>
      <c r="L335" s="14"/>
      <c r="M335" s="14">
        <v>45870</v>
      </c>
      <c r="N335" s="14">
        <v>45850</v>
      </c>
      <c r="O335" s="14">
        <v>45877</v>
      </c>
      <c r="P335" s="14"/>
      <c r="Q335" s="13"/>
    </row>
    <row r="336" spans="1:17">
      <c r="A336" s="13">
        <v>335</v>
      </c>
      <c r="B336" s="13" t="s">
        <v>1107</v>
      </c>
      <c r="C336" s="13" t="s">
        <v>15</v>
      </c>
      <c r="D336" s="13" t="s">
        <v>687</v>
      </c>
      <c r="E336" s="13" t="s">
        <v>64</v>
      </c>
      <c r="F336" s="13" t="s">
        <v>688</v>
      </c>
      <c r="G336" s="13" t="s">
        <v>644</v>
      </c>
      <c r="H336" s="14">
        <v>45851</v>
      </c>
      <c r="I336" s="14">
        <v>45851</v>
      </c>
      <c r="J336" s="14">
        <v>45910</v>
      </c>
      <c r="K336" s="14">
        <v>45863</v>
      </c>
      <c r="L336" s="14"/>
      <c r="M336" s="14">
        <v>45870</v>
      </c>
      <c r="N336" s="14">
        <v>45946</v>
      </c>
      <c r="O336" s="14">
        <v>45877</v>
      </c>
      <c r="P336" s="14"/>
      <c r="Q336" s="13"/>
    </row>
    <row r="337" spans="1:17">
      <c r="A337" s="13">
        <v>336</v>
      </c>
      <c r="B337" s="13" t="s">
        <v>1107</v>
      </c>
      <c r="C337" s="13" t="s">
        <v>15</v>
      </c>
      <c r="D337" s="13" t="s">
        <v>689</v>
      </c>
      <c r="E337" s="13" t="s">
        <v>64</v>
      </c>
      <c r="F337" s="13" t="s">
        <v>690</v>
      </c>
      <c r="G337" s="13" t="s">
        <v>644</v>
      </c>
      <c r="H337" s="14">
        <v>45851</v>
      </c>
      <c r="I337" s="14">
        <v>45851</v>
      </c>
      <c r="J337" s="14">
        <v>45910</v>
      </c>
      <c r="K337" s="14">
        <v>45863</v>
      </c>
      <c r="L337" s="14"/>
      <c r="M337" s="14">
        <v>45870</v>
      </c>
      <c r="N337" s="14">
        <v>45946</v>
      </c>
      <c r="O337" s="14">
        <v>45877</v>
      </c>
      <c r="P337" s="14"/>
      <c r="Q337" s="13"/>
    </row>
    <row r="338" spans="1:17">
      <c r="A338" s="13">
        <v>337</v>
      </c>
      <c r="B338" s="13" t="s">
        <v>1107</v>
      </c>
      <c r="C338" s="13" t="s">
        <v>15</v>
      </c>
      <c r="D338" s="13" t="s">
        <v>691</v>
      </c>
      <c r="E338" s="13" t="s">
        <v>79</v>
      </c>
      <c r="F338" s="13" t="s">
        <v>692</v>
      </c>
      <c r="G338" s="13" t="s">
        <v>644</v>
      </c>
      <c r="H338" s="14">
        <v>45976</v>
      </c>
      <c r="I338" s="14">
        <v>45866</v>
      </c>
      <c r="J338" s="14">
        <v>45974</v>
      </c>
      <c r="K338" s="14">
        <v>45878</v>
      </c>
      <c r="L338" s="14"/>
      <c r="M338" s="14">
        <v>45885</v>
      </c>
      <c r="N338" s="14">
        <v>46071</v>
      </c>
      <c r="O338" s="14">
        <v>45892</v>
      </c>
      <c r="P338" s="14"/>
      <c r="Q338" s="13"/>
    </row>
    <row r="339" spans="1:17">
      <c r="A339" s="13">
        <v>338</v>
      </c>
      <c r="B339" s="13" t="s">
        <v>1107</v>
      </c>
      <c r="C339" s="13" t="s">
        <v>15</v>
      </c>
      <c r="D339" s="13" t="s">
        <v>693</v>
      </c>
      <c r="E339" s="13" t="s">
        <v>79</v>
      </c>
      <c r="F339" s="13" t="s">
        <v>694</v>
      </c>
      <c r="G339" s="13" t="s">
        <v>644</v>
      </c>
      <c r="H339" s="14">
        <v>45976</v>
      </c>
      <c r="I339" s="14">
        <v>45866</v>
      </c>
      <c r="J339" s="14">
        <v>45978</v>
      </c>
      <c r="K339" s="14">
        <v>45878</v>
      </c>
      <c r="L339" s="14"/>
      <c r="M339" s="14">
        <v>45885</v>
      </c>
      <c r="N339" s="14">
        <v>46071</v>
      </c>
      <c r="O339" s="14">
        <v>45892</v>
      </c>
      <c r="P339" s="14"/>
      <c r="Q339" s="13"/>
    </row>
    <row r="340" spans="1:17">
      <c r="A340" s="13">
        <v>339</v>
      </c>
      <c r="B340" s="13" t="s">
        <v>695</v>
      </c>
      <c r="C340" s="13" t="s">
        <v>696</v>
      </c>
      <c r="D340" s="13" t="s">
        <v>697</v>
      </c>
      <c r="E340" s="13" t="s">
        <v>18</v>
      </c>
      <c r="F340" s="13" t="s">
        <v>698</v>
      </c>
      <c r="G340" s="13" t="s">
        <v>699</v>
      </c>
      <c r="H340" s="14">
        <v>45719</v>
      </c>
      <c r="I340" s="14">
        <v>45719</v>
      </c>
      <c r="J340" s="14">
        <v>45719</v>
      </c>
      <c r="K340" s="14">
        <v>45735</v>
      </c>
      <c r="L340" s="14">
        <v>45735</v>
      </c>
      <c r="M340" s="14">
        <v>45744</v>
      </c>
      <c r="N340" s="14">
        <v>45744</v>
      </c>
      <c r="O340" s="14">
        <v>45751</v>
      </c>
      <c r="P340" s="14">
        <v>45829</v>
      </c>
      <c r="Q340" s="13"/>
    </row>
    <row r="341" spans="1:17">
      <c r="A341" s="13">
        <v>340</v>
      </c>
      <c r="B341" s="13" t="s">
        <v>695</v>
      </c>
      <c r="C341" s="13" t="s">
        <v>696</v>
      </c>
      <c r="D341" s="13" t="s">
        <v>700</v>
      </c>
      <c r="E341" s="13" t="s">
        <v>18</v>
      </c>
      <c r="F341" s="13" t="s">
        <v>701</v>
      </c>
      <c r="G341" s="13" t="s">
        <v>699</v>
      </c>
      <c r="H341" s="14">
        <v>45719</v>
      </c>
      <c r="I341" s="14">
        <v>45719</v>
      </c>
      <c r="J341" s="14">
        <v>45719</v>
      </c>
      <c r="K341" s="14">
        <v>45735</v>
      </c>
      <c r="L341" s="14">
        <v>45735</v>
      </c>
      <c r="M341" s="14">
        <v>45744</v>
      </c>
      <c r="N341" s="14">
        <v>45744</v>
      </c>
      <c r="O341" s="14">
        <v>45751</v>
      </c>
      <c r="P341" s="14">
        <v>45829</v>
      </c>
      <c r="Q341" s="13"/>
    </row>
    <row r="342" spans="1:17">
      <c r="A342" s="13">
        <v>341</v>
      </c>
      <c r="B342" s="13" t="s">
        <v>695</v>
      </c>
      <c r="C342" s="13" t="s">
        <v>696</v>
      </c>
      <c r="D342" s="13" t="s">
        <v>702</v>
      </c>
      <c r="E342" s="13" t="s">
        <v>18</v>
      </c>
      <c r="F342" s="13" t="s">
        <v>703</v>
      </c>
      <c r="G342" s="13" t="s">
        <v>699</v>
      </c>
      <c r="H342" s="14">
        <v>45719</v>
      </c>
      <c r="I342" s="14">
        <v>45719</v>
      </c>
      <c r="J342" s="14">
        <v>45719</v>
      </c>
      <c r="K342" s="14">
        <v>45735</v>
      </c>
      <c r="L342" s="14">
        <v>45735</v>
      </c>
      <c r="M342" s="14">
        <v>45744</v>
      </c>
      <c r="N342" s="14">
        <v>45744</v>
      </c>
      <c r="O342" s="14">
        <v>45751</v>
      </c>
      <c r="P342" s="14">
        <v>45829</v>
      </c>
      <c r="Q342" s="13"/>
    </row>
    <row r="343" spans="1:17">
      <c r="A343" s="13">
        <v>342</v>
      </c>
      <c r="B343" s="13" t="s">
        <v>695</v>
      </c>
      <c r="C343" s="13" t="s">
        <v>696</v>
      </c>
      <c r="D343" s="13" t="s">
        <v>704</v>
      </c>
      <c r="E343" s="13" t="s">
        <v>18</v>
      </c>
      <c r="F343" s="13" t="s">
        <v>705</v>
      </c>
      <c r="G343" s="13" t="s">
        <v>699</v>
      </c>
      <c r="H343" s="14">
        <v>45752</v>
      </c>
      <c r="I343" s="14">
        <v>45752</v>
      </c>
      <c r="J343" s="14">
        <v>45750</v>
      </c>
      <c r="K343" s="14">
        <v>45769</v>
      </c>
      <c r="L343" s="14"/>
      <c r="M343" s="14">
        <v>45778</v>
      </c>
      <c r="N343" s="14">
        <v>45912</v>
      </c>
      <c r="O343" s="14">
        <v>45785</v>
      </c>
      <c r="P343" s="14">
        <v>46006</v>
      </c>
      <c r="Q343" s="13"/>
    </row>
    <row r="344" spans="1:17">
      <c r="A344" s="13">
        <v>343</v>
      </c>
      <c r="B344" s="13" t="s">
        <v>695</v>
      </c>
      <c r="C344" s="13" t="s">
        <v>696</v>
      </c>
      <c r="D344" s="13" t="s">
        <v>706</v>
      </c>
      <c r="E344" s="13" t="s">
        <v>18</v>
      </c>
      <c r="F344" s="13" t="s">
        <v>705</v>
      </c>
      <c r="G344" s="13" t="s">
        <v>699</v>
      </c>
      <c r="H344" s="14">
        <v>45752</v>
      </c>
      <c r="I344" s="14">
        <v>45752</v>
      </c>
      <c r="J344" s="14">
        <v>45750</v>
      </c>
      <c r="K344" s="14">
        <v>45769</v>
      </c>
      <c r="L344" s="14"/>
      <c r="M344" s="14">
        <v>45778</v>
      </c>
      <c r="N344" s="14">
        <v>45912</v>
      </c>
      <c r="O344" s="14">
        <v>45785</v>
      </c>
      <c r="P344" s="14">
        <v>46006</v>
      </c>
      <c r="Q344" s="13"/>
    </row>
    <row r="345" spans="1:17">
      <c r="A345" s="13">
        <v>344</v>
      </c>
      <c r="B345" s="13" t="s">
        <v>695</v>
      </c>
      <c r="C345" s="13" t="s">
        <v>696</v>
      </c>
      <c r="D345" s="13" t="s">
        <v>707</v>
      </c>
      <c r="E345" s="13" t="s">
        <v>18</v>
      </c>
      <c r="F345" s="13" t="s">
        <v>708</v>
      </c>
      <c r="G345" s="13" t="s">
        <v>699</v>
      </c>
      <c r="H345" s="14">
        <v>45752</v>
      </c>
      <c r="I345" s="14">
        <v>45752</v>
      </c>
      <c r="J345" s="14">
        <v>45757</v>
      </c>
      <c r="K345" s="14">
        <v>45769</v>
      </c>
      <c r="L345" s="14"/>
      <c r="M345" s="14">
        <v>45778</v>
      </c>
      <c r="N345" s="14">
        <v>45912</v>
      </c>
      <c r="O345" s="14">
        <v>45785</v>
      </c>
      <c r="P345" s="14">
        <v>45962</v>
      </c>
      <c r="Q345" s="13"/>
    </row>
    <row r="346" spans="1:17">
      <c r="A346" s="13">
        <v>345</v>
      </c>
      <c r="B346" s="13" t="s">
        <v>695</v>
      </c>
      <c r="C346" s="13" t="s">
        <v>696</v>
      </c>
      <c r="D346" s="13" t="s">
        <v>709</v>
      </c>
      <c r="E346" s="13" t="s">
        <v>18</v>
      </c>
      <c r="F346" s="13" t="s">
        <v>710</v>
      </c>
      <c r="G346" s="13" t="s">
        <v>699</v>
      </c>
      <c r="H346" s="14">
        <v>45752</v>
      </c>
      <c r="I346" s="14">
        <v>45752</v>
      </c>
      <c r="J346" s="14">
        <v>45757</v>
      </c>
      <c r="K346" s="14">
        <v>45769</v>
      </c>
      <c r="L346" s="14"/>
      <c r="M346" s="14">
        <v>45778</v>
      </c>
      <c r="N346" s="14">
        <v>45912</v>
      </c>
      <c r="O346" s="14">
        <v>45785</v>
      </c>
      <c r="P346" s="14">
        <v>45962</v>
      </c>
      <c r="Q346" s="13"/>
    </row>
    <row r="347" spans="1:17">
      <c r="A347" s="13">
        <v>346</v>
      </c>
      <c r="B347" s="13" t="s">
        <v>695</v>
      </c>
      <c r="C347" s="13" t="s">
        <v>696</v>
      </c>
      <c r="D347" s="13" t="s">
        <v>711</v>
      </c>
      <c r="E347" s="13" t="s">
        <v>18</v>
      </c>
      <c r="F347" s="13" t="s">
        <v>712</v>
      </c>
      <c r="G347" s="13" t="s">
        <v>699</v>
      </c>
      <c r="H347" s="14">
        <v>45752</v>
      </c>
      <c r="I347" s="14">
        <v>45752</v>
      </c>
      <c r="J347" s="14">
        <v>45757</v>
      </c>
      <c r="K347" s="14">
        <v>45769</v>
      </c>
      <c r="L347" s="14"/>
      <c r="M347" s="14">
        <v>45778</v>
      </c>
      <c r="N347" s="14">
        <v>45912</v>
      </c>
      <c r="O347" s="14">
        <v>45785</v>
      </c>
      <c r="P347" s="14">
        <v>45962</v>
      </c>
      <c r="Q347" s="13"/>
    </row>
    <row r="348" spans="1:17">
      <c r="A348" s="13">
        <v>347</v>
      </c>
      <c r="B348" s="13" t="s">
        <v>695</v>
      </c>
      <c r="C348" s="13" t="s">
        <v>696</v>
      </c>
      <c r="D348" s="13" t="s">
        <v>713</v>
      </c>
      <c r="E348" s="13" t="s">
        <v>18</v>
      </c>
      <c r="F348" s="13" t="s">
        <v>714</v>
      </c>
      <c r="G348" s="13" t="s">
        <v>699</v>
      </c>
      <c r="H348" s="14">
        <v>45759</v>
      </c>
      <c r="I348" s="14">
        <v>45759</v>
      </c>
      <c r="J348" s="14">
        <v>45756</v>
      </c>
      <c r="K348" s="14">
        <v>45776</v>
      </c>
      <c r="L348" s="14">
        <v>45775</v>
      </c>
      <c r="M348" s="14">
        <v>45785</v>
      </c>
      <c r="N348" s="14">
        <v>45779</v>
      </c>
      <c r="O348" s="14">
        <v>45792</v>
      </c>
      <c r="P348" s="14">
        <v>45919</v>
      </c>
      <c r="Q348" s="13"/>
    </row>
    <row r="349" spans="1:17">
      <c r="A349" s="13">
        <v>348</v>
      </c>
      <c r="B349" s="13" t="s">
        <v>695</v>
      </c>
      <c r="C349" s="13" t="s">
        <v>696</v>
      </c>
      <c r="D349" s="13" t="s">
        <v>715</v>
      </c>
      <c r="E349" s="13" t="s">
        <v>18</v>
      </c>
      <c r="F349" s="13" t="s">
        <v>716</v>
      </c>
      <c r="G349" s="13" t="s">
        <v>699</v>
      </c>
      <c r="H349" s="14">
        <v>45759</v>
      </c>
      <c r="I349" s="14">
        <v>45759</v>
      </c>
      <c r="J349" s="14">
        <v>45756</v>
      </c>
      <c r="K349" s="14">
        <v>45776</v>
      </c>
      <c r="L349" s="14">
        <v>45775</v>
      </c>
      <c r="M349" s="14">
        <v>45785</v>
      </c>
      <c r="N349" s="14">
        <v>45779</v>
      </c>
      <c r="O349" s="14">
        <v>45792</v>
      </c>
      <c r="P349" s="14">
        <v>45962</v>
      </c>
      <c r="Q349" s="13"/>
    </row>
    <row r="350" spans="1:17">
      <c r="A350" s="13">
        <v>349</v>
      </c>
      <c r="B350" s="13" t="s">
        <v>695</v>
      </c>
      <c r="C350" s="13" t="s">
        <v>696</v>
      </c>
      <c r="D350" s="13" t="s">
        <v>717</v>
      </c>
      <c r="E350" s="13" t="s">
        <v>18</v>
      </c>
      <c r="F350" s="13" t="s">
        <v>718</v>
      </c>
      <c r="G350" s="13" t="s">
        <v>699</v>
      </c>
      <c r="H350" s="14">
        <v>45759</v>
      </c>
      <c r="I350" s="14">
        <v>45759</v>
      </c>
      <c r="J350" s="14">
        <v>45764</v>
      </c>
      <c r="K350" s="14">
        <v>45776</v>
      </c>
      <c r="L350" s="14"/>
      <c r="M350" s="14">
        <v>45785</v>
      </c>
      <c r="N350" s="14">
        <v>45912</v>
      </c>
      <c r="O350" s="14">
        <v>45792</v>
      </c>
      <c r="P350" s="14"/>
      <c r="Q350" s="13" t="s">
        <v>719</v>
      </c>
    </row>
    <row r="351" spans="1:17">
      <c r="A351" s="13">
        <v>350</v>
      </c>
      <c r="B351" s="13" t="s">
        <v>695</v>
      </c>
      <c r="C351" s="13" t="s">
        <v>696</v>
      </c>
      <c r="D351" s="13" t="s">
        <v>720</v>
      </c>
      <c r="E351" s="13" t="s">
        <v>18</v>
      </c>
      <c r="F351" s="13" t="s">
        <v>721</v>
      </c>
      <c r="G351" s="13" t="s">
        <v>699</v>
      </c>
      <c r="H351" s="14">
        <v>45808</v>
      </c>
      <c r="I351" s="14">
        <v>45808</v>
      </c>
      <c r="J351" s="14">
        <v>45847</v>
      </c>
      <c r="K351" s="14">
        <v>45825</v>
      </c>
      <c r="L351" s="14"/>
      <c r="M351" s="14">
        <v>45834</v>
      </c>
      <c r="N351" s="14">
        <v>45854</v>
      </c>
      <c r="O351" s="14">
        <v>45841</v>
      </c>
      <c r="P351" s="14">
        <v>45962</v>
      </c>
      <c r="Q351" s="13"/>
    </row>
    <row r="352" spans="1:17">
      <c r="A352" s="13">
        <v>351</v>
      </c>
      <c r="B352" s="13" t="s">
        <v>695</v>
      </c>
      <c r="C352" s="13" t="s">
        <v>696</v>
      </c>
      <c r="D352" s="13" t="s">
        <v>722</v>
      </c>
      <c r="E352" s="13" t="s">
        <v>18</v>
      </c>
      <c r="F352" s="13" t="s">
        <v>721</v>
      </c>
      <c r="G352" s="13" t="s">
        <v>699</v>
      </c>
      <c r="H352" s="14">
        <v>45808</v>
      </c>
      <c r="I352" s="14">
        <v>45808</v>
      </c>
      <c r="J352" s="14">
        <v>45847</v>
      </c>
      <c r="K352" s="14">
        <v>45825</v>
      </c>
      <c r="L352" s="14"/>
      <c r="M352" s="14">
        <v>45834</v>
      </c>
      <c r="N352" s="14">
        <v>45854</v>
      </c>
      <c r="O352" s="14">
        <v>45841</v>
      </c>
      <c r="P352" s="14">
        <v>45962</v>
      </c>
      <c r="Q352" s="13"/>
    </row>
    <row r="353" spans="1:17">
      <c r="A353" s="13">
        <v>352</v>
      </c>
      <c r="B353" s="13" t="s">
        <v>695</v>
      </c>
      <c r="C353" s="13" t="s">
        <v>696</v>
      </c>
      <c r="D353" s="13" t="s">
        <v>723</v>
      </c>
      <c r="E353" s="13" t="s">
        <v>18</v>
      </c>
      <c r="F353" s="13" t="s">
        <v>724</v>
      </c>
      <c r="G353" s="13" t="s">
        <v>699</v>
      </c>
      <c r="H353" s="14">
        <v>45808</v>
      </c>
      <c r="I353" s="14">
        <v>45808</v>
      </c>
      <c r="J353" s="14">
        <v>45848</v>
      </c>
      <c r="K353" s="14">
        <v>45825</v>
      </c>
      <c r="L353" s="14"/>
      <c r="M353" s="14">
        <v>45834</v>
      </c>
      <c r="N353" s="14">
        <v>45854</v>
      </c>
      <c r="O353" s="14">
        <v>45841</v>
      </c>
      <c r="P353" s="14">
        <v>45962</v>
      </c>
      <c r="Q353" s="13"/>
    </row>
    <row r="354" spans="1:17">
      <c r="A354" s="13">
        <v>353</v>
      </c>
      <c r="B354" s="13" t="s">
        <v>695</v>
      </c>
      <c r="C354" s="13" t="s">
        <v>696</v>
      </c>
      <c r="D354" s="13" t="s">
        <v>725</v>
      </c>
      <c r="E354" s="13" t="s">
        <v>18</v>
      </c>
      <c r="F354" s="13" t="s">
        <v>726</v>
      </c>
      <c r="G354" s="13" t="s">
        <v>699</v>
      </c>
      <c r="H354" s="14">
        <v>45991</v>
      </c>
      <c r="I354" s="14">
        <v>45808</v>
      </c>
      <c r="J354" s="14">
        <v>45981</v>
      </c>
      <c r="K354" s="14">
        <v>46007</v>
      </c>
      <c r="L354" s="14"/>
      <c r="M354" s="14">
        <v>46016</v>
      </c>
      <c r="N354" s="14">
        <v>45997</v>
      </c>
      <c r="O354" s="14">
        <v>46023</v>
      </c>
      <c r="P354" s="14"/>
      <c r="Q354" s="13"/>
    </row>
    <row r="355" spans="1:17">
      <c r="A355" s="13">
        <v>354</v>
      </c>
      <c r="B355" s="13" t="s">
        <v>695</v>
      </c>
      <c r="C355" s="13" t="s">
        <v>696</v>
      </c>
      <c r="D355" s="13" t="s">
        <v>727</v>
      </c>
      <c r="E355" s="13" t="s">
        <v>24</v>
      </c>
      <c r="F355" s="13" t="s">
        <v>728</v>
      </c>
      <c r="G355" s="13" t="s">
        <v>699</v>
      </c>
      <c r="H355" s="14">
        <v>45719</v>
      </c>
      <c r="I355" s="14">
        <v>45719</v>
      </c>
      <c r="J355" s="14">
        <v>45719</v>
      </c>
      <c r="K355" s="14">
        <v>45735</v>
      </c>
      <c r="L355" s="14">
        <v>45742</v>
      </c>
      <c r="M355" s="14">
        <v>45747</v>
      </c>
      <c r="N355" s="14">
        <v>45744</v>
      </c>
      <c r="O355" s="14">
        <v>45754</v>
      </c>
      <c r="P355" s="14">
        <v>45902</v>
      </c>
      <c r="Q355" s="13"/>
    </row>
    <row r="356" spans="1:17">
      <c r="A356" s="13">
        <v>355</v>
      </c>
      <c r="B356" s="13" t="s">
        <v>695</v>
      </c>
      <c r="C356" s="13" t="s">
        <v>696</v>
      </c>
      <c r="D356" s="13" t="s">
        <v>729</v>
      </c>
      <c r="E356" s="13" t="s">
        <v>24</v>
      </c>
      <c r="F356" s="13" t="s">
        <v>730</v>
      </c>
      <c r="G356" s="13" t="s">
        <v>699</v>
      </c>
      <c r="H356" s="14">
        <v>45719</v>
      </c>
      <c r="I356" s="14">
        <v>45719</v>
      </c>
      <c r="J356" s="14">
        <v>45719</v>
      </c>
      <c r="K356" s="14">
        <v>45735</v>
      </c>
      <c r="L356" s="14">
        <v>45742</v>
      </c>
      <c r="M356" s="14">
        <v>45747</v>
      </c>
      <c r="N356" s="14">
        <v>45744</v>
      </c>
      <c r="O356" s="14">
        <v>45754</v>
      </c>
      <c r="P356" s="14">
        <v>45902</v>
      </c>
      <c r="Q356" s="13"/>
    </row>
    <row r="357" spans="1:17">
      <c r="A357" s="13">
        <v>356</v>
      </c>
      <c r="B357" s="13" t="s">
        <v>695</v>
      </c>
      <c r="C357" s="13" t="s">
        <v>696</v>
      </c>
      <c r="D357" s="13" t="s">
        <v>731</v>
      </c>
      <c r="E357" s="13" t="s">
        <v>24</v>
      </c>
      <c r="F357" s="13" t="s">
        <v>732</v>
      </c>
      <c r="G357" s="13" t="s">
        <v>699</v>
      </c>
      <c r="H357" s="14">
        <v>45759</v>
      </c>
      <c r="I357" s="14">
        <v>45759</v>
      </c>
      <c r="J357" s="14">
        <v>45764</v>
      </c>
      <c r="K357" s="14">
        <v>45776</v>
      </c>
      <c r="L357" s="14"/>
      <c r="M357" s="14">
        <v>45785</v>
      </c>
      <c r="N357" s="14">
        <v>45912</v>
      </c>
      <c r="O357" s="14">
        <v>45792</v>
      </c>
      <c r="P357" s="14"/>
      <c r="Q357" s="13" t="s">
        <v>719</v>
      </c>
    </row>
    <row r="358" spans="1:17">
      <c r="A358" s="13">
        <v>357</v>
      </c>
      <c r="B358" s="13" t="s">
        <v>695</v>
      </c>
      <c r="C358" s="13" t="s">
        <v>696</v>
      </c>
      <c r="D358" s="13" t="s">
        <v>733</v>
      </c>
      <c r="E358" s="13" t="s">
        <v>24</v>
      </c>
      <c r="F358" s="13" t="s">
        <v>734</v>
      </c>
      <c r="G358" s="13" t="s">
        <v>699</v>
      </c>
      <c r="H358" s="14">
        <v>45759</v>
      </c>
      <c r="I358" s="14">
        <v>45759</v>
      </c>
      <c r="J358" s="14">
        <v>45751</v>
      </c>
      <c r="K358" s="14">
        <v>45776</v>
      </c>
      <c r="L358" s="14"/>
      <c r="M358" s="14">
        <v>45785</v>
      </c>
      <c r="N358" s="14">
        <v>46006</v>
      </c>
      <c r="O358" s="14">
        <v>45792</v>
      </c>
      <c r="P358" s="14">
        <v>46018</v>
      </c>
      <c r="Q358" s="13"/>
    </row>
    <row r="359" spans="1:17">
      <c r="A359" s="13">
        <v>358</v>
      </c>
      <c r="B359" s="13" t="s">
        <v>695</v>
      </c>
      <c r="C359" s="13" t="s">
        <v>696</v>
      </c>
      <c r="D359" s="13" t="s">
        <v>735</v>
      </c>
      <c r="E359" s="13" t="s">
        <v>24</v>
      </c>
      <c r="F359" s="13" t="s">
        <v>736</v>
      </c>
      <c r="G359" s="13" t="s">
        <v>699</v>
      </c>
      <c r="H359" s="14">
        <v>45759</v>
      </c>
      <c r="I359" s="14">
        <v>45759</v>
      </c>
      <c r="J359" s="14">
        <v>45751</v>
      </c>
      <c r="K359" s="14">
        <v>45776</v>
      </c>
      <c r="L359" s="14"/>
      <c r="M359" s="14">
        <v>45785</v>
      </c>
      <c r="N359" s="14">
        <v>46006</v>
      </c>
      <c r="O359" s="14">
        <v>45792</v>
      </c>
      <c r="P359" s="14">
        <v>46018</v>
      </c>
      <c r="Q359" s="13"/>
    </row>
    <row r="360" spans="1:17">
      <c r="A360" s="13">
        <v>359</v>
      </c>
      <c r="B360" s="13" t="s">
        <v>695</v>
      </c>
      <c r="C360" s="13" t="s">
        <v>696</v>
      </c>
      <c r="D360" s="13" t="s">
        <v>737</v>
      </c>
      <c r="E360" s="13" t="s">
        <v>24</v>
      </c>
      <c r="F360" s="13" t="s">
        <v>738</v>
      </c>
      <c r="G360" s="13" t="s">
        <v>699</v>
      </c>
      <c r="H360" s="14">
        <v>45759</v>
      </c>
      <c r="I360" s="14">
        <v>45759</v>
      </c>
      <c r="J360" s="14">
        <v>45757</v>
      </c>
      <c r="K360" s="14">
        <v>45776</v>
      </c>
      <c r="L360" s="14"/>
      <c r="M360" s="14">
        <v>45785</v>
      </c>
      <c r="N360" s="14">
        <v>46006</v>
      </c>
      <c r="O360" s="14">
        <v>45792</v>
      </c>
      <c r="P360" s="14">
        <v>46018</v>
      </c>
      <c r="Q360" s="13"/>
    </row>
    <row r="361" spans="1:17">
      <c r="A361" s="13">
        <v>360</v>
      </c>
      <c r="B361" s="13" t="s">
        <v>695</v>
      </c>
      <c r="C361" s="13" t="s">
        <v>696</v>
      </c>
      <c r="D361" s="13" t="s">
        <v>739</v>
      </c>
      <c r="E361" s="13" t="s">
        <v>24</v>
      </c>
      <c r="F361" s="13" t="s">
        <v>732</v>
      </c>
      <c r="G361" s="13" t="s">
        <v>699</v>
      </c>
      <c r="H361" s="14">
        <v>45766</v>
      </c>
      <c r="I361" s="14">
        <v>45766</v>
      </c>
      <c r="J361" s="14">
        <v>45764</v>
      </c>
      <c r="K361" s="14">
        <v>45783</v>
      </c>
      <c r="L361" s="14"/>
      <c r="M361" s="14">
        <v>45792</v>
      </c>
      <c r="N361" s="14">
        <v>45912</v>
      </c>
      <c r="O361" s="14">
        <v>45799</v>
      </c>
      <c r="P361" s="14"/>
      <c r="Q361" s="13"/>
    </row>
    <row r="362" spans="1:17">
      <c r="A362" s="13">
        <v>361</v>
      </c>
      <c r="B362" s="13" t="s">
        <v>695</v>
      </c>
      <c r="C362" s="13" t="s">
        <v>696</v>
      </c>
      <c r="D362" s="13" t="s">
        <v>740</v>
      </c>
      <c r="E362" s="13" t="s">
        <v>24</v>
      </c>
      <c r="F362" s="13" t="s">
        <v>741</v>
      </c>
      <c r="G362" s="13" t="s">
        <v>699</v>
      </c>
      <c r="H362" s="14">
        <v>45766</v>
      </c>
      <c r="I362" s="14">
        <v>45766</v>
      </c>
      <c r="J362" s="14">
        <v>45764</v>
      </c>
      <c r="K362" s="14">
        <v>45783</v>
      </c>
      <c r="L362" s="14"/>
      <c r="M362" s="14">
        <v>45792</v>
      </c>
      <c r="N362" s="14">
        <v>45912</v>
      </c>
      <c r="O362" s="14">
        <v>45799</v>
      </c>
      <c r="P362" s="14"/>
      <c r="Q362" s="13"/>
    </row>
    <row r="363" spans="1:17">
      <c r="A363" s="13">
        <v>362</v>
      </c>
      <c r="B363" s="13" t="s">
        <v>695</v>
      </c>
      <c r="C363" s="13" t="s">
        <v>696</v>
      </c>
      <c r="D363" s="13" t="s">
        <v>742</v>
      </c>
      <c r="E363" s="13" t="s">
        <v>24</v>
      </c>
      <c r="F363" s="13" t="s">
        <v>743</v>
      </c>
      <c r="G363" s="13" t="s">
        <v>699</v>
      </c>
      <c r="H363" s="14">
        <v>46015</v>
      </c>
      <c r="I363" s="14">
        <v>45780</v>
      </c>
      <c r="J363" s="14">
        <v>46006</v>
      </c>
      <c r="K363" s="14">
        <v>46031</v>
      </c>
      <c r="L363" s="14">
        <v>45779</v>
      </c>
      <c r="M363" s="14">
        <v>46042</v>
      </c>
      <c r="N363" s="14">
        <v>46009</v>
      </c>
      <c r="O363" s="14">
        <v>46049</v>
      </c>
      <c r="P363" s="14">
        <v>46018</v>
      </c>
      <c r="Q363" s="13"/>
    </row>
    <row r="364" spans="1:17">
      <c r="A364" s="13">
        <v>363</v>
      </c>
      <c r="B364" s="13" t="s">
        <v>695</v>
      </c>
      <c r="C364" s="13" t="s">
        <v>696</v>
      </c>
      <c r="D364" s="13" t="s">
        <v>744</v>
      </c>
      <c r="E364" s="13" t="s">
        <v>24</v>
      </c>
      <c r="F364" s="13" t="s">
        <v>745</v>
      </c>
      <c r="G364" s="13" t="s">
        <v>699</v>
      </c>
      <c r="H364" s="14">
        <v>46015</v>
      </c>
      <c r="I364" s="14">
        <v>45808</v>
      </c>
      <c r="J364" s="14">
        <v>46009</v>
      </c>
      <c r="K364" s="14">
        <v>46031</v>
      </c>
      <c r="L364" s="14"/>
      <c r="M364" s="14">
        <v>46042</v>
      </c>
      <c r="N364" s="14">
        <v>46031</v>
      </c>
      <c r="O364" s="14">
        <v>46049</v>
      </c>
      <c r="P364" s="14"/>
      <c r="Q364" s="13"/>
    </row>
    <row r="365" spans="1:17">
      <c r="A365" s="13">
        <v>364</v>
      </c>
      <c r="B365" s="13" t="s">
        <v>695</v>
      </c>
      <c r="C365" s="13" t="s">
        <v>696</v>
      </c>
      <c r="D365" s="13" t="s">
        <v>746</v>
      </c>
      <c r="E365" s="13" t="s">
        <v>24</v>
      </c>
      <c r="F365" s="13" t="s">
        <v>747</v>
      </c>
      <c r="G365" s="13" t="s">
        <v>699</v>
      </c>
      <c r="H365" s="14">
        <v>46014</v>
      </c>
      <c r="I365" s="14">
        <v>45808</v>
      </c>
      <c r="J365" s="14">
        <v>46120</v>
      </c>
      <c r="K365" s="14">
        <v>46030</v>
      </c>
      <c r="L365" s="14"/>
      <c r="M365" s="14">
        <v>46041</v>
      </c>
      <c r="N365" s="14">
        <v>46157</v>
      </c>
      <c r="O365" s="14">
        <v>46048</v>
      </c>
      <c r="P365" s="14"/>
      <c r="Q365" s="13"/>
    </row>
    <row r="366" spans="1:17">
      <c r="A366" s="13">
        <v>365</v>
      </c>
      <c r="B366" s="13" t="s">
        <v>695</v>
      </c>
      <c r="C366" s="13" t="s">
        <v>696</v>
      </c>
      <c r="D366" s="13" t="s">
        <v>748</v>
      </c>
      <c r="E366" s="13" t="s">
        <v>24</v>
      </c>
      <c r="F366" s="13" t="s">
        <v>749</v>
      </c>
      <c r="G366" s="13" t="s">
        <v>699</v>
      </c>
      <c r="H366" s="14">
        <v>46015</v>
      </c>
      <c r="I366" s="14">
        <v>45843</v>
      </c>
      <c r="J366" s="14">
        <v>45999</v>
      </c>
      <c r="K366" s="14">
        <v>46031</v>
      </c>
      <c r="L366" s="14"/>
      <c r="M366" s="14">
        <v>46042</v>
      </c>
      <c r="N366" s="14">
        <v>46000</v>
      </c>
      <c r="O366" s="14">
        <v>46049</v>
      </c>
      <c r="P366" s="14"/>
      <c r="Q366" s="13"/>
    </row>
    <row r="367" spans="1:17">
      <c r="A367" s="13">
        <v>366</v>
      </c>
      <c r="B367" s="13" t="s">
        <v>695</v>
      </c>
      <c r="C367" s="13" t="s">
        <v>696</v>
      </c>
      <c r="D367" s="13" t="s">
        <v>750</v>
      </c>
      <c r="E367" s="13" t="s">
        <v>24</v>
      </c>
      <c r="F367" s="13" t="s">
        <v>751</v>
      </c>
      <c r="G367" s="13" t="s">
        <v>699</v>
      </c>
      <c r="H367" s="14">
        <v>46015</v>
      </c>
      <c r="I367" s="14">
        <v>45843</v>
      </c>
      <c r="J367" s="14">
        <v>45996</v>
      </c>
      <c r="K367" s="14">
        <v>46031</v>
      </c>
      <c r="L367" s="14"/>
      <c r="M367" s="14">
        <v>46042</v>
      </c>
      <c r="N367" s="14">
        <v>46000</v>
      </c>
      <c r="O367" s="14">
        <v>46049</v>
      </c>
      <c r="P367" s="14"/>
      <c r="Q367" s="13"/>
    </row>
    <row r="368" spans="1:17">
      <c r="A368" s="13">
        <v>367</v>
      </c>
      <c r="B368" s="13" t="s">
        <v>695</v>
      </c>
      <c r="C368" s="13" t="s">
        <v>696</v>
      </c>
      <c r="D368" s="13" t="s">
        <v>752</v>
      </c>
      <c r="E368" s="13" t="s">
        <v>24</v>
      </c>
      <c r="F368" s="13" t="s">
        <v>753</v>
      </c>
      <c r="G368" s="13" t="s">
        <v>699</v>
      </c>
      <c r="H368" s="14">
        <v>46015</v>
      </c>
      <c r="I368" s="14">
        <v>45815</v>
      </c>
      <c r="J368" s="14">
        <v>45996</v>
      </c>
      <c r="K368" s="14">
        <v>46031</v>
      </c>
      <c r="L368" s="14"/>
      <c r="M368" s="14">
        <v>46042</v>
      </c>
      <c r="N368" s="14">
        <v>46000</v>
      </c>
      <c r="O368" s="14">
        <v>46049</v>
      </c>
      <c r="P368" s="14"/>
      <c r="Q368" s="13"/>
    </row>
    <row r="369" spans="1:17">
      <c r="A369" s="13">
        <v>368</v>
      </c>
      <c r="B369" s="13" t="s">
        <v>695</v>
      </c>
      <c r="C369" s="13" t="s">
        <v>696</v>
      </c>
      <c r="D369" s="13" t="s">
        <v>754</v>
      </c>
      <c r="E369" s="13" t="s">
        <v>29</v>
      </c>
      <c r="F369" s="13" t="s">
        <v>755</v>
      </c>
      <c r="G369" s="13" t="s">
        <v>699</v>
      </c>
      <c r="H369" s="14">
        <v>45960</v>
      </c>
      <c r="I369" s="14">
        <v>45719</v>
      </c>
      <c r="J369" s="14">
        <v>45954</v>
      </c>
      <c r="K369" s="14">
        <v>45978</v>
      </c>
      <c r="L369" s="14">
        <v>45742</v>
      </c>
      <c r="M369" s="14">
        <v>45976</v>
      </c>
      <c r="N369" s="14">
        <v>45959</v>
      </c>
      <c r="O369" s="14">
        <v>45983</v>
      </c>
      <c r="P369" s="14">
        <v>45979</v>
      </c>
      <c r="Q369" s="13"/>
    </row>
    <row r="370" spans="1:17">
      <c r="A370" s="13">
        <v>369</v>
      </c>
      <c r="B370" s="13" t="s">
        <v>695</v>
      </c>
      <c r="C370" s="13" t="s">
        <v>696</v>
      </c>
      <c r="D370" s="13" t="s">
        <v>756</v>
      </c>
      <c r="E370" s="13" t="s">
        <v>29</v>
      </c>
      <c r="F370" s="13" t="s">
        <v>757</v>
      </c>
      <c r="G370" s="13" t="s">
        <v>699</v>
      </c>
      <c r="H370" s="14">
        <v>45960</v>
      </c>
      <c r="I370" s="14">
        <v>45719</v>
      </c>
      <c r="J370" s="14">
        <v>45954</v>
      </c>
      <c r="K370" s="14">
        <v>45978</v>
      </c>
      <c r="L370" s="14">
        <v>45742</v>
      </c>
      <c r="M370" s="14">
        <v>45976</v>
      </c>
      <c r="N370" s="14">
        <v>45959</v>
      </c>
      <c r="O370" s="14">
        <v>45983</v>
      </c>
      <c r="P370" s="14">
        <v>45979</v>
      </c>
      <c r="Q370" s="13"/>
    </row>
    <row r="371" spans="1:17">
      <c r="A371" s="13">
        <v>370</v>
      </c>
      <c r="B371" s="13" t="s">
        <v>695</v>
      </c>
      <c r="C371" s="13" t="s">
        <v>696</v>
      </c>
      <c r="D371" s="13" t="s">
        <v>758</v>
      </c>
      <c r="E371" s="13" t="s">
        <v>29</v>
      </c>
      <c r="F371" s="13" t="s">
        <v>759</v>
      </c>
      <c r="G371" s="13" t="s">
        <v>699</v>
      </c>
      <c r="H371" s="14">
        <v>45976</v>
      </c>
      <c r="I371" s="14">
        <v>45766</v>
      </c>
      <c r="J371" s="14">
        <v>45975</v>
      </c>
      <c r="K371" s="14">
        <v>45993</v>
      </c>
      <c r="L371" s="14"/>
      <c r="M371" s="14">
        <v>46002</v>
      </c>
      <c r="N371" s="14">
        <v>45993</v>
      </c>
      <c r="O371" s="14">
        <v>46009</v>
      </c>
      <c r="P371" s="14">
        <v>46000</v>
      </c>
      <c r="Q371" s="13"/>
    </row>
    <row r="372" spans="1:17">
      <c r="A372" s="13">
        <v>371</v>
      </c>
      <c r="B372" s="13" t="s">
        <v>695</v>
      </c>
      <c r="C372" s="13" t="s">
        <v>696</v>
      </c>
      <c r="D372" s="13" t="s">
        <v>760</v>
      </c>
      <c r="E372" s="13" t="s">
        <v>29</v>
      </c>
      <c r="F372" s="13" t="s">
        <v>761</v>
      </c>
      <c r="G372" s="13" t="s">
        <v>699</v>
      </c>
      <c r="H372" s="14">
        <v>45976</v>
      </c>
      <c r="I372" s="14">
        <v>45766</v>
      </c>
      <c r="J372" s="14">
        <v>45975</v>
      </c>
      <c r="K372" s="14">
        <v>45993</v>
      </c>
      <c r="L372" s="14"/>
      <c r="M372" s="14">
        <v>46002</v>
      </c>
      <c r="N372" s="14">
        <v>45993</v>
      </c>
      <c r="O372" s="14">
        <v>46009</v>
      </c>
      <c r="P372" s="14">
        <v>46000</v>
      </c>
      <c r="Q372" s="13"/>
    </row>
    <row r="373" spans="1:17">
      <c r="A373" s="13">
        <v>372</v>
      </c>
      <c r="B373" s="13" t="s">
        <v>695</v>
      </c>
      <c r="C373" s="13" t="s">
        <v>696</v>
      </c>
      <c r="D373" s="13" t="s">
        <v>762</v>
      </c>
      <c r="E373" s="13" t="s">
        <v>29</v>
      </c>
      <c r="F373" s="13" t="s">
        <v>763</v>
      </c>
      <c r="G373" s="13" t="s">
        <v>699</v>
      </c>
      <c r="H373" s="14">
        <v>45976</v>
      </c>
      <c r="I373" s="14">
        <v>45766</v>
      </c>
      <c r="J373" s="14">
        <v>45975</v>
      </c>
      <c r="K373" s="14">
        <v>45993</v>
      </c>
      <c r="L373" s="14"/>
      <c r="M373" s="14">
        <v>46002</v>
      </c>
      <c r="N373" s="14">
        <v>45993</v>
      </c>
      <c r="O373" s="14">
        <v>46009</v>
      </c>
      <c r="P373" s="14">
        <v>46000</v>
      </c>
      <c r="Q373" s="13"/>
    </row>
    <row r="374" spans="1:17">
      <c r="A374" s="13">
        <v>373</v>
      </c>
      <c r="B374" s="13" t="s">
        <v>695</v>
      </c>
      <c r="C374" s="13" t="s">
        <v>696</v>
      </c>
      <c r="D374" s="13" t="s">
        <v>764</v>
      </c>
      <c r="E374" s="13" t="s">
        <v>29</v>
      </c>
      <c r="F374" s="13" t="s">
        <v>765</v>
      </c>
      <c r="G374" s="13" t="s">
        <v>699</v>
      </c>
      <c r="H374" s="14">
        <v>45965</v>
      </c>
      <c r="I374" s="14">
        <v>45780</v>
      </c>
      <c r="J374" s="14">
        <v>45967</v>
      </c>
      <c r="K374" s="14">
        <v>45981</v>
      </c>
      <c r="L374" s="14">
        <v>45786</v>
      </c>
      <c r="M374" s="14">
        <v>45976</v>
      </c>
      <c r="N374" s="14">
        <v>45997</v>
      </c>
      <c r="O374" s="14">
        <v>45983</v>
      </c>
      <c r="P374" s="14"/>
      <c r="Q374" s="13"/>
    </row>
    <row r="375" spans="1:17">
      <c r="A375" s="13">
        <v>374</v>
      </c>
      <c r="B375" s="13" t="s">
        <v>695</v>
      </c>
      <c r="C375" s="13" t="s">
        <v>696</v>
      </c>
      <c r="D375" s="13" t="s">
        <v>766</v>
      </c>
      <c r="E375" s="13" t="s">
        <v>29</v>
      </c>
      <c r="F375" s="13" t="s">
        <v>767</v>
      </c>
      <c r="G375" s="13" t="s">
        <v>699</v>
      </c>
      <c r="H375" s="14">
        <v>45801</v>
      </c>
      <c r="I375" s="14">
        <v>45801</v>
      </c>
      <c r="J375" s="14">
        <v>45732</v>
      </c>
      <c r="K375" s="14">
        <v>45818</v>
      </c>
      <c r="L375" s="14"/>
      <c r="M375" s="14">
        <v>45827</v>
      </c>
      <c r="N375" s="14">
        <v>46132</v>
      </c>
      <c r="O375" s="14">
        <v>45834</v>
      </c>
      <c r="P375" s="14"/>
      <c r="Q375" s="13"/>
    </row>
    <row r="376" spans="1:17">
      <c r="A376" s="13">
        <v>375</v>
      </c>
      <c r="B376" s="13" t="s">
        <v>695</v>
      </c>
      <c r="C376" s="13" t="s">
        <v>696</v>
      </c>
      <c r="D376" s="13" t="s">
        <v>768</v>
      </c>
      <c r="E376" s="13" t="s">
        <v>34</v>
      </c>
      <c r="F376" s="13" t="s">
        <v>769</v>
      </c>
      <c r="G376" s="13" t="s">
        <v>699</v>
      </c>
      <c r="H376" s="14">
        <v>45950</v>
      </c>
      <c r="I376" s="14">
        <v>45719</v>
      </c>
      <c r="J376" s="14">
        <v>45954</v>
      </c>
      <c r="K376" s="14">
        <v>45966</v>
      </c>
      <c r="L376" s="14">
        <v>45742</v>
      </c>
      <c r="M376" s="14">
        <v>45976</v>
      </c>
      <c r="N376" s="14">
        <v>45973</v>
      </c>
      <c r="O376" s="14">
        <v>45983</v>
      </c>
      <c r="P376" s="14"/>
      <c r="Q376" s="13"/>
    </row>
    <row r="377" spans="1:17">
      <c r="A377" s="13">
        <v>376</v>
      </c>
      <c r="B377" s="13" t="s">
        <v>695</v>
      </c>
      <c r="C377" s="13" t="s">
        <v>696</v>
      </c>
      <c r="D377" s="13" t="s">
        <v>770</v>
      </c>
      <c r="E377" s="13" t="s">
        <v>34</v>
      </c>
      <c r="F377" s="13" t="s">
        <v>771</v>
      </c>
      <c r="G377" s="13" t="s">
        <v>699</v>
      </c>
      <c r="H377" s="14">
        <v>45950</v>
      </c>
      <c r="I377" s="14">
        <v>45719</v>
      </c>
      <c r="J377" s="14">
        <v>45954</v>
      </c>
      <c r="K377" s="14">
        <v>45966</v>
      </c>
      <c r="L377" s="14">
        <v>45742</v>
      </c>
      <c r="M377" s="14">
        <v>45976</v>
      </c>
      <c r="N377" s="14">
        <v>45973</v>
      </c>
      <c r="O377" s="14">
        <v>45983</v>
      </c>
      <c r="P377" s="14"/>
      <c r="Q377" s="13"/>
    </row>
    <row r="378" spans="1:17">
      <c r="A378" s="13">
        <v>377</v>
      </c>
      <c r="B378" s="13" t="s">
        <v>695</v>
      </c>
      <c r="C378" s="13" t="s">
        <v>696</v>
      </c>
      <c r="D378" s="13" t="s">
        <v>772</v>
      </c>
      <c r="E378" s="13" t="s">
        <v>34</v>
      </c>
      <c r="F378" s="13" t="s">
        <v>773</v>
      </c>
      <c r="G378" s="13" t="s">
        <v>699</v>
      </c>
      <c r="H378" s="14">
        <v>45996</v>
      </c>
      <c r="I378" s="14">
        <v>45766</v>
      </c>
      <c r="J378" s="14">
        <v>45989</v>
      </c>
      <c r="K378" s="14">
        <v>46014</v>
      </c>
      <c r="L378" s="14"/>
      <c r="M378" s="14">
        <v>46023</v>
      </c>
      <c r="N378" s="14">
        <v>45912</v>
      </c>
      <c r="O378" s="14">
        <v>46030</v>
      </c>
      <c r="P378" s="14"/>
      <c r="Q378" s="13"/>
    </row>
    <row r="379" spans="1:17">
      <c r="A379" s="13">
        <v>378</v>
      </c>
      <c r="B379" s="13" t="s">
        <v>695</v>
      </c>
      <c r="C379" s="13" t="s">
        <v>696</v>
      </c>
      <c r="D379" s="13" t="s">
        <v>774</v>
      </c>
      <c r="E379" s="13" t="s">
        <v>34</v>
      </c>
      <c r="F379" s="13" t="s">
        <v>775</v>
      </c>
      <c r="G379" s="13" t="s">
        <v>699</v>
      </c>
      <c r="H379" s="14">
        <v>45976</v>
      </c>
      <c r="I379" s="14">
        <v>45787</v>
      </c>
      <c r="J379" s="14">
        <v>45974</v>
      </c>
      <c r="K379" s="14">
        <v>45993</v>
      </c>
      <c r="L379" s="14"/>
      <c r="M379" s="14">
        <v>46002</v>
      </c>
      <c r="N379" s="14">
        <v>46000</v>
      </c>
      <c r="O379" s="14">
        <v>46009</v>
      </c>
      <c r="P379" s="14">
        <v>46000</v>
      </c>
      <c r="Q379" s="13"/>
    </row>
    <row r="380" spans="1:17">
      <c r="A380" s="13">
        <v>379</v>
      </c>
      <c r="B380" s="13" t="s">
        <v>695</v>
      </c>
      <c r="C380" s="13" t="s">
        <v>696</v>
      </c>
      <c r="D380" s="13" t="s">
        <v>776</v>
      </c>
      <c r="E380" s="13" t="s">
        <v>34</v>
      </c>
      <c r="F380" s="13" t="s">
        <v>777</v>
      </c>
      <c r="G380" s="13" t="s">
        <v>699</v>
      </c>
      <c r="H380" s="14">
        <v>45976</v>
      </c>
      <c r="I380" s="14">
        <v>45787</v>
      </c>
      <c r="J380" s="14">
        <v>45974</v>
      </c>
      <c r="K380" s="14">
        <v>45993</v>
      </c>
      <c r="L380" s="14"/>
      <c r="M380" s="14">
        <v>46002</v>
      </c>
      <c r="N380" s="14">
        <v>46000</v>
      </c>
      <c r="O380" s="14">
        <v>46009</v>
      </c>
      <c r="P380" s="14">
        <v>46000</v>
      </c>
      <c r="Q380" s="13"/>
    </row>
    <row r="381" spans="1:17">
      <c r="A381" s="13">
        <v>380</v>
      </c>
      <c r="B381" s="13" t="s">
        <v>695</v>
      </c>
      <c r="C381" s="13" t="s">
        <v>696</v>
      </c>
      <c r="D381" s="13" t="s">
        <v>778</v>
      </c>
      <c r="E381" s="13" t="s">
        <v>34</v>
      </c>
      <c r="F381" s="13" t="s">
        <v>779</v>
      </c>
      <c r="G381" s="13" t="s">
        <v>699</v>
      </c>
      <c r="H381" s="14">
        <v>45976</v>
      </c>
      <c r="I381" s="14">
        <v>45787</v>
      </c>
      <c r="J381" s="14">
        <v>45974</v>
      </c>
      <c r="K381" s="14">
        <v>45993</v>
      </c>
      <c r="L381" s="14"/>
      <c r="M381" s="14">
        <v>46002</v>
      </c>
      <c r="N381" s="14">
        <v>46000</v>
      </c>
      <c r="O381" s="14">
        <v>46009</v>
      </c>
      <c r="P381" s="14">
        <v>46000</v>
      </c>
      <c r="Q381" s="13"/>
    </row>
    <row r="382" spans="1:17">
      <c r="A382" s="13">
        <v>381</v>
      </c>
      <c r="B382" s="13" t="s">
        <v>695</v>
      </c>
      <c r="C382" s="13" t="s">
        <v>696</v>
      </c>
      <c r="D382" s="13" t="s">
        <v>780</v>
      </c>
      <c r="E382" s="13" t="s">
        <v>34</v>
      </c>
      <c r="F382" s="13" t="s">
        <v>781</v>
      </c>
      <c r="G382" s="13" t="s">
        <v>699</v>
      </c>
      <c r="H382" s="14">
        <v>45787</v>
      </c>
      <c r="I382" s="14">
        <v>45787</v>
      </c>
      <c r="J382" s="14">
        <v>45793</v>
      </c>
      <c r="K382" s="14">
        <v>45804</v>
      </c>
      <c r="L382" s="14"/>
      <c r="M382" s="14">
        <v>45813</v>
      </c>
      <c r="N382" s="14">
        <v>46000</v>
      </c>
      <c r="O382" s="14">
        <v>45820</v>
      </c>
      <c r="P382" s="14"/>
      <c r="Q382" s="13"/>
    </row>
    <row r="383" spans="1:17">
      <c r="A383" s="13">
        <v>382</v>
      </c>
      <c r="B383" s="13" t="s">
        <v>695</v>
      </c>
      <c r="C383" s="13" t="s">
        <v>696</v>
      </c>
      <c r="D383" s="13" t="s">
        <v>782</v>
      </c>
      <c r="E383" s="13" t="s">
        <v>34</v>
      </c>
      <c r="F383" s="13" t="s">
        <v>783</v>
      </c>
      <c r="G383" s="13" t="s">
        <v>699</v>
      </c>
      <c r="H383" s="14">
        <v>45787</v>
      </c>
      <c r="I383" s="14">
        <v>45787</v>
      </c>
      <c r="J383" s="14">
        <v>45793</v>
      </c>
      <c r="K383" s="14">
        <v>45804</v>
      </c>
      <c r="L383" s="14"/>
      <c r="M383" s="14">
        <v>45813</v>
      </c>
      <c r="N383" s="14">
        <v>46000</v>
      </c>
      <c r="O383" s="14">
        <v>45820</v>
      </c>
      <c r="P383" s="14"/>
      <c r="Q383" s="13"/>
    </row>
    <row r="384" spans="1:17">
      <c r="A384" s="13">
        <v>383</v>
      </c>
      <c r="B384" s="13" t="s">
        <v>695</v>
      </c>
      <c r="C384" s="13" t="s">
        <v>696</v>
      </c>
      <c r="D384" s="13" t="s">
        <v>784</v>
      </c>
      <c r="E384" s="13" t="s">
        <v>34</v>
      </c>
      <c r="F384" s="13" t="s">
        <v>785</v>
      </c>
      <c r="G384" s="13" t="s">
        <v>699</v>
      </c>
      <c r="H384" s="14">
        <v>45995</v>
      </c>
      <c r="I384" s="14">
        <v>45801</v>
      </c>
      <c r="J384" s="14">
        <v>46093</v>
      </c>
      <c r="K384" s="14">
        <v>46013</v>
      </c>
      <c r="L384" s="14"/>
      <c r="M384" s="14">
        <v>46022</v>
      </c>
      <c r="N384" s="14">
        <v>46132</v>
      </c>
      <c r="O384" s="14">
        <v>46029</v>
      </c>
      <c r="P384" s="14"/>
      <c r="Q384" s="13"/>
    </row>
    <row r="385" spans="1:17">
      <c r="A385" s="13">
        <v>384</v>
      </c>
      <c r="B385" s="13" t="s">
        <v>695</v>
      </c>
      <c r="C385" s="13" t="s">
        <v>696</v>
      </c>
      <c r="D385" s="13" t="s">
        <v>786</v>
      </c>
      <c r="E385" s="13" t="s">
        <v>34</v>
      </c>
      <c r="F385" s="13" t="s">
        <v>787</v>
      </c>
      <c r="G385" s="13" t="s">
        <v>699</v>
      </c>
      <c r="H385" s="14">
        <v>46010</v>
      </c>
      <c r="I385" s="14">
        <v>46010</v>
      </c>
      <c r="J385" s="14">
        <v>45964</v>
      </c>
      <c r="K385" s="14">
        <v>46028</v>
      </c>
      <c r="L385" s="14"/>
      <c r="M385" s="14">
        <v>46017</v>
      </c>
      <c r="N385" s="14">
        <v>45973</v>
      </c>
      <c r="O385" s="14">
        <v>46024</v>
      </c>
      <c r="P385" s="14"/>
      <c r="Q385" s="13"/>
    </row>
    <row r="386" spans="1:17">
      <c r="A386" s="13">
        <v>385</v>
      </c>
      <c r="B386" s="13" t="s">
        <v>695</v>
      </c>
      <c r="C386" s="13" t="s">
        <v>696</v>
      </c>
      <c r="D386" s="13" t="s">
        <v>788</v>
      </c>
      <c r="E386" s="13" t="s">
        <v>34</v>
      </c>
      <c r="F386" s="13" t="s">
        <v>789</v>
      </c>
      <c r="G386" s="13" t="s">
        <v>699</v>
      </c>
      <c r="H386" s="14">
        <v>46010</v>
      </c>
      <c r="I386" s="14">
        <v>46010</v>
      </c>
      <c r="J386" s="14">
        <v>45964</v>
      </c>
      <c r="K386" s="14">
        <v>46028</v>
      </c>
      <c r="L386" s="14"/>
      <c r="M386" s="14">
        <v>46017</v>
      </c>
      <c r="N386" s="14">
        <v>45973</v>
      </c>
      <c r="O386" s="14">
        <v>46024</v>
      </c>
      <c r="P386" s="14"/>
      <c r="Q386" s="13"/>
    </row>
    <row r="387" spans="1:17">
      <c r="A387" s="13">
        <v>386</v>
      </c>
      <c r="B387" s="13" t="s">
        <v>695</v>
      </c>
      <c r="C387" s="13" t="s">
        <v>696</v>
      </c>
      <c r="D387" s="13" t="s">
        <v>790</v>
      </c>
      <c r="E387" s="13" t="s">
        <v>39</v>
      </c>
      <c r="F387" s="13" t="s">
        <v>791</v>
      </c>
      <c r="G387" s="13" t="s">
        <v>699</v>
      </c>
      <c r="H387" s="14">
        <v>45945</v>
      </c>
      <c r="I387" s="14">
        <v>45719</v>
      </c>
      <c r="J387" s="14">
        <v>45946</v>
      </c>
      <c r="K387" s="14">
        <v>45961</v>
      </c>
      <c r="L387" s="14">
        <v>45742</v>
      </c>
      <c r="M387" s="14">
        <v>45976</v>
      </c>
      <c r="N387" s="14">
        <v>45952</v>
      </c>
      <c r="O387" s="14">
        <v>45983</v>
      </c>
      <c r="P387" s="14">
        <v>45979</v>
      </c>
      <c r="Q387" s="13"/>
    </row>
    <row r="388" spans="1:17">
      <c r="A388" s="13">
        <v>387</v>
      </c>
      <c r="B388" s="13" t="s">
        <v>695</v>
      </c>
      <c r="C388" s="13" t="s">
        <v>696</v>
      </c>
      <c r="D388" s="13" t="s">
        <v>792</v>
      </c>
      <c r="E388" s="13" t="s">
        <v>39</v>
      </c>
      <c r="F388" s="13" t="s">
        <v>793</v>
      </c>
      <c r="G388" s="13" t="s">
        <v>699</v>
      </c>
      <c r="H388" s="14">
        <v>45945</v>
      </c>
      <c r="I388" s="14">
        <v>45719</v>
      </c>
      <c r="J388" s="14">
        <v>45946</v>
      </c>
      <c r="K388" s="14">
        <v>45961</v>
      </c>
      <c r="L388" s="14">
        <v>45742</v>
      </c>
      <c r="M388" s="14">
        <v>45976</v>
      </c>
      <c r="N388" s="14">
        <v>45952</v>
      </c>
      <c r="O388" s="14">
        <v>45983</v>
      </c>
      <c r="P388" s="14">
        <v>45979</v>
      </c>
      <c r="Q388" s="13"/>
    </row>
    <row r="389" spans="1:17">
      <c r="A389" s="13">
        <v>388</v>
      </c>
      <c r="B389" s="13" t="s">
        <v>695</v>
      </c>
      <c r="C389" s="13" t="s">
        <v>696</v>
      </c>
      <c r="D389" s="13" t="s">
        <v>794</v>
      </c>
      <c r="E389" s="13" t="s">
        <v>39</v>
      </c>
      <c r="F389" s="13" t="s">
        <v>795</v>
      </c>
      <c r="G389" s="13" t="s">
        <v>699</v>
      </c>
      <c r="H389" s="14">
        <v>45976</v>
      </c>
      <c r="I389" s="14">
        <v>45787</v>
      </c>
      <c r="J389" s="14">
        <v>45981</v>
      </c>
      <c r="K389" s="14">
        <v>45993</v>
      </c>
      <c r="L389" s="14"/>
      <c r="M389" s="14">
        <v>46002</v>
      </c>
      <c r="N389" s="14">
        <v>45993</v>
      </c>
      <c r="O389" s="14">
        <v>46009</v>
      </c>
      <c r="P389" s="14">
        <v>46000</v>
      </c>
      <c r="Q389" s="13" t="s">
        <v>719</v>
      </c>
    </row>
    <row r="390" spans="1:17">
      <c r="A390" s="13">
        <v>389</v>
      </c>
      <c r="B390" s="13" t="s">
        <v>695</v>
      </c>
      <c r="C390" s="13" t="s">
        <v>696</v>
      </c>
      <c r="D390" s="13" t="s">
        <v>796</v>
      </c>
      <c r="E390" s="13" t="s">
        <v>39</v>
      </c>
      <c r="F390" s="13" t="s">
        <v>797</v>
      </c>
      <c r="G390" s="13" t="s">
        <v>699</v>
      </c>
      <c r="H390" s="14">
        <v>45976</v>
      </c>
      <c r="I390" s="14">
        <v>45787</v>
      </c>
      <c r="J390" s="14">
        <v>45981</v>
      </c>
      <c r="K390" s="14">
        <v>45993</v>
      </c>
      <c r="L390" s="14"/>
      <c r="M390" s="14">
        <v>46002</v>
      </c>
      <c r="N390" s="14">
        <v>45993</v>
      </c>
      <c r="O390" s="14">
        <v>46009</v>
      </c>
      <c r="P390" s="14">
        <v>46000</v>
      </c>
      <c r="Q390" s="13" t="s">
        <v>719</v>
      </c>
    </row>
    <row r="391" spans="1:17">
      <c r="A391" s="13">
        <v>390</v>
      </c>
      <c r="B391" s="13" t="s">
        <v>695</v>
      </c>
      <c r="C391" s="13" t="s">
        <v>696</v>
      </c>
      <c r="D391" s="13" t="s">
        <v>798</v>
      </c>
      <c r="E391" s="13" t="s">
        <v>39</v>
      </c>
      <c r="F391" s="13" t="s">
        <v>799</v>
      </c>
      <c r="G391" s="13" t="s">
        <v>699</v>
      </c>
      <c r="H391" s="14">
        <v>45787</v>
      </c>
      <c r="I391" s="14">
        <v>45787</v>
      </c>
      <c r="J391" s="14">
        <v>45793</v>
      </c>
      <c r="K391" s="14">
        <v>45804</v>
      </c>
      <c r="L391" s="14"/>
      <c r="M391" s="14">
        <v>45813</v>
      </c>
      <c r="N391" s="14">
        <v>46000</v>
      </c>
      <c r="O391" s="14">
        <v>45820</v>
      </c>
      <c r="P391" s="14"/>
      <c r="Q391" s="13"/>
    </row>
    <row r="392" spans="1:17">
      <c r="A392" s="13">
        <v>391</v>
      </c>
      <c r="B392" s="13" t="s">
        <v>695</v>
      </c>
      <c r="C392" s="13" t="s">
        <v>696</v>
      </c>
      <c r="D392" s="13" t="s">
        <v>800</v>
      </c>
      <c r="E392" s="13" t="s">
        <v>39</v>
      </c>
      <c r="F392" s="13" t="s">
        <v>801</v>
      </c>
      <c r="G392" s="13" t="s">
        <v>699</v>
      </c>
      <c r="H392" s="14">
        <v>45787</v>
      </c>
      <c r="I392" s="14">
        <v>45787</v>
      </c>
      <c r="J392" s="14">
        <v>45793</v>
      </c>
      <c r="K392" s="14">
        <v>45804</v>
      </c>
      <c r="L392" s="14"/>
      <c r="M392" s="14">
        <v>45813</v>
      </c>
      <c r="N392" s="14">
        <v>46000</v>
      </c>
      <c r="O392" s="14">
        <v>45820</v>
      </c>
      <c r="P392" s="14"/>
      <c r="Q392" s="13"/>
    </row>
    <row r="393" spans="1:17">
      <c r="A393" s="13">
        <v>392</v>
      </c>
      <c r="B393" s="13" t="s">
        <v>695</v>
      </c>
      <c r="C393" s="13" t="s">
        <v>696</v>
      </c>
      <c r="D393" s="13" t="s">
        <v>802</v>
      </c>
      <c r="E393" s="13" t="s">
        <v>39</v>
      </c>
      <c r="F393" s="13" t="s">
        <v>803</v>
      </c>
      <c r="G393" s="13" t="s">
        <v>699</v>
      </c>
      <c r="H393" s="14">
        <v>45808</v>
      </c>
      <c r="I393" s="14">
        <v>45808</v>
      </c>
      <c r="J393" s="14">
        <v>45826</v>
      </c>
      <c r="K393" s="14">
        <v>45825</v>
      </c>
      <c r="L393" s="14"/>
      <c r="M393" s="14">
        <v>45834</v>
      </c>
      <c r="N393" s="14">
        <v>45973</v>
      </c>
      <c r="O393" s="14">
        <v>45841</v>
      </c>
      <c r="P393" s="14"/>
      <c r="Q393" s="13"/>
    </row>
    <row r="394" spans="1:17">
      <c r="A394" s="13">
        <v>393</v>
      </c>
      <c r="B394" s="13" t="s">
        <v>695</v>
      </c>
      <c r="C394" s="13" t="s">
        <v>696</v>
      </c>
      <c r="D394" s="13" t="s">
        <v>804</v>
      </c>
      <c r="E394" s="13" t="s">
        <v>39</v>
      </c>
      <c r="F394" s="13" t="s">
        <v>805</v>
      </c>
      <c r="G394" s="13" t="s">
        <v>699</v>
      </c>
      <c r="H394" s="14">
        <v>45994</v>
      </c>
      <c r="I394" s="14">
        <v>45843</v>
      </c>
      <c r="J394" s="14">
        <v>45987</v>
      </c>
      <c r="K394" s="14">
        <v>46010</v>
      </c>
      <c r="L394" s="14"/>
      <c r="M394" s="14">
        <v>46021</v>
      </c>
      <c r="N394" s="14">
        <v>45996</v>
      </c>
      <c r="O394" s="14">
        <v>46028</v>
      </c>
      <c r="P394" s="14"/>
      <c r="Q394" s="13"/>
    </row>
    <row r="395" spans="1:17">
      <c r="A395" s="13">
        <v>394</v>
      </c>
      <c r="B395" s="13" t="s">
        <v>695</v>
      </c>
      <c r="C395" s="13" t="s">
        <v>696</v>
      </c>
      <c r="D395" s="13" t="s">
        <v>806</v>
      </c>
      <c r="E395" s="13" t="s">
        <v>39</v>
      </c>
      <c r="F395" s="13" t="s">
        <v>807</v>
      </c>
      <c r="G395" s="13" t="s">
        <v>699</v>
      </c>
      <c r="H395" s="14">
        <v>45999</v>
      </c>
      <c r="I395" s="14">
        <v>45801</v>
      </c>
      <c r="J395" s="14">
        <v>46087</v>
      </c>
      <c r="K395" s="14">
        <v>46015</v>
      </c>
      <c r="L395" s="14"/>
      <c r="M395" s="14">
        <v>45976</v>
      </c>
      <c r="N395" s="14">
        <v>46132</v>
      </c>
      <c r="O395" s="14">
        <v>45983</v>
      </c>
      <c r="P395" s="14"/>
      <c r="Q395" s="13"/>
    </row>
    <row r="396" spans="1:17">
      <c r="A396" s="13">
        <v>395</v>
      </c>
      <c r="B396" s="13" t="s">
        <v>695</v>
      </c>
      <c r="C396" s="13" t="s">
        <v>696</v>
      </c>
      <c r="D396" s="13" t="s">
        <v>808</v>
      </c>
      <c r="E396" s="13" t="s">
        <v>86</v>
      </c>
      <c r="F396" s="13" t="s">
        <v>809</v>
      </c>
      <c r="G396" s="13" t="s">
        <v>699</v>
      </c>
      <c r="H396" s="14">
        <v>46022</v>
      </c>
      <c r="I396" s="14">
        <v>45843</v>
      </c>
      <c r="J396" s="14">
        <v>46043</v>
      </c>
      <c r="K396" s="14">
        <v>46038</v>
      </c>
      <c r="L396" s="14"/>
      <c r="M396" s="14">
        <v>46049</v>
      </c>
      <c r="N396" s="14">
        <v>46157</v>
      </c>
      <c r="O396" s="14">
        <v>46056</v>
      </c>
      <c r="P396" s="14"/>
      <c r="Q396" s="13"/>
    </row>
    <row r="397" spans="1:17">
      <c r="A397" s="13">
        <v>396</v>
      </c>
      <c r="B397" s="13" t="s">
        <v>695</v>
      </c>
      <c r="C397" s="13" t="s">
        <v>696</v>
      </c>
      <c r="D397" s="13" t="s">
        <v>810</v>
      </c>
      <c r="E397" s="13" t="s">
        <v>44</v>
      </c>
      <c r="F397" s="13" t="s">
        <v>811</v>
      </c>
      <c r="G397" s="13" t="s">
        <v>699</v>
      </c>
      <c r="H397" s="14">
        <v>45719</v>
      </c>
      <c r="I397" s="14">
        <v>45719</v>
      </c>
      <c r="J397" s="14">
        <v>45719</v>
      </c>
      <c r="K397" s="14">
        <v>45735</v>
      </c>
      <c r="L397" s="14">
        <v>45742</v>
      </c>
      <c r="M397" s="14">
        <v>45747</v>
      </c>
      <c r="N397" s="14">
        <v>45744</v>
      </c>
      <c r="O397" s="14">
        <v>45754</v>
      </c>
      <c r="P397" s="14">
        <v>45877</v>
      </c>
      <c r="Q397" s="13"/>
    </row>
    <row r="398" spans="1:17">
      <c r="A398" s="13">
        <v>397</v>
      </c>
      <c r="B398" s="13" t="s">
        <v>695</v>
      </c>
      <c r="C398" s="13" t="s">
        <v>696</v>
      </c>
      <c r="D398" s="13" t="s">
        <v>812</v>
      </c>
      <c r="E398" s="13" t="s">
        <v>44</v>
      </c>
      <c r="F398" s="13" t="s">
        <v>813</v>
      </c>
      <c r="G398" s="13" t="s">
        <v>699</v>
      </c>
      <c r="H398" s="14">
        <v>45719</v>
      </c>
      <c r="I398" s="14">
        <v>45719</v>
      </c>
      <c r="J398" s="14">
        <v>45719</v>
      </c>
      <c r="K398" s="14">
        <v>45735</v>
      </c>
      <c r="L398" s="14">
        <v>45742</v>
      </c>
      <c r="M398" s="14">
        <v>45747</v>
      </c>
      <c r="N398" s="14">
        <v>45744</v>
      </c>
      <c r="O398" s="14">
        <v>45754</v>
      </c>
      <c r="P398" s="14">
        <v>45877</v>
      </c>
      <c r="Q398" s="13"/>
    </row>
    <row r="399" spans="1:17">
      <c r="A399" s="13">
        <v>398</v>
      </c>
      <c r="B399" s="13" t="s">
        <v>695</v>
      </c>
      <c r="C399" s="13" t="s">
        <v>696</v>
      </c>
      <c r="D399" s="13" t="s">
        <v>814</v>
      </c>
      <c r="E399" s="13" t="s">
        <v>44</v>
      </c>
      <c r="F399" s="13" t="s">
        <v>815</v>
      </c>
      <c r="G399" s="13" t="s">
        <v>699</v>
      </c>
      <c r="H399" s="14">
        <v>45987</v>
      </c>
      <c r="I399" s="14">
        <v>45787</v>
      </c>
      <c r="J399" s="14">
        <v>45987</v>
      </c>
      <c r="K399" s="14">
        <v>46003</v>
      </c>
      <c r="L399" s="14"/>
      <c r="M399" s="14">
        <v>46014</v>
      </c>
      <c r="N399" s="14">
        <v>46000</v>
      </c>
      <c r="O399" s="14">
        <v>46021</v>
      </c>
      <c r="P399" s="14">
        <v>46371</v>
      </c>
      <c r="Q399" s="13"/>
    </row>
    <row r="400" spans="1:17">
      <c r="A400" s="13">
        <v>399</v>
      </c>
      <c r="B400" s="13" t="s">
        <v>695</v>
      </c>
      <c r="C400" s="13" t="s">
        <v>696</v>
      </c>
      <c r="D400" s="13" t="s">
        <v>816</v>
      </c>
      <c r="E400" s="13" t="s">
        <v>44</v>
      </c>
      <c r="F400" s="13" t="s">
        <v>817</v>
      </c>
      <c r="G400" s="13" t="s">
        <v>699</v>
      </c>
      <c r="H400" s="14">
        <v>45987</v>
      </c>
      <c r="I400" s="14">
        <v>45787</v>
      </c>
      <c r="J400" s="14">
        <v>45987</v>
      </c>
      <c r="K400" s="14">
        <v>46003</v>
      </c>
      <c r="L400" s="14"/>
      <c r="M400" s="14">
        <v>46014</v>
      </c>
      <c r="N400" s="14">
        <v>46000</v>
      </c>
      <c r="O400" s="14">
        <v>46021</v>
      </c>
      <c r="P400" s="14">
        <v>46371</v>
      </c>
      <c r="Q400" s="13"/>
    </row>
    <row r="401" spans="1:17">
      <c r="A401" s="13">
        <v>400</v>
      </c>
      <c r="B401" s="13" t="s">
        <v>695</v>
      </c>
      <c r="C401" s="13" t="s">
        <v>696</v>
      </c>
      <c r="D401" s="13" t="s">
        <v>818</v>
      </c>
      <c r="E401" s="13" t="s">
        <v>44</v>
      </c>
      <c r="F401" s="13" t="s">
        <v>819</v>
      </c>
      <c r="G401" s="13" t="s">
        <v>699</v>
      </c>
      <c r="H401" s="14">
        <v>45787</v>
      </c>
      <c r="I401" s="14">
        <v>45787</v>
      </c>
      <c r="J401" s="14">
        <v>45798</v>
      </c>
      <c r="K401" s="14">
        <v>45804</v>
      </c>
      <c r="L401" s="14"/>
      <c r="M401" s="14">
        <v>45813</v>
      </c>
      <c r="N401" s="14">
        <v>46000</v>
      </c>
      <c r="O401" s="14">
        <v>45820</v>
      </c>
      <c r="P401" s="14"/>
      <c r="Q401" s="13"/>
    </row>
    <row r="402" spans="1:17">
      <c r="A402" s="13">
        <v>401</v>
      </c>
      <c r="B402" s="13" t="s">
        <v>695</v>
      </c>
      <c r="C402" s="13" t="s">
        <v>696</v>
      </c>
      <c r="D402" s="13" t="s">
        <v>820</v>
      </c>
      <c r="E402" s="13" t="s">
        <v>44</v>
      </c>
      <c r="F402" s="13" t="s">
        <v>821</v>
      </c>
      <c r="G402" s="13" t="s">
        <v>699</v>
      </c>
      <c r="H402" s="14">
        <v>45787</v>
      </c>
      <c r="I402" s="14">
        <v>45787</v>
      </c>
      <c r="J402" s="14">
        <v>45798</v>
      </c>
      <c r="K402" s="14">
        <v>45804</v>
      </c>
      <c r="L402" s="14"/>
      <c r="M402" s="14">
        <v>45813</v>
      </c>
      <c r="N402" s="14">
        <v>46000</v>
      </c>
      <c r="O402" s="14">
        <v>45820</v>
      </c>
      <c r="P402" s="14"/>
      <c r="Q402" s="13"/>
    </row>
    <row r="403" spans="1:17">
      <c r="A403" s="13">
        <v>402</v>
      </c>
      <c r="B403" s="13" t="s">
        <v>695</v>
      </c>
      <c r="C403" s="13" t="s">
        <v>696</v>
      </c>
      <c r="D403" s="13" t="s">
        <v>822</v>
      </c>
      <c r="E403" s="13" t="s">
        <v>44</v>
      </c>
      <c r="F403" s="13" t="s">
        <v>823</v>
      </c>
      <c r="G403" s="13" t="s">
        <v>699</v>
      </c>
      <c r="H403" s="14">
        <v>45989</v>
      </c>
      <c r="I403" s="14">
        <v>45815</v>
      </c>
      <c r="J403" s="14">
        <v>45987</v>
      </c>
      <c r="K403" s="14">
        <v>46007</v>
      </c>
      <c r="L403" s="14"/>
      <c r="M403" s="14">
        <v>46016</v>
      </c>
      <c r="N403" s="14">
        <v>45993</v>
      </c>
      <c r="O403" s="14">
        <v>46023</v>
      </c>
      <c r="P403" s="14"/>
      <c r="Q403" s="13"/>
    </row>
    <row r="404" spans="1:17">
      <c r="A404" s="13">
        <v>403</v>
      </c>
      <c r="B404" s="13" t="s">
        <v>695</v>
      </c>
      <c r="C404" s="13" t="s">
        <v>696</v>
      </c>
      <c r="D404" s="13" t="s">
        <v>824</v>
      </c>
      <c r="E404" s="13" t="s">
        <v>44</v>
      </c>
      <c r="F404" s="13" t="s">
        <v>825</v>
      </c>
      <c r="G404" s="13" t="s">
        <v>699</v>
      </c>
      <c r="H404" s="14">
        <v>45989</v>
      </c>
      <c r="I404" s="14">
        <v>45815</v>
      </c>
      <c r="J404" s="14">
        <v>45981</v>
      </c>
      <c r="K404" s="14">
        <v>46007</v>
      </c>
      <c r="L404" s="14"/>
      <c r="M404" s="14">
        <v>46016</v>
      </c>
      <c r="N404" s="14">
        <v>45997</v>
      </c>
      <c r="O404" s="14">
        <v>46023</v>
      </c>
      <c r="P404" s="14"/>
      <c r="Q404" s="13"/>
    </row>
    <row r="405" spans="1:17">
      <c r="A405" s="13">
        <v>404</v>
      </c>
      <c r="B405" s="13" t="s">
        <v>695</v>
      </c>
      <c r="C405" s="13" t="s">
        <v>696</v>
      </c>
      <c r="D405" s="13" t="s">
        <v>826</v>
      </c>
      <c r="E405" s="13" t="s">
        <v>44</v>
      </c>
      <c r="F405" s="13" t="s">
        <v>827</v>
      </c>
      <c r="G405" s="13" t="s">
        <v>699</v>
      </c>
      <c r="H405" s="14">
        <v>46021</v>
      </c>
      <c r="I405" s="14">
        <v>45836</v>
      </c>
      <c r="J405" s="14">
        <v>45987</v>
      </c>
      <c r="K405" s="14">
        <v>46037</v>
      </c>
      <c r="L405" s="14"/>
      <c r="M405" s="14">
        <v>46048</v>
      </c>
      <c r="N405" s="14">
        <v>45935</v>
      </c>
      <c r="O405" s="14">
        <v>46055</v>
      </c>
      <c r="P405" s="14">
        <v>45962</v>
      </c>
      <c r="Q405" s="13"/>
    </row>
    <row r="406" spans="1:17">
      <c r="A406" s="13">
        <v>405</v>
      </c>
      <c r="B406" s="13" t="s">
        <v>695</v>
      </c>
      <c r="C406" s="13" t="s">
        <v>696</v>
      </c>
      <c r="D406" s="13" t="s">
        <v>828</v>
      </c>
      <c r="E406" s="13" t="s">
        <v>49</v>
      </c>
      <c r="F406" s="13" t="s">
        <v>829</v>
      </c>
      <c r="G406" s="13" t="s">
        <v>699</v>
      </c>
      <c r="H406" s="14">
        <v>45719</v>
      </c>
      <c r="I406" s="14">
        <v>45719</v>
      </c>
      <c r="J406" s="14">
        <v>45719</v>
      </c>
      <c r="K406" s="14">
        <v>45735</v>
      </c>
      <c r="L406" s="14">
        <v>45742</v>
      </c>
      <c r="M406" s="14">
        <v>45747</v>
      </c>
      <c r="N406" s="14">
        <v>45744</v>
      </c>
      <c r="O406" s="14">
        <v>45754</v>
      </c>
      <c r="P406" s="14">
        <v>45919</v>
      </c>
      <c r="Q406" s="13"/>
    </row>
    <row r="407" spans="1:17">
      <c r="A407" s="13">
        <v>406</v>
      </c>
      <c r="B407" s="13" t="s">
        <v>695</v>
      </c>
      <c r="C407" s="13" t="s">
        <v>696</v>
      </c>
      <c r="D407" s="13" t="s">
        <v>830</v>
      </c>
      <c r="E407" s="13" t="s">
        <v>49</v>
      </c>
      <c r="F407" s="13" t="s">
        <v>831</v>
      </c>
      <c r="G407" s="13" t="s">
        <v>699</v>
      </c>
      <c r="H407" s="14">
        <v>45719</v>
      </c>
      <c r="I407" s="14">
        <v>45719</v>
      </c>
      <c r="J407" s="14">
        <v>45719</v>
      </c>
      <c r="K407" s="14">
        <v>45735</v>
      </c>
      <c r="L407" s="14">
        <v>45742</v>
      </c>
      <c r="M407" s="14">
        <v>45747</v>
      </c>
      <c r="N407" s="14">
        <v>45744</v>
      </c>
      <c r="O407" s="14">
        <v>45754</v>
      </c>
      <c r="P407" s="14">
        <v>45919</v>
      </c>
      <c r="Q407" s="13"/>
    </row>
    <row r="408" spans="1:17">
      <c r="A408" s="13">
        <v>407</v>
      </c>
      <c r="B408" s="13" t="s">
        <v>695</v>
      </c>
      <c r="C408" s="13" t="s">
        <v>696</v>
      </c>
      <c r="D408" s="13" t="s">
        <v>832</v>
      </c>
      <c r="E408" s="13" t="s">
        <v>49</v>
      </c>
      <c r="F408" s="13" t="s">
        <v>833</v>
      </c>
      <c r="G408" s="13" t="s">
        <v>699</v>
      </c>
      <c r="H408" s="14">
        <v>45989</v>
      </c>
      <c r="I408" s="14">
        <v>45794</v>
      </c>
      <c r="J408" s="14">
        <v>45989</v>
      </c>
      <c r="K408" s="14">
        <v>46007</v>
      </c>
      <c r="L408" s="14"/>
      <c r="M408" s="14">
        <v>46016</v>
      </c>
      <c r="N408" s="14">
        <v>45912</v>
      </c>
      <c r="O408" s="14">
        <v>46023</v>
      </c>
      <c r="P408" s="14">
        <v>46371</v>
      </c>
      <c r="Q408" s="13"/>
    </row>
    <row r="409" spans="1:17">
      <c r="A409" s="13">
        <v>408</v>
      </c>
      <c r="B409" s="13" t="s">
        <v>695</v>
      </c>
      <c r="C409" s="13" t="s">
        <v>696</v>
      </c>
      <c r="D409" s="13" t="s">
        <v>834</v>
      </c>
      <c r="E409" s="13" t="s">
        <v>49</v>
      </c>
      <c r="F409" s="13" t="s">
        <v>835</v>
      </c>
      <c r="G409" s="13" t="s">
        <v>699</v>
      </c>
      <c r="H409" s="14">
        <v>45989</v>
      </c>
      <c r="I409" s="14">
        <v>45794</v>
      </c>
      <c r="J409" s="14">
        <v>45989</v>
      </c>
      <c r="K409" s="14">
        <v>46007</v>
      </c>
      <c r="L409" s="14"/>
      <c r="M409" s="14">
        <v>46016</v>
      </c>
      <c r="N409" s="14">
        <v>45912</v>
      </c>
      <c r="O409" s="14">
        <v>46023</v>
      </c>
      <c r="P409" s="14">
        <v>46371</v>
      </c>
      <c r="Q409" s="13"/>
    </row>
    <row r="410" spans="1:17">
      <c r="A410" s="13">
        <v>409</v>
      </c>
      <c r="B410" s="13" t="s">
        <v>695</v>
      </c>
      <c r="C410" s="13" t="s">
        <v>696</v>
      </c>
      <c r="D410" s="13" t="s">
        <v>836</v>
      </c>
      <c r="E410" s="13" t="s">
        <v>49</v>
      </c>
      <c r="F410" s="13" t="s">
        <v>837</v>
      </c>
      <c r="G410" s="13" t="s">
        <v>699</v>
      </c>
      <c r="H410" s="14">
        <v>45989</v>
      </c>
      <c r="I410" s="14">
        <v>45794</v>
      </c>
      <c r="J410" s="14">
        <v>45989</v>
      </c>
      <c r="K410" s="14">
        <v>46007</v>
      </c>
      <c r="L410" s="14"/>
      <c r="M410" s="14">
        <v>46016</v>
      </c>
      <c r="N410" s="14">
        <v>45912</v>
      </c>
      <c r="O410" s="14">
        <v>46023</v>
      </c>
      <c r="P410" s="14">
        <v>46371</v>
      </c>
      <c r="Q410" s="13"/>
    </row>
    <row r="411" spans="1:17">
      <c r="A411" s="13">
        <v>410</v>
      </c>
      <c r="B411" s="13" t="s">
        <v>695</v>
      </c>
      <c r="C411" s="13" t="s">
        <v>696</v>
      </c>
      <c r="D411" s="13" t="s">
        <v>838</v>
      </c>
      <c r="E411" s="13" t="s">
        <v>49</v>
      </c>
      <c r="F411" s="13" t="s">
        <v>839</v>
      </c>
      <c r="G411" s="13" t="s">
        <v>699</v>
      </c>
      <c r="H411" s="14">
        <v>45794</v>
      </c>
      <c r="I411" s="14">
        <v>45794</v>
      </c>
      <c r="J411" s="14">
        <v>45799</v>
      </c>
      <c r="K411" s="14">
        <v>45811</v>
      </c>
      <c r="L411" s="14"/>
      <c r="M411" s="14">
        <v>45820</v>
      </c>
      <c r="N411" s="14">
        <v>45912</v>
      </c>
      <c r="O411" s="14">
        <v>45827</v>
      </c>
      <c r="P411" s="14"/>
      <c r="Q411" s="13"/>
    </row>
    <row r="412" spans="1:17">
      <c r="A412" s="13">
        <v>411</v>
      </c>
      <c r="B412" s="13" t="s">
        <v>695</v>
      </c>
      <c r="C412" s="13" t="s">
        <v>696</v>
      </c>
      <c r="D412" s="13" t="s">
        <v>840</v>
      </c>
      <c r="E412" s="13" t="s">
        <v>49</v>
      </c>
      <c r="F412" s="13" t="s">
        <v>841</v>
      </c>
      <c r="G412" s="13" t="s">
        <v>699</v>
      </c>
      <c r="H412" s="14">
        <v>45794</v>
      </c>
      <c r="I412" s="14">
        <v>45794</v>
      </c>
      <c r="J412" s="14">
        <v>45799</v>
      </c>
      <c r="K412" s="14">
        <v>45811</v>
      </c>
      <c r="L412" s="14"/>
      <c r="M412" s="14">
        <v>45820</v>
      </c>
      <c r="N412" s="14">
        <v>45912</v>
      </c>
      <c r="O412" s="14">
        <v>45827</v>
      </c>
      <c r="P412" s="14"/>
      <c r="Q412" s="13"/>
    </row>
    <row r="413" spans="1:17">
      <c r="A413" s="13">
        <v>412</v>
      </c>
      <c r="B413" s="13" t="s">
        <v>695</v>
      </c>
      <c r="C413" s="13" t="s">
        <v>696</v>
      </c>
      <c r="D413" s="13" t="s">
        <v>842</v>
      </c>
      <c r="E413" s="13" t="s">
        <v>49</v>
      </c>
      <c r="F413" s="13" t="s">
        <v>843</v>
      </c>
      <c r="G413" s="13" t="s">
        <v>699</v>
      </c>
      <c r="H413" s="14">
        <v>45994</v>
      </c>
      <c r="I413" s="14">
        <v>45794</v>
      </c>
      <c r="J413" s="14">
        <v>45989</v>
      </c>
      <c r="K413" s="14">
        <v>46010</v>
      </c>
      <c r="L413" s="14"/>
      <c r="M413" s="14">
        <v>46021</v>
      </c>
      <c r="N413" s="14">
        <v>45993</v>
      </c>
      <c r="O413" s="14">
        <v>46028</v>
      </c>
      <c r="P413" s="14">
        <v>46000</v>
      </c>
      <c r="Q413" s="13"/>
    </row>
    <row r="414" spans="1:17">
      <c r="A414" s="13">
        <v>413</v>
      </c>
      <c r="B414" s="13" t="s">
        <v>695</v>
      </c>
      <c r="C414" s="13" t="s">
        <v>696</v>
      </c>
      <c r="D414" s="13" t="s">
        <v>844</v>
      </c>
      <c r="E414" s="13" t="s">
        <v>64</v>
      </c>
      <c r="F414" s="13" t="s">
        <v>845</v>
      </c>
      <c r="G414" s="13" t="s">
        <v>699</v>
      </c>
      <c r="H414" s="14">
        <v>45801</v>
      </c>
      <c r="I414" s="14">
        <v>45801</v>
      </c>
      <c r="J414" s="14">
        <v>45831</v>
      </c>
      <c r="K414" s="14">
        <v>45818</v>
      </c>
      <c r="L414" s="14"/>
      <c r="M414" s="14">
        <v>45827</v>
      </c>
      <c r="N414" s="14">
        <v>46006</v>
      </c>
      <c r="O414" s="14">
        <v>45834</v>
      </c>
      <c r="P414" s="14">
        <v>46010</v>
      </c>
      <c r="Q414" s="13"/>
    </row>
    <row r="415" spans="1:17">
      <c r="A415" s="13">
        <v>414</v>
      </c>
      <c r="B415" s="13" t="s">
        <v>695</v>
      </c>
      <c r="C415" s="13" t="s">
        <v>696</v>
      </c>
      <c r="D415" s="13" t="s">
        <v>846</v>
      </c>
      <c r="E415" s="13" t="s">
        <v>64</v>
      </c>
      <c r="F415" s="13" t="s">
        <v>847</v>
      </c>
      <c r="G415" s="13" t="s">
        <v>699</v>
      </c>
      <c r="H415" s="14">
        <v>45801</v>
      </c>
      <c r="I415" s="14">
        <v>45801</v>
      </c>
      <c r="J415" s="14">
        <v>45831</v>
      </c>
      <c r="K415" s="14">
        <v>45818</v>
      </c>
      <c r="L415" s="14"/>
      <c r="M415" s="14">
        <v>45827</v>
      </c>
      <c r="N415" s="14">
        <v>46006</v>
      </c>
      <c r="O415" s="14">
        <v>45834</v>
      </c>
      <c r="P415" s="14">
        <v>46010</v>
      </c>
      <c r="Q415" s="13"/>
    </row>
    <row r="416" spans="1:17">
      <c r="A416" s="13">
        <v>415</v>
      </c>
      <c r="B416" s="13" t="s">
        <v>695</v>
      </c>
      <c r="C416" s="13" t="s">
        <v>696</v>
      </c>
      <c r="D416" s="13" t="s">
        <v>848</v>
      </c>
      <c r="E416" s="13" t="s">
        <v>49</v>
      </c>
      <c r="F416" s="13" t="s">
        <v>849</v>
      </c>
      <c r="G416" s="13" t="s">
        <v>699</v>
      </c>
      <c r="H416" s="14">
        <v>45801</v>
      </c>
      <c r="I416" s="14">
        <v>45801</v>
      </c>
      <c r="J416" s="14">
        <v>45831</v>
      </c>
      <c r="K416" s="14">
        <v>45818</v>
      </c>
      <c r="L416" s="14"/>
      <c r="M416" s="14">
        <v>45827</v>
      </c>
      <c r="N416" s="14">
        <v>45840</v>
      </c>
      <c r="O416" s="14">
        <v>45834</v>
      </c>
      <c r="P416" s="14">
        <v>45962</v>
      </c>
      <c r="Q416" s="13"/>
    </row>
    <row r="417" spans="1:17">
      <c r="A417" s="13">
        <v>416</v>
      </c>
      <c r="B417" s="13" t="s">
        <v>695</v>
      </c>
      <c r="C417" s="13" t="s">
        <v>696</v>
      </c>
      <c r="D417" s="13" t="s">
        <v>850</v>
      </c>
      <c r="E417" s="13" t="s">
        <v>49</v>
      </c>
      <c r="F417" s="13" t="s">
        <v>851</v>
      </c>
      <c r="G417" s="13" t="s">
        <v>699</v>
      </c>
      <c r="H417" s="14">
        <v>45836</v>
      </c>
      <c r="I417" s="14">
        <v>45836</v>
      </c>
      <c r="J417" s="14">
        <v>45835</v>
      </c>
      <c r="K417" s="14">
        <v>45853</v>
      </c>
      <c r="L417" s="14"/>
      <c r="M417" s="14">
        <v>45862</v>
      </c>
      <c r="N417" s="14">
        <v>45840</v>
      </c>
      <c r="O417" s="14">
        <v>45869</v>
      </c>
      <c r="P417" s="14">
        <v>45979</v>
      </c>
      <c r="Q417" s="13"/>
    </row>
    <row r="418" spans="1:17">
      <c r="A418" s="13">
        <v>417</v>
      </c>
      <c r="B418" s="13" t="s">
        <v>695</v>
      </c>
      <c r="C418" s="13" t="s">
        <v>696</v>
      </c>
      <c r="D418" s="13" t="s">
        <v>852</v>
      </c>
      <c r="E418" s="13" t="s">
        <v>49</v>
      </c>
      <c r="F418" s="13" t="s">
        <v>849</v>
      </c>
      <c r="G418" s="13" t="s">
        <v>699</v>
      </c>
      <c r="H418" s="14">
        <v>45815</v>
      </c>
      <c r="I418" s="14">
        <v>45815</v>
      </c>
      <c r="J418" s="14">
        <v>45831</v>
      </c>
      <c r="K418" s="14">
        <v>45832</v>
      </c>
      <c r="L418" s="14"/>
      <c r="M418" s="14">
        <v>45841</v>
      </c>
      <c r="N418" s="14">
        <v>45840</v>
      </c>
      <c r="O418" s="14">
        <v>45848</v>
      </c>
      <c r="P418" s="14">
        <v>45962</v>
      </c>
      <c r="Q418" s="13"/>
    </row>
    <row r="419" spans="1:17">
      <c r="A419" s="13">
        <v>418</v>
      </c>
      <c r="B419" s="13" t="s">
        <v>695</v>
      </c>
      <c r="C419" s="13" t="s">
        <v>696</v>
      </c>
      <c r="D419" s="13" t="s">
        <v>853</v>
      </c>
      <c r="E419" s="13" t="s">
        <v>49</v>
      </c>
      <c r="F419" s="13" t="s">
        <v>854</v>
      </c>
      <c r="G419" s="13" t="s">
        <v>699</v>
      </c>
      <c r="H419" s="14">
        <v>46001</v>
      </c>
      <c r="I419" s="14">
        <v>45815</v>
      </c>
      <c r="J419" s="14">
        <v>46093</v>
      </c>
      <c r="K419" s="14">
        <v>46017</v>
      </c>
      <c r="L419" s="14"/>
      <c r="M419" s="14">
        <v>46028</v>
      </c>
      <c r="N419" s="14">
        <v>46132</v>
      </c>
      <c r="O419" s="14">
        <v>46035</v>
      </c>
      <c r="P419" s="14"/>
      <c r="Q419" s="13"/>
    </row>
    <row r="420" spans="1:17">
      <c r="A420" s="13">
        <v>419</v>
      </c>
      <c r="B420" s="13" t="s">
        <v>695</v>
      </c>
      <c r="C420" s="13" t="s">
        <v>696</v>
      </c>
      <c r="D420" s="13" t="s">
        <v>855</v>
      </c>
      <c r="E420" s="13" t="s">
        <v>49</v>
      </c>
      <c r="F420" s="13" t="s">
        <v>856</v>
      </c>
      <c r="G420" s="13" t="s">
        <v>699</v>
      </c>
      <c r="H420" s="14">
        <v>45994</v>
      </c>
      <c r="I420" s="14"/>
      <c r="J420" s="14">
        <v>45996</v>
      </c>
      <c r="K420" s="14">
        <v>46010</v>
      </c>
      <c r="L420" s="14"/>
      <c r="M420" s="14">
        <v>46021</v>
      </c>
      <c r="N420" s="14">
        <v>46132</v>
      </c>
      <c r="O420" s="14">
        <v>46028</v>
      </c>
      <c r="P420" s="14"/>
      <c r="Q420" s="13"/>
    </row>
    <row r="421" spans="1:17">
      <c r="A421" s="13">
        <v>420</v>
      </c>
      <c r="B421" s="13" t="s">
        <v>695</v>
      </c>
      <c r="C421" s="13" t="s">
        <v>696</v>
      </c>
      <c r="D421" s="13" t="s">
        <v>857</v>
      </c>
      <c r="E421" s="13" t="s">
        <v>49</v>
      </c>
      <c r="F421" s="13" t="s">
        <v>858</v>
      </c>
      <c r="G421" s="13" t="s">
        <v>699</v>
      </c>
      <c r="H421" s="14">
        <v>45994</v>
      </c>
      <c r="I421" s="14"/>
      <c r="J421" s="14">
        <v>45996</v>
      </c>
      <c r="K421" s="14">
        <v>46010</v>
      </c>
      <c r="L421" s="14"/>
      <c r="M421" s="14">
        <v>46021</v>
      </c>
      <c r="N421" s="14">
        <v>46132</v>
      </c>
      <c r="O421" s="14">
        <v>46028</v>
      </c>
      <c r="P421" s="14"/>
      <c r="Q421" s="13"/>
    </row>
    <row r="422" spans="1:17">
      <c r="A422" s="13">
        <v>421</v>
      </c>
      <c r="B422" s="13" t="s">
        <v>695</v>
      </c>
      <c r="C422" s="13" t="s">
        <v>696</v>
      </c>
      <c r="D422" s="13" t="s">
        <v>859</v>
      </c>
      <c r="E422" s="13" t="s">
        <v>54</v>
      </c>
      <c r="F422" s="13" t="s">
        <v>860</v>
      </c>
      <c r="G422" s="13" t="s">
        <v>699</v>
      </c>
      <c r="H422" s="14">
        <v>45719</v>
      </c>
      <c r="I422" s="14">
        <v>45719</v>
      </c>
      <c r="J422" s="14">
        <v>45719</v>
      </c>
      <c r="K422" s="14">
        <v>45735</v>
      </c>
      <c r="L422" s="14">
        <v>45742</v>
      </c>
      <c r="M422" s="14">
        <v>45747</v>
      </c>
      <c r="N422" s="14">
        <v>45744</v>
      </c>
      <c r="O422" s="14">
        <v>45754</v>
      </c>
      <c r="P422" s="14">
        <v>45871</v>
      </c>
      <c r="Q422" s="13"/>
    </row>
    <row r="423" spans="1:17">
      <c r="A423" s="13">
        <v>422</v>
      </c>
      <c r="B423" s="13" t="s">
        <v>695</v>
      </c>
      <c r="C423" s="13" t="s">
        <v>696</v>
      </c>
      <c r="D423" s="13" t="s">
        <v>861</v>
      </c>
      <c r="E423" s="13" t="s">
        <v>54</v>
      </c>
      <c r="F423" s="13" t="s">
        <v>862</v>
      </c>
      <c r="G423" s="13" t="s">
        <v>699</v>
      </c>
      <c r="H423" s="14">
        <v>45719</v>
      </c>
      <c r="I423" s="14">
        <v>45719</v>
      </c>
      <c r="J423" s="14">
        <v>45719</v>
      </c>
      <c r="K423" s="14">
        <v>45735</v>
      </c>
      <c r="L423" s="14">
        <v>45742</v>
      </c>
      <c r="M423" s="14">
        <v>45747</v>
      </c>
      <c r="N423" s="14">
        <v>45744</v>
      </c>
      <c r="O423" s="14">
        <v>45754</v>
      </c>
      <c r="P423" s="14">
        <v>45871</v>
      </c>
      <c r="Q423" s="13"/>
    </row>
    <row r="424" spans="1:17">
      <c r="A424" s="13">
        <v>423</v>
      </c>
      <c r="B424" s="13" t="s">
        <v>695</v>
      </c>
      <c r="C424" s="13" t="s">
        <v>696</v>
      </c>
      <c r="D424" s="13" t="s">
        <v>863</v>
      </c>
      <c r="E424" s="13" t="s">
        <v>54</v>
      </c>
      <c r="F424" s="13" t="s">
        <v>864</v>
      </c>
      <c r="G424" s="13" t="s">
        <v>699</v>
      </c>
      <c r="H424" s="14">
        <v>45996</v>
      </c>
      <c r="I424" s="14">
        <v>45794</v>
      </c>
      <c r="J424" s="14">
        <v>45994</v>
      </c>
      <c r="K424" s="14">
        <v>46014</v>
      </c>
      <c r="L424" s="14"/>
      <c r="M424" s="14">
        <v>46023</v>
      </c>
      <c r="N424" s="14">
        <v>45912</v>
      </c>
      <c r="O424" s="14">
        <v>46030</v>
      </c>
      <c r="P424" s="14">
        <v>46371</v>
      </c>
      <c r="Q424" s="13"/>
    </row>
    <row r="425" spans="1:17">
      <c r="A425" s="13">
        <v>424</v>
      </c>
      <c r="B425" s="13" t="s">
        <v>695</v>
      </c>
      <c r="C425" s="13" t="s">
        <v>696</v>
      </c>
      <c r="D425" s="13" t="s">
        <v>865</v>
      </c>
      <c r="E425" s="13" t="s">
        <v>54</v>
      </c>
      <c r="F425" s="13" t="s">
        <v>866</v>
      </c>
      <c r="G425" s="13" t="s">
        <v>699</v>
      </c>
      <c r="H425" s="14">
        <v>45996</v>
      </c>
      <c r="I425" s="14">
        <v>45794</v>
      </c>
      <c r="J425" s="14">
        <v>45994</v>
      </c>
      <c r="K425" s="14">
        <v>46014</v>
      </c>
      <c r="L425" s="14"/>
      <c r="M425" s="14">
        <v>46023</v>
      </c>
      <c r="N425" s="14">
        <v>45912</v>
      </c>
      <c r="O425" s="14">
        <v>46030</v>
      </c>
      <c r="P425" s="14">
        <v>46371</v>
      </c>
      <c r="Q425" s="13"/>
    </row>
    <row r="426" spans="1:17">
      <c r="A426" s="13">
        <v>425</v>
      </c>
      <c r="B426" s="13" t="s">
        <v>695</v>
      </c>
      <c r="C426" s="13" t="s">
        <v>696</v>
      </c>
      <c r="D426" s="13" t="s">
        <v>867</v>
      </c>
      <c r="E426" s="13" t="s">
        <v>54</v>
      </c>
      <c r="F426" s="13" t="s">
        <v>868</v>
      </c>
      <c r="G426" s="13" t="s">
        <v>699</v>
      </c>
      <c r="H426" s="14">
        <v>45996</v>
      </c>
      <c r="I426" s="14">
        <v>45794</v>
      </c>
      <c r="J426" s="14">
        <v>45994</v>
      </c>
      <c r="K426" s="14">
        <v>46014</v>
      </c>
      <c r="L426" s="14"/>
      <c r="M426" s="14">
        <v>46023</v>
      </c>
      <c r="N426" s="14">
        <v>45912</v>
      </c>
      <c r="O426" s="14">
        <v>46030</v>
      </c>
      <c r="P426" s="14">
        <v>46371</v>
      </c>
      <c r="Q426" s="13"/>
    </row>
    <row r="427" spans="1:17">
      <c r="A427" s="13">
        <v>426</v>
      </c>
      <c r="B427" s="13" t="s">
        <v>695</v>
      </c>
      <c r="C427" s="13" t="s">
        <v>696</v>
      </c>
      <c r="D427" s="13" t="s">
        <v>869</v>
      </c>
      <c r="E427" s="13" t="s">
        <v>54</v>
      </c>
      <c r="F427" s="13" t="s">
        <v>870</v>
      </c>
      <c r="G427" s="13" t="s">
        <v>699</v>
      </c>
      <c r="H427" s="14">
        <v>45794</v>
      </c>
      <c r="I427" s="14">
        <v>45794</v>
      </c>
      <c r="J427" s="14">
        <v>45813</v>
      </c>
      <c r="K427" s="14">
        <v>45811</v>
      </c>
      <c r="L427" s="14"/>
      <c r="M427" s="14">
        <v>45820</v>
      </c>
      <c r="N427" s="14">
        <v>45912</v>
      </c>
      <c r="O427" s="14">
        <v>45827</v>
      </c>
      <c r="P427" s="14"/>
      <c r="Q427" s="13"/>
    </row>
    <row r="428" spans="1:17">
      <c r="A428" s="13">
        <v>427</v>
      </c>
      <c r="B428" s="13" t="s">
        <v>695</v>
      </c>
      <c r="C428" s="13" t="s">
        <v>696</v>
      </c>
      <c r="D428" s="13" t="s">
        <v>871</v>
      </c>
      <c r="E428" s="13" t="s">
        <v>54</v>
      </c>
      <c r="F428" s="13" t="s">
        <v>872</v>
      </c>
      <c r="G428" s="13" t="s">
        <v>699</v>
      </c>
      <c r="H428" s="14">
        <v>45794</v>
      </c>
      <c r="I428" s="14">
        <v>45794</v>
      </c>
      <c r="J428" s="14">
        <v>45813</v>
      </c>
      <c r="K428" s="14">
        <v>45811</v>
      </c>
      <c r="L428" s="14"/>
      <c r="M428" s="14">
        <v>45820</v>
      </c>
      <c r="N428" s="14">
        <v>45912</v>
      </c>
      <c r="O428" s="14">
        <v>45827</v>
      </c>
      <c r="P428" s="14"/>
      <c r="Q428" s="13"/>
    </row>
    <row r="429" spans="1:17">
      <c r="A429" s="13">
        <v>428</v>
      </c>
      <c r="B429" s="13" t="s">
        <v>695</v>
      </c>
      <c r="C429" s="13" t="s">
        <v>696</v>
      </c>
      <c r="D429" s="13" t="s">
        <v>873</v>
      </c>
      <c r="E429" s="13" t="s">
        <v>54</v>
      </c>
      <c r="F429" s="13" t="s">
        <v>874</v>
      </c>
      <c r="G429" s="13" t="s">
        <v>699</v>
      </c>
      <c r="H429" s="14">
        <v>45989</v>
      </c>
      <c r="I429" s="14">
        <v>45822</v>
      </c>
      <c r="J429" s="14">
        <v>45953</v>
      </c>
      <c r="K429" s="14">
        <v>46007</v>
      </c>
      <c r="L429" s="14"/>
      <c r="M429" s="14">
        <v>46016</v>
      </c>
      <c r="N429" s="14">
        <v>45846</v>
      </c>
      <c r="O429" s="14">
        <v>46023</v>
      </c>
      <c r="P429" s="14">
        <v>45962</v>
      </c>
      <c r="Q429" s="13"/>
    </row>
    <row r="430" spans="1:17">
      <c r="A430" s="13">
        <v>429</v>
      </c>
      <c r="B430" s="13" t="s">
        <v>695</v>
      </c>
      <c r="C430" s="13" t="s">
        <v>696</v>
      </c>
      <c r="D430" s="13" t="s">
        <v>875</v>
      </c>
      <c r="E430" s="13" t="s">
        <v>54</v>
      </c>
      <c r="F430" s="13" t="s">
        <v>876</v>
      </c>
      <c r="G430" s="13" t="s">
        <v>699</v>
      </c>
      <c r="H430" s="14">
        <v>46002</v>
      </c>
      <c r="I430" s="14">
        <v>45815</v>
      </c>
      <c r="J430" s="14">
        <v>46087</v>
      </c>
      <c r="K430" s="14">
        <v>46020</v>
      </c>
      <c r="L430" s="14"/>
      <c r="M430" s="14">
        <v>46029</v>
      </c>
      <c r="N430" s="14">
        <v>46132</v>
      </c>
      <c r="O430" s="14">
        <v>46036</v>
      </c>
      <c r="P430" s="14"/>
      <c r="Q430" s="13"/>
    </row>
    <row r="431" spans="1:17">
      <c r="A431" s="13">
        <v>430</v>
      </c>
      <c r="B431" s="13" t="s">
        <v>695</v>
      </c>
      <c r="C431" s="13" t="s">
        <v>696</v>
      </c>
      <c r="D431" s="13" t="s">
        <v>877</v>
      </c>
      <c r="E431" s="13" t="s">
        <v>54</v>
      </c>
      <c r="F431" s="13" t="s">
        <v>878</v>
      </c>
      <c r="G431" s="13" t="s">
        <v>699</v>
      </c>
      <c r="H431" s="14">
        <v>45996</v>
      </c>
      <c r="I431" s="14">
        <v>45850</v>
      </c>
      <c r="J431" s="14">
        <v>45996</v>
      </c>
      <c r="K431" s="14">
        <v>46014</v>
      </c>
      <c r="L431" s="14"/>
      <c r="M431" s="14">
        <v>46023</v>
      </c>
      <c r="N431" s="14">
        <v>46000</v>
      </c>
      <c r="O431" s="14">
        <v>46030</v>
      </c>
      <c r="P431" s="14"/>
      <c r="Q431" s="13"/>
    </row>
    <row r="432" spans="1:17">
      <c r="A432" s="13">
        <v>431</v>
      </c>
      <c r="B432" s="13" t="s">
        <v>695</v>
      </c>
      <c r="C432" s="13" t="s">
        <v>696</v>
      </c>
      <c r="D432" s="13" t="s">
        <v>879</v>
      </c>
      <c r="E432" s="13" t="s">
        <v>54</v>
      </c>
      <c r="F432" s="13" t="s">
        <v>880</v>
      </c>
      <c r="G432" s="13" t="s">
        <v>699</v>
      </c>
      <c r="H432" s="14">
        <v>45989</v>
      </c>
      <c r="I432" s="14">
        <v>45829</v>
      </c>
      <c r="J432" s="14">
        <v>45953</v>
      </c>
      <c r="K432" s="14">
        <v>46007</v>
      </c>
      <c r="L432" s="14"/>
      <c r="M432" s="14">
        <v>46016</v>
      </c>
      <c r="N432" s="14">
        <v>45846</v>
      </c>
      <c r="O432" s="14">
        <v>46023</v>
      </c>
      <c r="P432" s="14">
        <v>45962</v>
      </c>
      <c r="Q432" s="13"/>
    </row>
    <row r="433" spans="1:17">
      <c r="A433" s="13">
        <v>432</v>
      </c>
      <c r="B433" s="13" t="s">
        <v>695</v>
      </c>
      <c r="C433" s="13" t="s">
        <v>696</v>
      </c>
      <c r="D433" s="13" t="s">
        <v>881</v>
      </c>
      <c r="E433" s="13" t="s">
        <v>54</v>
      </c>
      <c r="F433" s="13" t="s">
        <v>882</v>
      </c>
      <c r="G433" s="13" t="s">
        <v>699</v>
      </c>
      <c r="H433" s="14">
        <v>45996</v>
      </c>
      <c r="I433" s="14">
        <v>45836</v>
      </c>
      <c r="J433" s="14">
        <v>45996</v>
      </c>
      <c r="K433" s="14">
        <v>46014</v>
      </c>
      <c r="L433" s="14"/>
      <c r="M433" s="14">
        <v>45976</v>
      </c>
      <c r="N433" s="14">
        <v>46000</v>
      </c>
      <c r="O433" s="14">
        <v>45983</v>
      </c>
      <c r="P433" s="14"/>
      <c r="Q433" s="13"/>
    </row>
    <row r="434" spans="1:17">
      <c r="A434" s="13">
        <v>433</v>
      </c>
      <c r="B434" s="13" t="s">
        <v>695</v>
      </c>
      <c r="C434" s="13" t="s">
        <v>696</v>
      </c>
      <c r="D434" s="13" t="s">
        <v>883</v>
      </c>
      <c r="E434" s="13" t="s">
        <v>54</v>
      </c>
      <c r="F434" s="13" t="s">
        <v>884</v>
      </c>
      <c r="G434" s="13"/>
      <c r="H434" s="14">
        <v>45996</v>
      </c>
      <c r="I434" s="14"/>
      <c r="J434" s="14">
        <v>45996</v>
      </c>
      <c r="K434" s="14">
        <v>46014</v>
      </c>
      <c r="L434" s="14"/>
      <c r="M434" s="14">
        <v>46023</v>
      </c>
      <c r="N434" s="14">
        <v>46031</v>
      </c>
      <c r="O434" s="14">
        <v>46030</v>
      </c>
      <c r="P434" s="14"/>
      <c r="Q434" s="13"/>
    </row>
    <row r="435" spans="1:17">
      <c r="A435" s="13">
        <v>434</v>
      </c>
      <c r="B435" s="13" t="s">
        <v>695</v>
      </c>
      <c r="C435" s="13" t="s">
        <v>696</v>
      </c>
      <c r="D435" s="13" t="s">
        <v>885</v>
      </c>
      <c r="E435" s="13" t="s">
        <v>59</v>
      </c>
      <c r="F435" s="13" t="s">
        <v>886</v>
      </c>
      <c r="G435" s="13" t="s">
        <v>699</v>
      </c>
      <c r="H435" s="14">
        <v>45719</v>
      </c>
      <c r="I435" s="14">
        <v>45719</v>
      </c>
      <c r="J435" s="14">
        <v>45719</v>
      </c>
      <c r="K435" s="14">
        <v>45735</v>
      </c>
      <c r="L435" s="14">
        <v>45742</v>
      </c>
      <c r="M435" s="14">
        <v>45747</v>
      </c>
      <c r="N435" s="14">
        <v>45744</v>
      </c>
      <c r="O435" s="14">
        <v>45754</v>
      </c>
      <c r="P435" s="14">
        <v>45871</v>
      </c>
      <c r="Q435" s="13"/>
    </row>
    <row r="436" spans="1:17">
      <c r="A436" s="13">
        <v>435</v>
      </c>
      <c r="B436" s="13" t="s">
        <v>695</v>
      </c>
      <c r="C436" s="13" t="s">
        <v>696</v>
      </c>
      <c r="D436" s="13" t="s">
        <v>887</v>
      </c>
      <c r="E436" s="13" t="s">
        <v>59</v>
      </c>
      <c r="F436" s="13" t="s">
        <v>888</v>
      </c>
      <c r="G436" s="13" t="s">
        <v>699</v>
      </c>
      <c r="H436" s="14">
        <v>45719</v>
      </c>
      <c r="I436" s="14">
        <v>45719</v>
      </c>
      <c r="J436" s="14">
        <v>45719</v>
      </c>
      <c r="K436" s="14">
        <v>45735</v>
      </c>
      <c r="L436" s="14">
        <v>45742</v>
      </c>
      <c r="M436" s="14">
        <v>45747</v>
      </c>
      <c r="N436" s="14">
        <v>45744</v>
      </c>
      <c r="O436" s="14">
        <v>45754</v>
      </c>
      <c r="P436" s="14">
        <v>45871</v>
      </c>
      <c r="Q436" s="13"/>
    </row>
    <row r="437" spans="1:17">
      <c r="A437" s="13">
        <v>436</v>
      </c>
      <c r="B437" s="13" t="s">
        <v>695</v>
      </c>
      <c r="C437" s="13" t="s">
        <v>696</v>
      </c>
      <c r="D437" s="13" t="s">
        <v>889</v>
      </c>
      <c r="E437" s="13" t="s">
        <v>59</v>
      </c>
      <c r="F437" s="13" t="s">
        <v>890</v>
      </c>
      <c r="G437" s="13" t="s">
        <v>699</v>
      </c>
      <c r="H437" s="14">
        <v>46001</v>
      </c>
      <c r="I437" s="14">
        <v>45794</v>
      </c>
      <c r="J437" s="14">
        <v>45999</v>
      </c>
      <c r="K437" s="14">
        <v>46017</v>
      </c>
      <c r="L437" s="14"/>
      <c r="M437" s="14">
        <v>46028</v>
      </c>
      <c r="N437" s="14">
        <v>46031</v>
      </c>
      <c r="O437" s="14">
        <v>46035</v>
      </c>
      <c r="P437" s="14">
        <v>46383</v>
      </c>
      <c r="Q437" s="13"/>
    </row>
    <row r="438" spans="1:17">
      <c r="A438" s="13">
        <v>437</v>
      </c>
      <c r="B438" s="13" t="s">
        <v>695</v>
      </c>
      <c r="C438" s="13" t="s">
        <v>696</v>
      </c>
      <c r="D438" s="13" t="s">
        <v>891</v>
      </c>
      <c r="E438" s="13" t="s">
        <v>59</v>
      </c>
      <c r="F438" s="13" t="s">
        <v>892</v>
      </c>
      <c r="G438" s="13" t="s">
        <v>699</v>
      </c>
      <c r="H438" s="14">
        <v>46001</v>
      </c>
      <c r="I438" s="14">
        <v>45794</v>
      </c>
      <c r="J438" s="14">
        <v>45812</v>
      </c>
      <c r="K438" s="14">
        <v>46017</v>
      </c>
      <c r="L438" s="14"/>
      <c r="M438" s="14">
        <v>46028</v>
      </c>
      <c r="N438" s="14">
        <v>45912</v>
      </c>
      <c r="O438" s="14">
        <v>46035</v>
      </c>
      <c r="P438" s="14"/>
      <c r="Q438" s="13"/>
    </row>
    <row r="439" spans="1:17">
      <c r="A439" s="13">
        <v>438</v>
      </c>
      <c r="B439" s="13" t="s">
        <v>695</v>
      </c>
      <c r="C439" s="13" t="s">
        <v>696</v>
      </c>
      <c r="D439" s="13" t="s">
        <v>893</v>
      </c>
      <c r="E439" s="13" t="s">
        <v>59</v>
      </c>
      <c r="F439" s="13" t="s">
        <v>894</v>
      </c>
      <c r="G439" s="13" t="s">
        <v>699</v>
      </c>
      <c r="H439" s="14">
        <v>46001</v>
      </c>
      <c r="I439" s="14">
        <v>45794</v>
      </c>
      <c r="J439" s="14">
        <v>45812</v>
      </c>
      <c r="K439" s="14">
        <v>46017</v>
      </c>
      <c r="L439" s="14"/>
      <c r="M439" s="14">
        <v>46028</v>
      </c>
      <c r="N439" s="14">
        <v>45912</v>
      </c>
      <c r="O439" s="14">
        <v>46035</v>
      </c>
      <c r="P439" s="14"/>
      <c r="Q439" s="13"/>
    </row>
    <row r="440" spans="1:17">
      <c r="A440" s="13">
        <v>439</v>
      </c>
      <c r="B440" s="13" t="s">
        <v>695</v>
      </c>
      <c r="C440" s="13" t="s">
        <v>696</v>
      </c>
      <c r="D440" s="13" t="s">
        <v>895</v>
      </c>
      <c r="E440" s="13" t="s">
        <v>59</v>
      </c>
      <c r="F440" s="13" t="s">
        <v>896</v>
      </c>
      <c r="G440" s="13" t="s">
        <v>699</v>
      </c>
      <c r="H440" s="14">
        <v>46001</v>
      </c>
      <c r="I440" s="14">
        <v>45801</v>
      </c>
      <c r="J440" s="14">
        <v>45999</v>
      </c>
      <c r="K440" s="14">
        <v>46017</v>
      </c>
      <c r="L440" s="14"/>
      <c r="M440" s="14">
        <v>46028</v>
      </c>
      <c r="N440" s="14">
        <v>46000</v>
      </c>
      <c r="O440" s="14">
        <v>46035</v>
      </c>
      <c r="P440" s="14">
        <v>46371</v>
      </c>
      <c r="Q440" s="13"/>
    </row>
    <row r="441" spans="1:17">
      <c r="A441" s="13">
        <v>440</v>
      </c>
      <c r="B441" s="13" t="s">
        <v>695</v>
      </c>
      <c r="C441" s="13" t="s">
        <v>696</v>
      </c>
      <c r="D441" s="13" t="s">
        <v>897</v>
      </c>
      <c r="E441" s="13" t="s">
        <v>59</v>
      </c>
      <c r="F441" s="13" t="s">
        <v>898</v>
      </c>
      <c r="G441" s="13" t="s">
        <v>699</v>
      </c>
      <c r="H441" s="14">
        <v>45871</v>
      </c>
      <c r="I441" s="14">
        <v>45815</v>
      </c>
      <c r="J441" s="14">
        <v>45871</v>
      </c>
      <c r="K441" s="14">
        <v>45888</v>
      </c>
      <c r="L441" s="14"/>
      <c r="M441" s="14">
        <v>45897</v>
      </c>
      <c r="N441" s="14">
        <v>45885</v>
      </c>
      <c r="O441" s="14">
        <v>45904</v>
      </c>
      <c r="P441" s="14">
        <v>45962</v>
      </c>
      <c r="Q441" s="13"/>
    </row>
    <row r="442" spans="1:17">
      <c r="A442" s="13">
        <v>441</v>
      </c>
      <c r="B442" s="13" t="s">
        <v>695</v>
      </c>
      <c r="C442" s="13" t="s">
        <v>696</v>
      </c>
      <c r="D442" s="13" t="s">
        <v>899</v>
      </c>
      <c r="E442" s="13" t="s">
        <v>59</v>
      </c>
      <c r="F442" s="13" t="s">
        <v>900</v>
      </c>
      <c r="G442" s="13" t="s">
        <v>699</v>
      </c>
      <c r="H442" s="14">
        <v>46001</v>
      </c>
      <c r="I442" s="14">
        <v>45822</v>
      </c>
      <c r="J442" s="14">
        <v>46000</v>
      </c>
      <c r="K442" s="14">
        <v>46017</v>
      </c>
      <c r="L442" s="14"/>
      <c r="M442" s="14">
        <v>46028</v>
      </c>
      <c r="N442" s="14">
        <v>46000</v>
      </c>
      <c r="O442" s="14">
        <v>46035</v>
      </c>
      <c r="P442" s="14"/>
      <c r="Q442" s="13"/>
    </row>
    <row r="443" spans="1:17">
      <c r="A443" s="13">
        <v>442</v>
      </c>
      <c r="B443" s="13" t="s">
        <v>695</v>
      </c>
      <c r="C443" s="13" t="s">
        <v>696</v>
      </c>
      <c r="D443" s="13" t="s">
        <v>901</v>
      </c>
      <c r="E443" s="13" t="s">
        <v>59</v>
      </c>
      <c r="F443" s="13" t="s">
        <v>902</v>
      </c>
      <c r="G443" s="13" t="s">
        <v>699</v>
      </c>
      <c r="H443" s="14">
        <v>46003</v>
      </c>
      <c r="I443" s="14">
        <v>45822</v>
      </c>
      <c r="J443" s="14">
        <v>46087</v>
      </c>
      <c r="K443" s="14">
        <v>46021</v>
      </c>
      <c r="L443" s="14"/>
      <c r="M443" s="14">
        <v>46030</v>
      </c>
      <c r="N443" s="14">
        <v>46132</v>
      </c>
      <c r="O443" s="14">
        <v>46037</v>
      </c>
      <c r="P443" s="14"/>
      <c r="Q443" s="13"/>
    </row>
    <row r="444" spans="1:17">
      <c r="A444" s="13">
        <v>443</v>
      </c>
      <c r="B444" s="13" t="s">
        <v>695</v>
      </c>
      <c r="C444" s="13" t="s">
        <v>696</v>
      </c>
      <c r="D444" s="13" t="s">
        <v>903</v>
      </c>
      <c r="E444" s="13" t="s">
        <v>59</v>
      </c>
      <c r="F444" s="13" t="s">
        <v>904</v>
      </c>
      <c r="G444" s="13" t="s">
        <v>699</v>
      </c>
      <c r="H444" s="14">
        <v>46000</v>
      </c>
      <c r="I444" s="14">
        <v>45850</v>
      </c>
      <c r="J444" s="14">
        <v>45897</v>
      </c>
      <c r="K444" s="14">
        <v>46016</v>
      </c>
      <c r="L444" s="14"/>
      <c r="M444" s="14">
        <v>46027</v>
      </c>
      <c r="N444" s="14">
        <v>46000</v>
      </c>
      <c r="O444" s="14">
        <v>46034</v>
      </c>
      <c r="P444" s="14"/>
      <c r="Q444" s="13"/>
    </row>
    <row r="445" spans="1:17">
      <c r="A445" s="13">
        <v>444</v>
      </c>
      <c r="B445" s="13" t="s">
        <v>695</v>
      </c>
      <c r="C445" s="13" t="s">
        <v>696</v>
      </c>
      <c r="D445" s="13" t="s">
        <v>905</v>
      </c>
      <c r="E445" s="13" t="s">
        <v>59</v>
      </c>
      <c r="F445" s="13" t="s">
        <v>906</v>
      </c>
      <c r="G445" s="13" t="s">
        <v>699</v>
      </c>
      <c r="H445" s="14">
        <v>46000</v>
      </c>
      <c r="I445" s="14">
        <v>45850</v>
      </c>
      <c r="J445" s="14">
        <v>46000</v>
      </c>
      <c r="K445" s="14">
        <v>46016</v>
      </c>
      <c r="L445" s="14"/>
      <c r="M445" s="14">
        <v>46027</v>
      </c>
      <c r="N445" s="14">
        <v>46000</v>
      </c>
      <c r="O445" s="14">
        <v>46034</v>
      </c>
      <c r="P445" s="14"/>
      <c r="Q445" s="13"/>
    </row>
    <row r="446" spans="1:17">
      <c r="A446" s="13">
        <v>445</v>
      </c>
      <c r="B446" s="13" t="s">
        <v>695</v>
      </c>
      <c r="C446" s="13" t="s">
        <v>696</v>
      </c>
      <c r="D446" s="13" t="s">
        <v>907</v>
      </c>
      <c r="E446" s="13" t="s">
        <v>59</v>
      </c>
      <c r="F446" s="13" t="s">
        <v>908</v>
      </c>
      <c r="G446" s="13" t="s">
        <v>699</v>
      </c>
      <c r="H446" s="14">
        <v>46000</v>
      </c>
      <c r="I446" s="14"/>
      <c r="J446" s="14">
        <v>46000</v>
      </c>
      <c r="K446" s="14">
        <v>46016</v>
      </c>
      <c r="L446" s="14"/>
      <c r="M446" s="14">
        <v>46027</v>
      </c>
      <c r="N446" s="14">
        <v>46031</v>
      </c>
      <c r="O446" s="14">
        <v>46034</v>
      </c>
      <c r="P446" s="14"/>
      <c r="Q446" s="13"/>
    </row>
    <row r="447" spans="1:17">
      <c r="A447" s="13">
        <v>446</v>
      </c>
      <c r="B447" s="13" t="s">
        <v>695</v>
      </c>
      <c r="C447" s="13" t="s">
        <v>696</v>
      </c>
      <c r="D447" s="13" t="s">
        <v>909</v>
      </c>
      <c r="E447" s="13" t="s">
        <v>64</v>
      </c>
      <c r="F447" s="13" t="s">
        <v>910</v>
      </c>
      <c r="G447" s="13" t="s">
        <v>699</v>
      </c>
      <c r="H447" s="14">
        <v>45719</v>
      </c>
      <c r="I447" s="14">
        <v>45719</v>
      </c>
      <c r="J447" s="14">
        <v>45719</v>
      </c>
      <c r="K447" s="14">
        <v>45735</v>
      </c>
      <c r="L447" s="14">
        <v>45742</v>
      </c>
      <c r="M447" s="14">
        <v>45747</v>
      </c>
      <c r="N447" s="14">
        <v>45744</v>
      </c>
      <c r="O447" s="14">
        <v>45754</v>
      </c>
      <c r="P447" s="14"/>
      <c r="Q447" s="13"/>
    </row>
    <row r="448" spans="1:17">
      <c r="A448" s="13">
        <v>447</v>
      </c>
      <c r="B448" s="13" t="s">
        <v>695</v>
      </c>
      <c r="C448" s="13" t="s">
        <v>696</v>
      </c>
      <c r="D448" s="13" t="s">
        <v>911</v>
      </c>
      <c r="E448" s="13" t="s">
        <v>64</v>
      </c>
      <c r="F448" s="13" t="s">
        <v>912</v>
      </c>
      <c r="G448" s="13" t="s">
        <v>699</v>
      </c>
      <c r="H448" s="14">
        <v>45719</v>
      </c>
      <c r="I448" s="14">
        <v>45719</v>
      </c>
      <c r="J448" s="14">
        <v>45719</v>
      </c>
      <c r="K448" s="14">
        <v>45735</v>
      </c>
      <c r="L448" s="14">
        <v>45742</v>
      </c>
      <c r="M448" s="14">
        <v>45747</v>
      </c>
      <c r="N448" s="14">
        <v>45744</v>
      </c>
      <c r="O448" s="14">
        <v>45754</v>
      </c>
      <c r="P448" s="14"/>
      <c r="Q448" s="13"/>
    </row>
    <row r="449" spans="1:17">
      <c r="A449" s="13">
        <v>448</v>
      </c>
      <c r="B449" s="13" t="s">
        <v>695</v>
      </c>
      <c r="C449" s="13" t="s">
        <v>696</v>
      </c>
      <c r="D449" s="13" t="s">
        <v>913</v>
      </c>
      <c r="E449" s="13" t="s">
        <v>64</v>
      </c>
      <c r="F449" s="13" t="s">
        <v>914</v>
      </c>
      <c r="G449" s="13" t="s">
        <v>699</v>
      </c>
      <c r="H449" s="14">
        <v>45801</v>
      </c>
      <c r="I449" s="14">
        <v>45801</v>
      </c>
      <c r="J449" s="14">
        <v>45817</v>
      </c>
      <c r="K449" s="14">
        <v>45818</v>
      </c>
      <c r="L449" s="14"/>
      <c r="M449" s="14">
        <v>45827</v>
      </c>
      <c r="N449" s="14">
        <v>46000</v>
      </c>
      <c r="O449" s="14">
        <v>45834</v>
      </c>
      <c r="P449" s="14"/>
      <c r="Q449" s="13"/>
    </row>
    <row r="450" spans="1:17">
      <c r="A450" s="13">
        <v>449</v>
      </c>
      <c r="B450" s="13" t="s">
        <v>695</v>
      </c>
      <c r="C450" s="13" t="s">
        <v>696</v>
      </c>
      <c r="D450" s="13" t="s">
        <v>915</v>
      </c>
      <c r="E450" s="13" t="s">
        <v>64</v>
      </c>
      <c r="F450" s="13" t="s">
        <v>916</v>
      </c>
      <c r="G450" s="13" t="s">
        <v>699</v>
      </c>
      <c r="H450" s="14">
        <v>45801</v>
      </c>
      <c r="I450" s="14">
        <v>45801</v>
      </c>
      <c r="J450" s="14">
        <v>45817</v>
      </c>
      <c r="K450" s="14">
        <v>45818</v>
      </c>
      <c r="L450" s="14"/>
      <c r="M450" s="14">
        <v>45827</v>
      </c>
      <c r="N450" s="14">
        <v>46000</v>
      </c>
      <c r="O450" s="14">
        <v>45834</v>
      </c>
      <c r="P450" s="14"/>
      <c r="Q450" s="13"/>
    </row>
    <row r="451" spans="1:17">
      <c r="A451" s="13">
        <v>450</v>
      </c>
      <c r="B451" s="13" t="s">
        <v>695</v>
      </c>
      <c r="C451" s="13" t="s">
        <v>696</v>
      </c>
      <c r="D451" s="13" t="s">
        <v>917</v>
      </c>
      <c r="E451" s="13" t="s">
        <v>64</v>
      </c>
      <c r="F451" s="13" t="s">
        <v>918</v>
      </c>
      <c r="G451" s="13" t="s">
        <v>699</v>
      </c>
      <c r="H451" s="14">
        <v>45822</v>
      </c>
      <c r="I451" s="14">
        <v>45822</v>
      </c>
      <c r="J451" s="14">
        <v>45860</v>
      </c>
      <c r="K451" s="14">
        <v>45839</v>
      </c>
      <c r="L451" s="14"/>
      <c r="M451" s="14">
        <v>45848</v>
      </c>
      <c r="N451" s="14">
        <v>45885</v>
      </c>
      <c r="O451" s="14">
        <v>45855</v>
      </c>
      <c r="P451" s="14"/>
      <c r="Q451" s="13"/>
    </row>
    <row r="452" spans="1:17">
      <c r="A452" s="13">
        <v>451</v>
      </c>
      <c r="B452" s="13" t="s">
        <v>695</v>
      </c>
      <c r="C452" s="13" t="s">
        <v>696</v>
      </c>
      <c r="D452" s="13" t="s">
        <v>919</v>
      </c>
      <c r="E452" s="13" t="s">
        <v>64</v>
      </c>
      <c r="F452" s="13" t="s">
        <v>920</v>
      </c>
      <c r="G452" s="13" t="s">
        <v>699</v>
      </c>
      <c r="H452" s="14">
        <v>46007</v>
      </c>
      <c r="I452" s="14">
        <v>45822</v>
      </c>
      <c r="J452" s="14">
        <v>45999</v>
      </c>
      <c r="K452" s="14">
        <v>46023</v>
      </c>
      <c r="L452" s="14"/>
      <c r="M452" s="14">
        <v>46034</v>
      </c>
      <c r="N452" s="14">
        <v>46000</v>
      </c>
      <c r="O452" s="14">
        <v>46041</v>
      </c>
      <c r="P452" s="14">
        <v>46006</v>
      </c>
      <c r="Q452" s="13"/>
    </row>
    <row r="453" spans="1:17">
      <c r="A453" s="13">
        <v>452</v>
      </c>
      <c r="B453" s="13" t="s">
        <v>695</v>
      </c>
      <c r="C453" s="13" t="s">
        <v>696</v>
      </c>
      <c r="D453" s="13" t="s">
        <v>921</v>
      </c>
      <c r="E453" s="13" t="s">
        <v>64</v>
      </c>
      <c r="F453" s="13" t="s">
        <v>922</v>
      </c>
      <c r="G453" s="13" t="s">
        <v>699</v>
      </c>
      <c r="H453" s="14">
        <v>46008</v>
      </c>
      <c r="I453" s="14">
        <v>45829</v>
      </c>
      <c r="J453" s="14">
        <v>46093</v>
      </c>
      <c r="K453" s="14">
        <v>46024</v>
      </c>
      <c r="L453" s="14"/>
      <c r="M453" s="14">
        <v>45976</v>
      </c>
      <c r="N453" s="14">
        <v>46132</v>
      </c>
      <c r="O453" s="14">
        <v>45983</v>
      </c>
      <c r="P453" s="14"/>
      <c r="Q453" s="13"/>
    </row>
    <row r="454" spans="1:17">
      <c r="A454" s="13">
        <v>453</v>
      </c>
      <c r="B454" s="13" t="s">
        <v>695</v>
      </c>
      <c r="C454" s="13" t="s">
        <v>696</v>
      </c>
      <c r="D454" s="13" t="s">
        <v>923</v>
      </c>
      <c r="E454" s="13" t="s">
        <v>64</v>
      </c>
      <c r="F454" s="13" t="s">
        <v>924</v>
      </c>
      <c r="G454" s="13" t="s">
        <v>699</v>
      </c>
      <c r="H454" s="14">
        <v>46007</v>
      </c>
      <c r="I454" s="14">
        <v>45836</v>
      </c>
      <c r="J454" s="14">
        <v>46003</v>
      </c>
      <c r="K454" s="14">
        <v>46023</v>
      </c>
      <c r="L454" s="14"/>
      <c r="M454" s="14">
        <v>45976</v>
      </c>
      <c r="N454" s="14">
        <v>46006</v>
      </c>
      <c r="O454" s="14">
        <v>45983</v>
      </c>
      <c r="P454" s="14">
        <v>46010</v>
      </c>
      <c r="Q454" s="13"/>
    </row>
    <row r="455" spans="1:17">
      <c r="A455" s="13">
        <v>454</v>
      </c>
      <c r="B455" s="13" t="s">
        <v>695</v>
      </c>
      <c r="C455" s="13" t="s">
        <v>696</v>
      </c>
      <c r="D455" s="13" t="s">
        <v>925</v>
      </c>
      <c r="E455" s="13" t="s">
        <v>64</v>
      </c>
      <c r="F455" s="13" t="s">
        <v>926</v>
      </c>
      <c r="G455" s="13" t="s">
        <v>699</v>
      </c>
      <c r="H455" s="14">
        <v>46007</v>
      </c>
      <c r="I455" s="14">
        <v>45836</v>
      </c>
      <c r="J455" s="14">
        <v>46003</v>
      </c>
      <c r="K455" s="14">
        <v>46023</v>
      </c>
      <c r="L455" s="14"/>
      <c r="M455" s="14">
        <v>45976</v>
      </c>
      <c r="N455" s="14">
        <v>46006</v>
      </c>
      <c r="O455" s="14">
        <v>45983</v>
      </c>
      <c r="P455" s="14">
        <v>46010</v>
      </c>
      <c r="Q455" s="13"/>
    </row>
    <row r="456" spans="1:17">
      <c r="A456" s="13">
        <v>455</v>
      </c>
      <c r="B456" s="13" t="s">
        <v>695</v>
      </c>
      <c r="C456" s="13" t="s">
        <v>696</v>
      </c>
      <c r="D456" s="13" t="s">
        <v>927</v>
      </c>
      <c r="E456" s="13" t="s">
        <v>928</v>
      </c>
      <c r="F456" s="13" t="s">
        <v>929</v>
      </c>
      <c r="G456" s="13" t="s">
        <v>699</v>
      </c>
      <c r="H456" s="14">
        <v>46007</v>
      </c>
      <c r="I456" s="14">
        <v>45836</v>
      </c>
      <c r="J456" s="14">
        <v>46030</v>
      </c>
      <c r="K456" s="14">
        <v>46023</v>
      </c>
      <c r="L456" s="14"/>
      <c r="M456" s="14">
        <v>45976</v>
      </c>
      <c r="N456" s="14">
        <v>46006</v>
      </c>
      <c r="O456" s="14">
        <v>45983</v>
      </c>
      <c r="P456" s="14"/>
      <c r="Q456" s="13"/>
    </row>
    <row r="457" spans="1:17">
      <c r="A457" s="13">
        <v>456</v>
      </c>
      <c r="B457" s="13" t="s">
        <v>695</v>
      </c>
      <c r="C457" s="13" t="s">
        <v>696</v>
      </c>
      <c r="D457" s="13" t="s">
        <v>930</v>
      </c>
      <c r="E457" s="13" t="s">
        <v>64</v>
      </c>
      <c r="F457" s="13" t="s">
        <v>931</v>
      </c>
      <c r="G457" s="13" t="s">
        <v>699</v>
      </c>
      <c r="H457" s="14">
        <v>46007</v>
      </c>
      <c r="I457" s="14">
        <v>45836</v>
      </c>
      <c r="J457" s="14">
        <v>46007</v>
      </c>
      <c r="K457" s="14">
        <v>46023</v>
      </c>
      <c r="L457" s="14"/>
      <c r="M457" s="14">
        <v>46034</v>
      </c>
      <c r="N457" s="14">
        <v>46132</v>
      </c>
      <c r="O457" s="14">
        <v>46041</v>
      </c>
      <c r="P457" s="14"/>
      <c r="Q457" s="13"/>
    </row>
    <row r="458" spans="1:17">
      <c r="A458" s="13">
        <v>457</v>
      </c>
      <c r="B458" s="13" t="s">
        <v>695</v>
      </c>
      <c r="C458" s="13" t="s">
        <v>696</v>
      </c>
      <c r="D458" s="13" t="s">
        <v>932</v>
      </c>
      <c r="E458" s="13" t="s">
        <v>64</v>
      </c>
      <c r="F458" s="13" t="s">
        <v>933</v>
      </c>
      <c r="G458" s="13" t="s">
        <v>699</v>
      </c>
      <c r="H458" s="14">
        <v>46007</v>
      </c>
      <c r="I458" s="14"/>
      <c r="J458" s="14">
        <v>45999</v>
      </c>
      <c r="K458" s="14">
        <v>46023</v>
      </c>
      <c r="L458" s="14"/>
      <c r="M458" s="14">
        <v>46034</v>
      </c>
      <c r="N458" s="14">
        <v>46000</v>
      </c>
      <c r="O458" s="14">
        <v>46041</v>
      </c>
      <c r="P458" s="14">
        <v>46010</v>
      </c>
      <c r="Q458" s="13"/>
    </row>
    <row r="459" spans="1:17">
      <c r="A459" s="13">
        <v>458</v>
      </c>
      <c r="B459" s="13" t="s">
        <v>695</v>
      </c>
      <c r="C459" s="13" t="s">
        <v>696</v>
      </c>
      <c r="D459" s="13" t="s">
        <v>934</v>
      </c>
      <c r="E459" s="13" t="s">
        <v>935</v>
      </c>
      <c r="F459" s="13" t="s">
        <v>936</v>
      </c>
      <c r="G459" s="13" t="s">
        <v>699</v>
      </c>
      <c r="H459" s="14">
        <v>46007</v>
      </c>
      <c r="I459" s="14"/>
      <c r="J459" s="14">
        <v>46008</v>
      </c>
      <c r="K459" s="14">
        <v>46023</v>
      </c>
      <c r="L459" s="14"/>
      <c r="M459" s="14">
        <v>46034</v>
      </c>
      <c r="N459" s="14">
        <v>46132</v>
      </c>
      <c r="O459" s="14">
        <v>46041</v>
      </c>
      <c r="P459" s="14"/>
      <c r="Q459" s="13"/>
    </row>
    <row r="460" spans="1:17">
      <c r="A460" s="13">
        <v>459</v>
      </c>
      <c r="B460" s="13" t="s">
        <v>695</v>
      </c>
      <c r="C460" s="13" t="s">
        <v>696</v>
      </c>
      <c r="D460" s="13" t="s">
        <v>937</v>
      </c>
      <c r="E460" s="13" t="s">
        <v>69</v>
      </c>
      <c r="F460" s="13" t="s">
        <v>938</v>
      </c>
      <c r="G460" s="13" t="s">
        <v>699</v>
      </c>
      <c r="H460" s="14">
        <v>45719</v>
      </c>
      <c r="I460" s="14">
        <v>45719</v>
      </c>
      <c r="J460" s="14">
        <v>45719</v>
      </c>
      <c r="K460" s="14">
        <v>45735</v>
      </c>
      <c r="L460" s="14">
        <v>45742</v>
      </c>
      <c r="M460" s="14">
        <v>45747</v>
      </c>
      <c r="N460" s="14">
        <v>45744</v>
      </c>
      <c r="O460" s="14">
        <v>45754</v>
      </c>
      <c r="P460" s="14"/>
      <c r="Q460" s="13"/>
    </row>
    <row r="461" spans="1:17">
      <c r="A461" s="13">
        <v>460</v>
      </c>
      <c r="B461" s="13" t="s">
        <v>695</v>
      </c>
      <c r="C461" s="13" t="s">
        <v>696</v>
      </c>
      <c r="D461" s="13" t="s">
        <v>939</v>
      </c>
      <c r="E461" s="13" t="s">
        <v>69</v>
      </c>
      <c r="F461" s="13" t="s">
        <v>940</v>
      </c>
      <c r="G461" s="13" t="s">
        <v>699</v>
      </c>
      <c r="H461" s="14">
        <v>45719</v>
      </c>
      <c r="I461" s="14">
        <v>45719</v>
      </c>
      <c r="J461" s="14">
        <v>45719</v>
      </c>
      <c r="K461" s="14">
        <v>45735</v>
      </c>
      <c r="L461" s="14">
        <v>45742</v>
      </c>
      <c r="M461" s="14">
        <v>45747</v>
      </c>
      <c r="N461" s="14">
        <v>45744</v>
      </c>
      <c r="O461" s="14">
        <v>45754</v>
      </c>
      <c r="P461" s="14"/>
      <c r="Q461" s="13"/>
    </row>
    <row r="462" spans="1:17">
      <c r="A462" s="13">
        <v>461</v>
      </c>
      <c r="B462" s="13" t="s">
        <v>695</v>
      </c>
      <c r="C462" s="13" t="s">
        <v>696</v>
      </c>
      <c r="D462" s="13" t="s">
        <v>941</v>
      </c>
      <c r="E462" s="13" t="s">
        <v>69</v>
      </c>
      <c r="F462" s="13" t="s">
        <v>942</v>
      </c>
      <c r="G462" s="13" t="s">
        <v>699</v>
      </c>
      <c r="H462" s="14">
        <v>46010</v>
      </c>
      <c r="I462" s="14">
        <v>45801</v>
      </c>
      <c r="J462" s="14">
        <v>46006</v>
      </c>
      <c r="K462" s="14">
        <v>46028</v>
      </c>
      <c r="L462" s="14"/>
      <c r="M462" s="14">
        <v>46037</v>
      </c>
      <c r="N462" s="14">
        <v>46009</v>
      </c>
      <c r="O462" s="14">
        <v>46044</v>
      </c>
      <c r="P462" s="14">
        <v>46010</v>
      </c>
      <c r="Q462" s="13"/>
    </row>
    <row r="463" spans="1:17">
      <c r="A463" s="13">
        <v>462</v>
      </c>
      <c r="B463" s="13" t="s">
        <v>1107</v>
      </c>
      <c r="C463" s="13" t="s">
        <v>696</v>
      </c>
      <c r="D463" s="13" t="s">
        <v>943</v>
      </c>
      <c r="E463" s="13" t="s">
        <v>69</v>
      </c>
      <c r="F463" s="13" t="s">
        <v>944</v>
      </c>
      <c r="G463" s="13" t="s">
        <v>699</v>
      </c>
      <c r="H463" s="14">
        <v>46010</v>
      </c>
      <c r="I463" s="14">
        <v>45801</v>
      </c>
      <c r="J463" s="14">
        <v>46003</v>
      </c>
      <c r="K463" s="14">
        <v>46028</v>
      </c>
      <c r="L463" s="14"/>
      <c r="M463" s="14">
        <v>46037</v>
      </c>
      <c r="N463" s="14">
        <v>46009</v>
      </c>
      <c r="O463" s="14">
        <v>46044</v>
      </c>
      <c r="P463" s="14">
        <v>46010</v>
      </c>
      <c r="Q463" s="13" t="s">
        <v>719</v>
      </c>
    </row>
    <row r="464" spans="1:17">
      <c r="A464" s="13">
        <v>463</v>
      </c>
      <c r="B464" s="13" t="s">
        <v>1107</v>
      </c>
      <c r="C464" s="13" t="s">
        <v>696</v>
      </c>
      <c r="D464" s="13" t="s">
        <v>945</v>
      </c>
      <c r="E464" s="13" t="s">
        <v>69</v>
      </c>
      <c r="F464" s="13" t="s">
        <v>946</v>
      </c>
      <c r="G464" s="13" t="s">
        <v>699</v>
      </c>
      <c r="H464" s="14">
        <v>45808</v>
      </c>
      <c r="I464" s="14">
        <v>45808</v>
      </c>
      <c r="J464" s="14">
        <v>45840</v>
      </c>
      <c r="K464" s="14">
        <v>45825</v>
      </c>
      <c r="L464" s="14"/>
      <c r="M464" s="14">
        <v>45834</v>
      </c>
      <c r="N464" s="14">
        <v>46000</v>
      </c>
      <c r="O464" s="14">
        <v>45841</v>
      </c>
      <c r="P464" s="14"/>
      <c r="Q464" s="13" t="s">
        <v>719</v>
      </c>
    </row>
    <row r="465" spans="1:17">
      <c r="A465" s="13">
        <v>464</v>
      </c>
      <c r="B465" s="13" t="s">
        <v>1107</v>
      </c>
      <c r="C465" s="13" t="s">
        <v>696</v>
      </c>
      <c r="D465" s="13" t="s">
        <v>947</v>
      </c>
      <c r="E465" s="13" t="s">
        <v>69</v>
      </c>
      <c r="F465" s="13" t="s">
        <v>948</v>
      </c>
      <c r="G465" s="13" t="s">
        <v>699</v>
      </c>
      <c r="H465" s="14">
        <v>45808</v>
      </c>
      <c r="I465" s="14">
        <v>45808</v>
      </c>
      <c r="J465" s="14">
        <v>45840</v>
      </c>
      <c r="K465" s="14">
        <v>45825</v>
      </c>
      <c r="L465" s="14"/>
      <c r="M465" s="14">
        <v>45834</v>
      </c>
      <c r="N465" s="14">
        <v>46000</v>
      </c>
      <c r="O465" s="14">
        <v>45841</v>
      </c>
      <c r="P465" s="14"/>
      <c r="Q465" s="13" t="s">
        <v>719</v>
      </c>
    </row>
    <row r="466" spans="1:17">
      <c r="A466" s="13">
        <v>465</v>
      </c>
      <c r="B466" s="13" t="s">
        <v>1107</v>
      </c>
      <c r="C466" s="13" t="s">
        <v>696</v>
      </c>
      <c r="D466" s="13" t="s">
        <v>949</v>
      </c>
      <c r="E466" s="13" t="s">
        <v>69</v>
      </c>
      <c r="F466" s="13" t="s">
        <v>950</v>
      </c>
      <c r="G466" s="13" t="s">
        <v>699</v>
      </c>
      <c r="H466" s="14">
        <v>46013</v>
      </c>
      <c r="I466" s="14">
        <v>45829</v>
      </c>
      <c r="J466" s="14">
        <v>46114</v>
      </c>
      <c r="K466" s="14">
        <v>46029</v>
      </c>
      <c r="L466" s="14"/>
      <c r="M466" s="14">
        <v>45976</v>
      </c>
      <c r="N466" s="14">
        <v>46132</v>
      </c>
      <c r="O466" s="14">
        <v>45983</v>
      </c>
      <c r="P466" s="14"/>
      <c r="Q466" s="13"/>
    </row>
    <row r="467" spans="1:17">
      <c r="A467" s="13">
        <v>466</v>
      </c>
      <c r="B467" s="13" t="s">
        <v>1107</v>
      </c>
      <c r="C467" s="13" t="s">
        <v>696</v>
      </c>
      <c r="D467" s="13" t="s">
        <v>951</v>
      </c>
      <c r="E467" s="13" t="s">
        <v>69</v>
      </c>
      <c r="F467" s="13" t="s">
        <v>952</v>
      </c>
      <c r="G467" s="13"/>
      <c r="H467" s="14">
        <v>46010</v>
      </c>
      <c r="I467" s="14"/>
      <c r="J467" s="14">
        <v>46003</v>
      </c>
      <c r="K467" s="14">
        <v>46028</v>
      </c>
      <c r="L467" s="14"/>
      <c r="M467" s="14">
        <v>46037</v>
      </c>
      <c r="N467" s="14">
        <v>46006</v>
      </c>
      <c r="O467" s="14">
        <v>46044</v>
      </c>
      <c r="P467" s="14">
        <v>46010</v>
      </c>
      <c r="Q467" s="13"/>
    </row>
    <row r="468" spans="1:17">
      <c r="A468" s="13">
        <v>467</v>
      </c>
      <c r="B468" s="13" t="s">
        <v>1107</v>
      </c>
      <c r="C468" s="13" t="s">
        <v>696</v>
      </c>
      <c r="D468" s="13" t="s">
        <v>953</v>
      </c>
      <c r="E468" s="13" t="s">
        <v>74</v>
      </c>
      <c r="F468" s="13" t="s">
        <v>954</v>
      </c>
      <c r="G468" s="13" t="s">
        <v>699</v>
      </c>
      <c r="H468" s="14">
        <v>46012</v>
      </c>
      <c r="I468" s="14">
        <v>45719</v>
      </c>
      <c r="J468" s="14">
        <v>45719</v>
      </c>
      <c r="K468" s="14">
        <v>46028</v>
      </c>
      <c r="L468" s="14">
        <v>45742</v>
      </c>
      <c r="M468" s="14">
        <v>45747</v>
      </c>
      <c r="N468" s="14">
        <v>45744</v>
      </c>
      <c r="O468" s="14">
        <v>45754</v>
      </c>
      <c r="P468" s="14"/>
      <c r="Q468" s="13"/>
    </row>
    <row r="469" spans="1:17">
      <c r="A469" s="13">
        <v>468</v>
      </c>
      <c r="B469" s="13" t="s">
        <v>1107</v>
      </c>
      <c r="C469" s="13" t="s">
        <v>696</v>
      </c>
      <c r="D469" s="13" t="s">
        <v>955</v>
      </c>
      <c r="E469" s="13" t="s">
        <v>74</v>
      </c>
      <c r="F469" s="13" t="s">
        <v>956</v>
      </c>
      <c r="G469" s="13" t="s">
        <v>699</v>
      </c>
      <c r="H469" s="14">
        <v>45719</v>
      </c>
      <c r="I469" s="14">
        <v>45719</v>
      </c>
      <c r="J469" s="14">
        <v>45719</v>
      </c>
      <c r="K469" s="14">
        <v>45735</v>
      </c>
      <c r="L469" s="14">
        <v>45742</v>
      </c>
      <c r="M469" s="14">
        <v>45747</v>
      </c>
      <c r="N469" s="14">
        <v>45744</v>
      </c>
      <c r="O469" s="14">
        <v>45754</v>
      </c>
      <c r="P469" s="14"/>
      <c r="Q469" s="13"/>
    </row>
    <row r="470" spans="1:17">
      <c r="A470" s="13">
        <v>469</v>
      </c>
      <c r="B470" s="13" t="s">
        <v>1107</v>
      </c>
      <c r="C470" s="13" t="s">
        <v>696</v>
      </c>
      <c r="D470" s="13" t="s">
        <v>957</v>
      </c>
      <c r="E470" s="13" t="s">
        <v>74</v>
      </c>
      <c r="F470" s="13" t="s">
        <v>958</v>
      </c>
      <c r="G470" s="13" t="s">
        <v>699</v>
      </c>
      <c r="H470" s="14">
        <v>46020</v>
      </c>
      <c r="I470" s="14">
        <v>45829</v>
      </c>
      <c r="J470" s="14">
        <v>46003</v>
      </c>
      <c r="K470" s="14">
        <v>46036</v>
      </c>
      <c r="L470" s="14"/>
      <c r="M470" s="14">
        <v>46045</v>
      </c>
      <c r="N470" s="14">
        <v>46006</v>
      </c>
      <c r="O470" s="14">
        <v>46052</v>
      </c>
      <c r="P470" s="14">
        <v>46018</v>
      </c>
      <c r="Q470" s="13"/>
    </row>
    <row r="471" spans="1:17">
      <c r="A471" s="13">
        <v>470</v>
      </c>
      <c r="B471" s="13" t="s">
        <v>1107</v>
      </c>
      <c r="C471" s="13" t="s">
        <v>696</v>
      </c>
      <c r="D471" s="13" t="s">
        <v>959</v>
      </c>
      <c r="E471" s="13" t="s">
        <v>74</v>
      </c>
      <c r="F471" s="13" t="s">
        <v>960</v>
      </c>
      <c r="G471" s="13" t="s">
        <v>699</v>
      </c>
      <c r="H471" s="14">
        <v>46020</v>
      </c>
      <c r="I471" s="14">
        <v>45829</v>
      </c>
      <c r="J471" s="14">
        <v>46003</v>
      </c>
      <c r="K471" s="14">
        <v>46036</v>
      </c>
      <c r="L471" s="14"/>
      <c r="M471" s="14">
        <v>46045</v>
      </c>
      <c r="N471" s="14">
        <v>46006</v>
      </c>
      <c r="O471" s="14">
        <v>46052</v>
      </c>
      <c r="P471" s="14">
        <v>46018</v>
      </c>
      <c r="Q471" s="13"/>
    </row>
    <row r="472" spans="1:17">
      <c r="A472" s="13">
        <v>471</v>
      </c>
      <c r="B472" s="13" t="s">
        <v>1107</v>
      </c>
      <c r="C472" s="13" t="s">
        <v>696</v>
      </c>
      <c r="D472" s="13" t="s">
        <v>961</v>
      </c>
      <c r="E472" s="13" t="s">
        <v>74</v>
      </c>
      <c r="F472" s="13" t="s">
        <v>962</v>
      </c>
      <c r="G472" s="13" t="s">
        <v>699</v>
      </c>
      <c r="H472" s="14">
        <v>46020</v>
      </c>
      <c r="I472" s="14">
        <v>45829</v>
      </c>
      <c r="J472" s="14">
        <v>46003</v>
      </c>
      <c r="K472" s="14">
        <v>46036</v>
      </c>
      <c r="L472" s="14"/>
      <c r="M472" s="14">
        <v>46045</v>
      </c>
      <c r="N472" s="14">
        <v>46006</v>
      </c>
      <c r="O472" s="14">
        <v>46052</v>
      </c>
      <c r="P472" s="14">
        <v>46018</v>
      </c>
      <c r="Q472" s="13"/>
    </row>
    <row r="473" spans="1:17">
      <c r="A473" s="13">
        <v>472</v>
      </c>
      <c r="B473" s="13" t="s">
        <v>1107</v>
      </c>
      <c r="C473" s="13" t="s">
        <v>696</v>
      </c>
      <c r="D473" s="13" t="s">
        <v>963</v>
      </c>
      <c r="E473" s="13" t="s">
        <v>74</v>
      </c>
      <c r="F473" s="13" t="s">
        <v>964</v>
      </c>
      <c r="G473" s="13" t="s">
        <v>699</v>
      </c>
      <c r="H473" s="14">
        <v>45829</v>
      </c>
      <c r="I473" s="14">
        <v>45829</v>
      </c>
      <c r="J473" s="14">
        <v>45842</v>
      </c>
      <c r="K473" s="14">
        <v>45846</v>
      </c>
      <c r="L473" s="14"/>
      <c r="M473" s="14">
        <v>45855</v>
      </c>
      <c r="N473" s="14">
        <v>46000</v>
      </c>
      <c r="O473" s="14">
        <v>45862</v>
      </c>
      <c r="P473" s="14"/>
      <c r="Q473" s="13"/>
    </row>
    <row r="474" spans="1:17">
      <c r="A474" s="13">
        <v>473</v>
      </c>
      <c r="B474" s="13" t="s">
        <v>1107</v>
      </c>
      <c r="C474" s="13" t="s">
        <v>696</v>
      </c>
      <c r="D474" s="13" t="s">
        <v>965</v>
      </c>
      <c r="E474" s="13" t="s">
        <v>74</v>
      </c>
      <c r="F474" s="13" t="s">
        <v>966</v>
      </c>
      <c r="G474" s="13" t="s">
        <v>699</v>
      </c>
      <c r="H474" s="14">
        <v>45829</v>
      </c>
      <c r="I474" s="14">
        <v>45829</v>
      </c>
      <c r="J474" s="14">
        <v>45842</v>
      </c>
      <c r="K474" s="14">
        <v>45846</v>
      </c>
      <c r="L474" s="14"/>
      <c r="M474" s="14">
        <v>45855</v>
      </c>
      <c r="N474" s="14">
        <v>46000</v>
      </c>
      <c r="O474" s="14">
        <v>45862</v>
      </c>
      <c r="P474" s="14"/>
      <c r="Q474" s="13"/>
    </row>
    <row r="475" spans="1:17">
      <c r="A475" s="13">
        <v>474</v>
      </c>
      <c r="B475" s="13" t="s">
        <v>1107</v>
      </c>
      <c r="C475" s="13" t="s">
        <v>696</v>
      </c>
      <c r="D475" s="13" t="s">
        <v>967</v>
      </c>
      <c r="E475" s="13" t="s">
        <v>74</v>
      </c>
      <c r="F475" s="13" t="s">
        <v>968</v>
      </c>
      <c r="G475" s="13" t="s">
        <v>699</v>
      </c>
      <c r="H475" s="14">
        <v>46020</v>
      </c>
      <c r="I475" s="14">
        <v>45829</v>
      </c>
      <c r="J475" s="14">
        <v>46093</v>
      </c>
      <c r="K475" s="14">
        <v>46036</v>
      </c>
      <c r="L475" s="14"/>
      <c r="M475" s="14">
        <v>46045</v>
      </c>
      <c r="N475" s="14">
        <v>46132</v>
      </c>
      <c r="O475" s="14">
        <v>46052</v>
      </c>
      <c r="P475" s="14"/>
      <c r="Q475" s="13" t="s">
        <v>719</v>
      </c>
    </row>
    <row r="476" spans="1:17">
      <c r="A476" s="13">
        <v>475</v>
      </c>
      <c r="B476" s="13" t="s">
        <v>1107</v>
      </c>
      <c r="C476" s="13" t="s">
        <v>696</v>
      </c>
      <c r="D476" s="13" t="s">
        <v>969</v>
      </c>
      <c r="E476" s="13" t="s">
        <v>74</v>
      </c>
      <c r="F476" s="13" t="s">
        <v>970</v>
      </c>
      <c r="G476" s="13" t="s">
        <v>699</v>
      </c>
      <c r="H476" s="14">
        <v>46020</v>
      </c>
      <c r="I476" s="14">
        <v>45829</v>
      </c>
      <c r="J476" s="14">
        <v>45995</v>
      </c>
      <c r="K476" s="14">
        <v>46036</v>
      </c>
      <c r="L476" s="14"/>
      <c r="M476" s="14">
        <v>46045</v>
      </c>
      <c r="N476" s="14">
        <v>46000</v>
      </c>
      <c r="O476" s="14">
        <v>46052</v>
      </c>
      <c r="P476" s="14">
        <v>46018</v>
      </c>
      <c r="Q476" s="13"/>
    </row>
    <row r="477" spans="1:17">
      <c r="A477" s="13">
        <v>476</v>
      </c>
      <c r="B477" s="13" t="s">
        <v>1107</v>
      </c>
      <c r="C477" s="13" t="s">
        <v>696</v>
      </c>
      <c r="D477" s="13" t="s">
        <v>971</v>
      </c>
      <c r="E477" s="13" t="s">
        <v>74</v>
      </c>
      <c r="F477" s="13" t="s">
        <v>972</v>
      </c>
      <c r="G477" s="13"/>
      <c r="H477" s="14">
        <v>46020</v>
      </c>
      <c r="I477" s="14"/>
      <c r="J477" s="14">
        <v>46003</v>
      </c>
      <c r="K477" s="14">
        <v>46036</v>
      </c>
      <c r="L477" s="14"/>
      <c r="M477" s="14">
        <v>46045</v>
      </c>
      <c r="N477" s="14">
        <v>46006</v>
      </c>
      <c r="O477" s="14">
        <v>46052</v>
      </c>
      <c r="P477" s="14">
        <v>46018</v>
      </c>
      <c r="Q477" s="13"/>
    </row>
    <row r="478" spans="1:17">
      <c r="A478" s="13">
        <v>477</v>
      </c>
      <c r="B478" s="13" t="s">
        <v>1107</v>
      </c>
      <c r="C478" s="13" t="s">
        <v>696</v>
      </c>
      <c r="D478" s="13" t="s">
        <v>973</v>
      </c>
      <c r="E478" s="13" t="s">
        <v>74</v>
      </c>
      <c r="F478" s="13" t="s">
        <v>974</v>
      </c>
      <c r="G478" s="13"/>
      <c r="H478" s="14">
        <v>46020</v>
      </c>
      <c r="I478" s="14"/>
      <c r="J478" s="14">
        <v>46003</v>
      </c>
      <c r="K478" s="14">
        <v>46036</v>
      </c>
      <c r="L478" s="14"/>
      <c r="M478" s="14">
        <v>46045</v>
      </c>
      <c r="N478" s="14">
        <v>46006</v>
      </c>
      <c r="O478" s="14">
        <v>46052</v>
      </c>
      <c r="P478" s="14">
        <v>46018</v>
      </c>
      <c r="Q478" s="13"/>
    </row>
    <row r="479" spans="1:17">
      <c r="A479" s="13">
        <v>478</v>
      </c>
      <c r="B479" s="13" t="s">
        <v>1107</v>
      </c>
      <c r="C479" s="13" t="s">
        <v>696</v>
      </c>
      <c r="D479" s="13" t="s">
        <v>975</v>
      </c>
      <c r="E479" s="13" t="s">
        <v>928</v>
      </c>
      <c r="F479" s="13" t="s">
        <v>976</v>
      </c>
      <c r="G479" s="13" t="s">
        <v>699</v>
      </c>
      <c r="H479" s="14">
        <v>45719</v>
      </c>
      <c r="I479" s="14">
        <v>45719</v>
      </c>
      <c r="J479" s="14">
        <v>45719</v>
      </c>
      <c r="K479" s="14">
        <v>45735</v>
      </c>
      <c r="L479" s="14">
        <v>45735</v>
      </c>
      <c r="M479" s="14">
        <v>45744</v>
      </c>
      <c r="N479" s="14">
        <v>45744</v>
      </c>
      <c r="O479" s="14">
        <v>45751</v>
      </c>
      <c r="P479" s="14">
        <v>45752</v>
      </c>
      <c r="Q479" s="13"/>
    </row>
    <row r="480" spans="1:17">
      <c r="A480" s="13">
        <v>479</v>
      </c>
      <c r="B480" s="13" t="s">
        <v>1107</v>
      </c>
      <c r="C480" s="13" t="s">
        <v>696</v>
      </c>
      <c r="D480" s="13" t="s">
        <v>977</v>
      </c>
      <c r="E480" s="13" t="s">
        <v>928</v>
      </c>
      <c r="F480" s="13" t="s">
        <v>978</v>
      </c>
      <c r="G480" s="13" t="s">
        <v>699</v>
      </c>
      <c r="H480" s="14">
        <v>45719</v>
      </c>
      <c r="I480" s="14">
        <v>45719</v>
      </c>
      <c r="J480" s="14">
        <v>45719</v>
      </c>
      <c r="K480" s="14">
        <v>45735</v>
      </c>
      <c r="L480" s="14">
        <v>45735</v>
      </c>
      <c r="M480" s="14">
        <v>45744</v>
      </c>
      <c r="N480" s="14">
        <v>45744</v>
      </c>
      <c r="O480" s="14">
        <v>45751</v>
      </c>
      <c r="P480" s="14">
        <v>45752</v>
      </c>
      <c r="Q480" s="13"/>
    </row>
    <row r="481" spans="1:17">
      <c r="A481" s="13">
        <v>480</v>
      </c>
      <c r="B481" s="13" t="s">
        <v>1107</v>
      </c>
      <c r="C481" s="13" t="s">
        <v>696</v>
      </c>
      <c r="D481" s="13" t="s">
        <v>979</v>
      </c>
      <c r="E481" s="13" t="s">
        <v>928</v>
      </c>
      <c r="F481" s="13" t="s">
        <v>980</v>
      </c>
      <c r="G481" s="13" t="s">
        <v>699</v>
      </c>
      <c r="H481" s="14">
        <v>45719</v>
      </c>
      <c r="I481" s="14">
        <v>45719</v>
      </c>
      <c r="J481" s="14">
        <v>45719</v>
      </c>
      <c r="K481" s="14">
        <v>45735</v>
      </c>
      <c r="L481" s="14">
        <v>45735</v>
      </c>
      <c r="M481" s="14">
        <v>45744</v>
      </c>
      <c r="N481" s="14">
        <v>45744</v>
      </c>
      <c r="O481" s="14">
        <v>45751</v>
      </c>
      <c r="P481" s="14">
        <v>45752</v>
      </c>
      <c r="Q481" s="13"/>
    </row>
    <row r="482" spans="1:17">
      <c r="A482" s="13">
        <v>481</v>
      </c>
      <c r="B482" s="13" t="s">
        <v>1107</v>
      </c>
      <c r="C482" s="13" t="s">
        <v>696</v>
      </c>
      <c r="D482" s="13" t="s">
        <v>981</v>
      </c>
      <c r="E482" s="13" t="s">
        <v>928</v>
      </c>
      <c r="F482" s="13" t="s">
        <v>982</v>
      </c>
      <c r="G482" s="13" t="s">
        <v>699</v>
      </c>
      <c r="H482" s="14">
        <v>45719</v>
      </c>
      <c r="I482" s="14">
        <v>45719</v>
      </c>
      <c r="J482" s="14">
        <v>45719</v>
      </c>
      <c r="K482" s="14">
        <v>45735</v>
      </c>
      <c r="L482" s="14">
        <v>45735</v>
      </c>
      <c r="M482" s="14">
        <v>45744</v>
      </c>
      <c r="N482" s="14">
        <v>45744</v>
      </c>
      <c r="O482" s="14">
        <v>45751</v>
      </c>
      <c r="P482" s="14">
        <v>45752</v>
      </c>
      <c r="Q482" s="13"/>
    </row>
    <row r="483" spans="1:17">
      <c r="A483" s="13">
        <v>482</v>
      </c>
      <c r="B483" s="13" t="s">
        <v>1107</v>
      </c>
      <c r="C483" s="13" t="s">
        <v>696</v>
      </c>
      <c r="D483" s="13" t="s">
        <v>983</v>
      </c>
      <c r="E483" s="13" t="s">
        <v>928</v>
      </c>
      <c r="F483" s="13" t="s">
        <v>984</v>
      </c>
      <c r="G483" s="13" t="s">
        <v>699</v>
      </c>
      <c r="H483" s="14">
        <v>45719</v>
      </c>
      <c r="I483" s="14">
        <v>45719</v>
      </c>
      <c r="J483" s="14">
        <v>45719</v>
      </c>
      <c r="K483" s="14">
        <v>45735</v>
      </c>
      <c r="L483" s="14">
        <v>45735</v>
      </c>
      <c r="M483" s="14">
        <v>45744</v>
      </c>
      <c r="N483" s="14">
        <v>45744</v>
      </c>
      <c r="O483" s="14">
        <v>45751</v>
      </c>
      <c r="P483" s="14">
        <v>45752</v>
      </c>
      <c r="Q483" s="13"/>
    </row>
    <row r="484" spans="1:17">
      <c r="A484" s="13">
        <v>483</v>
      </c>
      <c r="B484" s="13" t="s">
        <v>1107</v>
      </c>
      <c r="C484" s="13" t="s">
        <v>696</v>
      </c>
      <c r="D484" s="13" t="s">
        <v>985</v>
      </c>
      <c r="E484" s="13" t="s">
        <v>928</v>
      </c>
      <c r="F484" s="13" t="s">
        <v>986</v>
      </c>
      <c r="G484" s="13" t="s">
        <v>699</v>
      </c>
      <c r="H484" s="14">
        <v>45719</v>
      </c>
      <c r="I484" s="14">
        <v>45719</v>
      </c>
      <c r="J484" s="14">
        <v>45719</v>
      </c>
      <c r="K484" s="14">
        <v>45747</v>
      </c>
      <c r="L484" s="14">
        <v>45747</v>
      </c>
      <c r="M484" s="14">
        <v>45756</v>
      </c>
      <c r="N484" s="14">
        <v>45771</v>
      </c>
      <c r="O484" s="14">
        <v>45763</v>
      </c>
      <c r="P484" s="14">
        <v>45919</v>
      </c>
      <c r="Q484" s="13"/>
    </row>
    <row r="485" spans="1:17">
      <c r="A485" s="13">
        <v>484</v>
      </c>
      <c r="B485" s="13" t="s">
        <v>1107</v>
      </c>
      <c r="C485" s="13" t="s">
        <v>696</v>
      </c>
      <c r="D485" s="13" t="s">
        <v>987</v>
      </c>
      <c r="E485" s="13" t="s">
        <v>928</v>
      </c>
      <c r="F485" s="13" t="s">
        <v>988</v>
      </c>
      <c r="G485" s="13" t="s">
        <v>699</v>
      </c>
      <c r="H485" s="14">
        <v>45719</v>
      </c>
      <c r="I485" s="14">
        <v>45719</v>
      </c>
      <c r="J485" s="14">
        <v>45719</v>
      </c>
      <c r="K485" s="14">
        <v>45735</v>
      </c>
      <c r="L485" s="14">
        <v>45735</v>
      </c>
      <c r="M485" s="14">
        <v>45744</v>
      </c>
      <c r="N485" s="14">
        <v>45771</v>
      </c>
      <c r="O485" s="14">
        <v>45751</v>
      </c>
      <c r="P485" s="14">
        <v>45752</v>
      </c>
      <c r="Q485" s="13"/>
    </row>
    <row r="486" spans="1:17">
      <c r="A486" s="13">
        <v>485</v>
      </c>
      <c r="B486" s="13" t="s">
        <v>1107</v>
      </c>
      <c r="C486" s="13" t="s">
        <v>696</v>
      </c>
      <c r="D486" s="13" t="s">
        <v>989</v>
      </c>
      <c r="E486" s="13" t="s">
        <v>928</v>
      </c>
      <c r="F486" s="13" t="s">
        <v>990</v>
      </c>
      <c r="G486" s="13" t="s">
        <v>699</v>
      </c>
      <c r="H486" s="14">
        <v>45719</v>
      </c>
      <c r="I486" s="14">
        <v>45719</v>
      </c>
      <c r="J486" s="14">
        <v>45719</v>
      </c>
      <c r="K486" s="14">
        <v>45735</v>
      </c>
      <c r="L486" s="14">
        <v>45735</v>
      </c>
      <c r="M486" s="14">
        <v>45744</v>
      </c>
      <c r="N486" s="14">
        <v>45771</v>
      </c>
      <c r="O486" s="14">
        <v>45751</v>
      </c>
      <c r="P486" s="14">
        <v>45752</v>
      </c>
      <c r="Q486" s="13"/>
    </row>
    <row r="487" spans="1:17">
      <c r="A487" s="13">
        <v>486</v>
      </c>
      <c r="B487" s="13" t="s">
        <v>1107</v>
      </c>
      <c r="C487" s="13" t="s">
        <v>696</v>
      </c>
      <c r="D487" s="13" t="s">
        <v>991</v>
      </c>
      <c r="E487" s="13" t="s">
        <v>928</v>
      </c>
      <c r="F487" s="13" t="s">
        <v>992</v>
      </c>
      <c r="G487" s="13" t="s">
        <v>699</v>
      </c>
      <c r="H487" s="14">
        <v>45719</v>
      </c>
      <c r="I487" s="14">
        <v>45719</v>
      </c>
      <c r="J487" s="14">
        <v>45719</v>
      </c>
      <c r="K487" s="14">
        <v>45735</v>
      </c>
      <c r="L487" s="14">
        <v>45735</v>
      </c>
      <c r="M487" s="14">
        <v>45744</v>
      </c>
      <c r="N487" s="14">
        <v>45744</v>
      </c>
      <c r="O487" s="14">
        <v>45751</v>
      </c>
      <c r="P487" s="14">
        <v>45805</v>
      </c>
      <c r="Q487" s="13"/>
    </row>
    <row r="488" spans="1:17">
      <c r="A488" s="13">
        <v>487</v>
      </c>
      <c r="B488" s="13" t="s">
        <v>1107</v>
      </c>
      <c r="C488" s="13" t="s">
        <v>696</v>
      </c>
      <c r="D488" s="13" t="s">
        <v>993</v>
      </c>
      <c r="E488" s="13" t="s">
        <v>928</v>
      </c>
      <c r="F488" s="13" t="s">
        <v>994</v>
      </c>
      <c r="G488" s="13" t="s">
        <v>699</v>
      </c>
      <c r="H488" s="14">
        <v>45744</v>
      </c>
      <c r="I488" s="14">
        <v>45744</v>
      </c>
      <c r="J488" s="14">
        <v>45742</v>
      </c>
      <c r="K488" s="14">
        <v>45762</v>
      </c>
      <c r="L488" s="14"/>
      <c r="M488" s="14">
        <v>45771</v>
      </c>
      <c r="N488" s="14">
        <v>45744</v>
      </c>
      <c r="O488" s="14">
        <v>45778</v>
      </c>
      <c r="P488" s="14"/>
      <c r="Q488" s="13"/>
    </row>
    <row r="489" spans="1:17">
      <c r="A489" s="13">
        <v>488</v>
      </c>
      <c r="B489" s="13" t="s">
        <v>1107</v>
      </c>
      <c r="C489" s="13" t="s">
        <v>696</v>
      </c>
      <c r="D489" s="13" t="s">
        <v>995</v>
      </c>
      <c r="E489" s="13" t="s">
        <v>928</v>
      </c>
      <c r="F489" s="13" t="s">
        <v>996</v>
      </c>
      <c r="G489" s="13" t="s">
        <v>699</v>
      </c>
      <c r="H489" s="14">
        <v>45752</v>
      </c>
      <c r="I489" s="14">
        <v>45752</v>
      </c>
      <c r="J489" s="14">
        <v>45752</v>
      </c>
      <c r="K489" s="14">
        <v>45769</v>
      </c>
      <c r="L489" s="14"/>
      <c r="M489" s="14">
        <v>45778</v>
      </c>
      <c r="N489" s="14">
        <v>46000</v>
      </c>
      <c r="O489" s="14">
        <v>45785</v>
      </c>
      <c r="P489" s="14"/>
      <c r="Q489" s="13"/>
    </row>
    <row r="490" spans="1:17">
      <c r="A490" s="13">
        <v>489</v>
      </c>
      <c r="B490" s="13" t="s">
        <v>1107</v>
      </c>
      <c r="C490" s="13" t="s">
        <v>696</v>
      </c>
      <c r="D490" s="13" t="s">
        <v>997</v>
      </c>
      <c r="E490" s="13" t="s">
        <v>928</v>
      </c>
      <c r="F490" s="13" t="s">
        <v>998</v>
      </c>
      <c r="G490" s="13" t="s">
        <v>699</v>
      </c>
      <c r="H490" s="14">
        <v>45752</v>
      </c>
      <c r="I490" s="14">
        <v>45752</v>
      </c>
      <c r="J490" s="14">
        <v>45752</v>
      </c>
      <c r="K490" s="14">
        <v>45769</v>
      </c>
      <c r="L490" s="14"/>
      <c r="M490" s="14">
        <v>45778</v>
      </c>
      <c r="N490" s="14">
        <v>46000</v>
      </c>
      <c r="O490" s="14">
        <v>45785</v>
      </c>
      <c r="P490" s="14"/>
      <c r="Q490" s="13"/>
    </row>
    <row r="491" spans="1:17">
      <c r="A491" s="13">
        <v>490</v>
      </c>
      <c r="B491" s="13" t="s">
        <v>1107</v>
      </c>
      <c r="C491" s="13" t="s">
        <v>696</v>
      </c>
      <c r="D491" s="13" t="s">
        <v>999</v>
      </c>
      <c r="E491" s="13" t="s">
        <v>928</v>
      </c>
      <c r="F491" s="13" t="s">
        <v>1000</v>
      </c>
      <c r="G491" s="13" t="s">
        <v>699</v>
      </c>
      <c r="H491" s="14">
        <v>45752</v>
      </c>
      <c r="I491" s="14">
        <v>45752</v>
      </c>
      <c r="J491" s="14">
        <v>45757</v>
      </c>
      <c r="K491" s="14">
        <v>45769</v>
      </c>
      <c r="L491" s="14"/>
      <c r="M491" s="14">
        <v>45778</v>
      </c>
      <c r="N491" s="14">
        <v>46000</v>
      </c>
      <c r="O491" s="14">
        <v>45785</v>
      </c>
      <c r="P491" s="14"/>
      <c r="Q491" s="13"/>
    </row>
    <row r="492" spans="1:17">
      <c r="A492" s="13">
        <v>491</v>
      </c>
      <c r="B492" s="13" t="s">
        <v>1107</v>
      </c>
      <c r="C492" s="13" t="s">
        <v>696</v>
      </c>
      <c r="D492" s="13" t="s">
        <v>1001</v>
      </c>
      <c r="E492" s="13" t="s">
        <v>928</v>
      </c>
      <c r="F492" s="13" t="s">
        <v>1002</v>
      </c>
      <c r="G492" s="13" t="s">
        <v>699</v>
      </c>
      <c r="H492" s="14">
        <v>45752</v>
      </c>
      <c r="I492" s="14">
        <v>45752</v>
      </c>
      <c r="J492" s="14">
        <v>45779</v>
      </c>
      <c r="K492" s="14">
        <v>45769</v>
      </c>
      <c r="L492" s="14"/>
      <c r="M492" s="14">
        <v>45778</v>
      </c>
      <c r="N492" s="14">
        <v>46132</v>
      </c>
      <c r="O492" s="14">
        <v>45785</v>
      </c>
      <c r="P492" s="14"/>
      <c r="Q492" s="13"/>
    </row>
    <row r="493" spans="1:17">
      <c r="A493" s="13">
        <v>492</v>
      </c>
      <c r="B493" s="13" t="s">
        <v>1107</v>
      </c>
      <c r="C493" s="13" t="s">
        <v>696</v>
      </c>
      <c r="D493" s="13" t="s">
        <v>1003</v>
      </c>
      <c r="E493" s="13" t="s">
        <v>928</v>
      </c>
      <c r="F493" s="13" t="s">
        <v>1004</v>
      </c>
      <c r="G493" s="13" t="s">
        <v>699</v>
      </c>
      <c r="H493" s="14">
        <v>45759</v>
      </c>
      <c r="I493" s="14">
        <v>45759</v>
      </c>
      <c r="J493" s="14">
        <v>45764</v>
      </c>
      <c r="K493" s="14">
        <v>45776</v>
      </c>
      <c r="L493" s="14"/>
      <c r="M493" s="14">
        <v>45785</v>
      </c>
      <c r="N493" s="14">
        <v>46000</v>
      </c>
      <c r="O493" s="14">
        <v>45792</v>
      </c>
      <c r="P493" s="14"/>
      <c r="Q493" s="13"/>
    </row>
    <row r="494" spans="1:17">
      <c r="A494" s="13">
        <v>493</v>
      </c>
      <c r="B494" s="13" t="s">
        <v>1107</v>
      </c>
      <c r="C494" s="13" t="s">
        <v>696</v>
      </c>
      <c r="D494" s="13" t="s">
        <v>1005</v>
      </c>
      <c r="E494" s="13" t="s">
        <v>928</v>
      </c>
      <c r="F494" s="13" t="s">
        <v>1006</v>
      </c>
      <c r="G494" s="13" t="s">
        <v>699</v>
      </c>
      <c r="H494" s="14">
        <v>45719</v>
      </c>
      <c r="I494" s="14">
        <v>45719</v>
      </c>
      <c r="J494" s="14">
        <v>45719</v>
      </c>
      <c r="K494" s="14">
        <v>45735</v>
      </c>
      <c r="L494" s="14"/>
      <c r="M494" s="14">
        <v>45744</v>
      </c>
      <c r="N494" s="14">
        <v>45793</v>
      </c>
      <c r="O494" s="14">
        <v>45751</v>
      </c>
      <c r="P494" s="14">
        <v>45805</v>
      </c>
      <c r="Q494" s="13"/>
    </row>
    <row r="495" spans="1:17">
      <c r="A495" s="13">
        <v>494</v>
      </c>
      <c r="B495" s="13" t="s">
        <v>1107</v>
      </c>
      <c r="C495" s="13" t="s">
        <v>696</v>
      </c>
      <c r="D495" s="13" t="s">
        <v>1007</v>
      </c>
      <c r="E495" s="13" t="s">
        <v>928</v>
      </c>
      <c r="F495" s="13" t="s">
        <v>1008</v>
      </c>
      <c r="G495" s="13" t="s">
        <v>699</v>
      </c>
      <c r="H495" s="14">
        <v>45985</v>
      </c>
      <c r="I495" s="14">
        <v>45843</v>
      </c>
      <c r="J495" s="14"/>
      <c r="K495" s="14">
        <v>46001</v>
      </c>
      <c r="L495" s="14"/>
      <c r="M495" s="14">
        <v>46010</v>
      </c>
      <c r="N495" s="14"/>
      <c r="O495" s="14">
        <v>46017</v>
      </c>
      <c r="P495" s="14"/>
      <c r="Q495" s="13"/>
    </row>
    <row r="496" spans="1:17">
      <c r="A496" s="13">
        <v>495</v>
      </c>
      <c r="B496" s="13" t="s">
        <v>1107</v>
      </c>
      <c r="C496" s="13" t="s">
        <v>696</v>
      </c>
      <c r="D496" s="13" t="s">
        <v>1009</v>
      </c>
      <c r="E496" s="13" t="s">
        <v>928</v>
      </c>
      <c r="F496" s="13" t="s">
        <v>1010</v>
      </c>
      <c r="G496" s="13" t="s">
        <v>699</v>
      </c>
      <c r="H496" s="14">
        <v>45987</v>
      </c>
      <c r="I496" s="14">
        <v>45843</v>
      </c>
      <c r="J496" s="14">
        <v>46043</v>
      </c>
      <c r="K496" s="14">
        <v>46003</v>
      </c>
      <c r="L496" s="14"/>
      <c r="M496" s="14">
        <v>46014</v>
      </c>
      <c r="N496" s="14">
        <v>46157</v>
      </c>
      <c r="O496" s="14">
        <v>46021</v>
      </c>
      <c r="P496" s="14"/>
      <c r="Q496" s="13"/>
    </row>
    <row r="497" spans="1:17">
      <c r="A497" s="13">
        <v>496</v>
      </c>
      <c r="B497" s="13" t="s">
        <v>1107</v>
      </c>
      <c r="C497" s="13" t="s">
        <v>696</v>
      </c>
      <c r="D497" s="13" t="s">
        <v>1011</v>
      </c>
      <c r="E497" s="13" t="s">
        <v>928</v>
      </c>
      <c r="F497" s="13" t="s">
        <v>1012</v>
      </c>
      <c r="G497" s="13" t="s">
        <v>699</v>
      </c>
      <c r="H497" s="14">
        <v>45989</v>
      </c>
      <c r="I497" s="14">
        <v>45843</v>
      </c>
      <c r="J497" s="14">
        <v>46043</v>
      </c>
      <c r="K497" s="14">
        <v>46007</v>
      </c>
      <c r="L497" s="14"/>
      <c r="M497" s="14">
        <v>46016</v>
      </c>
      <c r="N497" s="14">
        <v>46157</v>
      </c>
      <c r="O497" s="14">
        <v>46023</v>
      </c>
      <c r="P497" s="14"/>
      <c r="Q497" s="13"/>
    </row>
    <row r="498" spans="1:17">
      <c r="A498" s="13">
        <v>497</v>
      </c>
      <c r="B498" s="13" t="s">
        <v>1107</v>
      </c>
      <c r="C498" s="13" t="s">
        <v>696</v>
      </c>
      <c r="D498" s="13" t="s">
        <v>1013</v>
      </c>
      <c r="E498" s="13" t="s">
        <v>86</v>
      </c>
      <c r="F498" s="13" t="s">
        <v>1014</v>
      </c>
      <c r="G498" s="13" t="s">
        <v>699</v>
      </c>
      <c r="H498" s="14">
        <v>46022</v>
      </c>
      <c r="I498" s="14">
        <v>45836</v>
      </c>
      <c r="J498" s="14">
        <v>46037</v>
      </c>
      <c r="K498" s="14">
        <v>46038</v>
      </c>
      <c r="L498" s="14"/>
      <c r="M498" s="14">
        <v>46049</v>
      </c>
      <c r="N498" s="14">
        <v>46157</v>
      </c>
      <c r="O498" s="14">
        <v>46056</v>
      </c>
      <c r="P498" s="14"/>
      <c r="Q498" s="13"/>
    </row>
    <row r="499" spans="1:17">
      <c r="A499" s="13">
        <v>498</v>
      </c>
      <c r="B499" s="13" t="s">
        <v>1107</v>
      </c>
      <c r="C499" s="13" t="s">
        <v>696</v>
      </c>
      <c r="D499" s="13" t="s">
        <v>1015</v>
      </c>
      <c r="E499" s="13" t="s">
        <v>86</v>
      </c>
      <c r="F499" s="13" t="s">
        <v>1016</v>
      </c>
      <c r="G499" s="13" t="s">
        <v>699</v>
      </c>
      <c r="H499" s="14">
        <v>46022</v>
      </c>
      <c r="I499" s="14">
        <v>45836</v>
      </c>
      <c r="J499" s="14">
        <v>46066</v>
      </c>
      <c r="K499" s="14">
        <v>46038</v>
      </c>
      <c r="L499" s="14"/>
      <c r="M499" s="14">
        <v>46049</v>
      </c>
      <c r="N499" s="14">
        <v>46157</v>
      </c>
      <c r="O499" s="14">
        <v>46056</v>
      </c>
      <c r="P499" s="14"/>
      <c r="Q499" s="13"/>
    </row>
    <row r="500" spans="1:17">
      <c r="A500" s="13">
        <v>499</v>
      </c>
      <c r="B500" s="13" t="s">
        <v>1107</v>
      </c>
      <c r="C500" s="13" t="s">
        <v>696</v>
      </c>
      <c r="D500" s="13" t="s">
        <v>1017</v>
      </c>
      <c r="E500" s="13" t="s">
        <v>86</v>
      </c>
      <c r="F500" s="13" t="s">
        <v>1018</v>
      </c>
      <c r="G500" s="13" t="s">
        <v>699</v>
      </c>
      <c r="H500" s="14">
        <v>46022</v>
      </c>
      <c r="I500" s="14">
        <v>45843</v>
      </c>
      <c r="J500" s="14">
        <v>46066</v>
      </c>
      <c r="K500" s="14">
        <v>46038</v>
      </c>
      <c r="L500" s="14"/>
      <c r="M500" s="14">
        <v>46049</v>
      </c>
      <c r="N500" s="14">
        <v>46157</v>
      </c>
      <c r="O500" s="14">
        <v>46056</v>
      </c>
      <c r="P500" s="14"/>
      <c r="Q500" s="13"/>
    </row>
    <row r="501" spans="1:17">
      <c r="A501" s="13">
        <v>500</v>
      </c>
      <c r="B501" s="13" t="s">
        <v>1107</v>
      </c>
      <c r="C501" s="13" t="s">
        <v>696</v>
      </c>
      <c r="D501" s="13" t="s">
        <v>1019</v>
      </c>
      <c r="E501" s="13" t="s">
        <v>86</v>
      </c>
      <c r="F501" s="13" t="s">
        <v>1020</v>
      </c>
      <c r="G501" s="13" t="s">
        <v>699</v>
      </c>
      <c r="H501" s="14">
        <v>45999</v>
      </c>
      <c r="I501" s="14">
        <v>45843</v>
      </c>
      <c r="J501" s="14">
        <v>46044</v>
      </c>
      <c r="K501" s="14">
        <v>46015</v>
      </c>
      <c r="L501" s="14"/>
      <c r="M501" s="14">
        <v>46024</v>
      </c>
      <c r="N501" s="14">
        <v>46157</v>
      </c>
      <c r="O501" s="14">
        <v>46031</v>
      </c>
      <c r="P501" s="14"/>
      <c r="Q501" s="13"/>
    </row>
    <row r="502" spans="1:17">
      <c r="A502" s="13">
        <v>501</v>
      </c>
      <c r="B502" s="13" t="s">
        <v>1107</v>
      </c>
      <c r="C502" s="13" t="s">
        <v>696</v>
      </c>
      <c r="D502" s="13" t="s">
        <v>1021</v>
      </c>
      <c r="E502" s="13" t="s">
        <v>86</v>
      </c>
      <c r="F502" s="13" t="s">
        <v>1022</v>
      </c>
      <c r="G502" s="13" t="s">
        <v>699</v>
      </c>
      <c r="H502" s="14">
        <v>46001</v>
      </c>
      <c r="I502" s="14">
        <v>45843</v>
      </c>
      <c r="J502" s="14">
        <v>46043</v>
      </c>
      <c r="K502" s="14">
        <v>46017</v>
      </c>
      <c r="L502" s="14"/>
      <c r="M502" s="14">
        <v>46028</v>
      </c>
      <c r="N502" s="14">
        <v>46157</v>
      </c>
      <c r="O502" s="14">
        <v>46035</v>
      </c>
      <c r="P502" s="14"/>
      <c r="Q502" s="13"/>
    </row>
    <row r="503" spans="1:17">
      <c r="A503" s="13">
        <v>502</v>
      </c>
      <c r="B503" s="13" t="s">
        <v>1107</v>
      </c>
      <c r="C503" s="13" t="s">
        <v>696</v>
      </c>
      <c r="D503" s="13" t="s">
        <v>1023</v>
      </c>
      <c r="E503" s="13" t="s">
        <v>935</v>
      </c>
      <c r="F503" s="13" t="s">
        <v>1024</v>
      </c>
      <c r="G503" s="13" t="s">
        <v>699</v>
      </c>
      <c r="H503" s="14">
        <v>46022</v>
      </c>
      <c r="I503" s="14">
        <v>45719</v>
      </c>
      <c r="J503" s="14">
        <v>45940</v>
      </c>
      <c r="K503" s="14">
        <v>46038</v>
      </c>
      <c r="L503" s="14"/>
      <c r="M503" s="14">
        <v>45947</v>
      </c>
      <c r="N503" s="14">
        <v>46132</v>
      </c>
      <c r="O503" s="14">
        <v>45954</v>
      </c>
      <c r="P503" s="14"/>
      <c r="Q503" s="13"/>
    </row>
    <row r="504" spans="1:17">
      <c r="A504" s="13">
        <v>503</v>
      </c>
      <c r="B504" s="13" t="s">
        <v>1107</v>
      </c>
      <c r="C504" s="13" t="s">
        <v>696</v>
      </c>
      <c r="D504" s="13" t="s">
        <v>1025</v>
      </c>
      <c r="E504" s="13" t="s">
        <v>935</v>
      </c>
      <c r="F504" s="13" t="s">
        <v>1026</v>
      </c>
      <c r="G504" s="13" t="s">
        <v>699</v>
      </c>
      <c r="H504" s="14">
        <v>45940</v>
      </c>
      <c r="I504" s="14">
        <v>45719</v>
      </c>
      <c r="J504" s="14">
        <v>45940</v>
      </c>
      <c r="K504" s="14">
        <v>45747</v>
      </c>
      <c r="L504" s="14"/>
      <c r="M504" s="14">
        <v>45947</v>
      </c>
      <c r="N504" s="14">
        <v>46132</v>
      </c>
      <c r="O504" s="14">
        <v>45954</v>
      </c>
      <c r="P504" s="14"/>
      <c r="Q504" s="13"/>
    </row>
    <row r="505" spans="1:17">
      <c r="A505" s="13">
        <v>504</v>
      </c>
      <c r="B505" s="13" t="s">
        <v>1107</v>
      </c>
      <c r="C505" s="13" t="s">
        <v>696</v>
      </c>
      <c r="D505" s="13" t="s">
        <v>1027</v>
      </c>
      <c r="E505" s="13" t="s">
        <v>935</v>
      </c>
      <c r="F505" s="13" t="s">
        <v>1028</v>
      </c>
      <c r="G505" s="13" t="s">
        <v>699</v>
      </c>
      <c r="H505" s="14">
        <v>46022</v>
      </c>
      <c r="I505" s="14">
        <v>45836</v>
      </c>
      <c r="J505" s="14">
        <v>46120</v>
      </c>
      <c r="K505" s="14">
        <v>46038</v>
      </c>
      <c r="L505" s="14"/>
      <c r="M505" s="14">
        <v>46049</v>
      </c>
      <c r="N505" s="14">
        <v>46157</v>
      </c>
      <c r="O505" s="14">
        <v>46056</v>
      </c>
      <c r="P505" s="14"/>
      <c r="Q505" s="13" t="s">
        <v>719</v>
      </c>
    </row>
    <row r="506" spans="1:17">
      <c r="A506" s="13">
        <v>505</v>
      </c>
      <c r="B506" s="13" t="s">
        <v>1107</v>
      </c>
      <c r="C506" s="13" t="s">
        <v>696</v>
      </c>
      <c r="D506" s="13" t="s">
        <v>1029</v>
      </c>
      <c r="E506" s="13" t="s">
        <v>935</v>
      </c>
      <c r="F506" s="13" t="s">
        <v>1030</v>
      </c>
      <c r="G506" s="13" t="s">
        <v>699</v>
      </c>
      <c r="H506" s="14">
        <v>46022</v>
      </c>
      <c r="I506" s="14">
        <v>45829</v>
      </c>
      <c r="J506" s="14">
        <v>46020</v>
      </c>
      <c r="K506" s="14">
        <v>46038</v>
      </c>
      <c r="L506" s="14"/>
      <c r="M506" s="14">
        <v>46049</v>
      </c>
      <c r="N506" s="14">
        <v>46031</v>
      </c>
      <c r="O506" s="14">
        <v>46056</v>
      </c>
      <c r="P506" s="14"/>
      <c r="Q506" s="13"/>
    </row>
    <row r="507" spans="1:17">
      <c r="A507" s="13">
        <v>506</v>
      </c>
      <c r="B507" s="13" t="s">
        <v>1107</v>
      </c>
      <c r="C507" s="13" t="s">
        <v>696</v>
      </c>
      <c r="D507" s="13" t="s">
        <v>1032</v>
      </c>
      <c r="E507" s="13" t="s">
        <v>935</v>
      </c>
      <c r="F507" s="13" t="s">
        <v>1031</v>
      </c>
      <c r="G507" s="13" t="s">
        <v>699</v>
      </c>
      <c r="H507" s="14">
        <v>45836</v>
      </c>
      <c r="I507" s="14">
        <v>45836</v>
      </c>
      <c r="J507" s="14">
        <v>45835</v>
      </c>
      <c r="K507" s="14">
        <v>45853</v>
      </c>
      <c r="L507" s="14"/>
      <c r="M507" s="14">
        <v>45862</v>
      </c>
      <c r="N507" s="14">
        <v>45840</v>
      </c>
      <c r="O507" s="14">
        <v>45869</v>
      </c>
      <c r="P507" s="14">
        <v>46010</v>
      </c>
      <c r="Q507" s="13"/>
    </row>
    <row r="508" spans="1:17">
      <c r="A508" s="13">
        <v>507</v>
      </c>
      <c r="B508" s="13" t="s">
        <v>1107</v>
      </c>
      <c r="C508" s="13" t="s">
        <v>696</v>
      </c>
      <c r="D508" s="13" t="s">
        <v>1033</v>
      </c>
      <c r="E508" s="13" t="s">
        <v>935</v>
      </c>
      <c r="F508" s="13" t="s">
        <v>1034</v>
      </c>
      <c r="G508" s="13" t="s">
        <v>699</v>
      </c>
      <c r="H508" s="14">
        <v>45836</v>
      </c>
      <c r="I508" s="14">
        <v>45836</v>
      </c>
      <c r="J508" s="14">
        <v>45842</v>
      </c>
      <c r="K508" s="14">
        <v>45853</v>
      </c>
      <c r="L508" s="14"/>
      <c r="M508" s="14">
        <v>45862</v>
      </c>
      <c r="N508" s="14">
        <v>45912</v>
      </c>
      <c r="O508" s="14">
        <v>45869</v>
      </c>
      <c r="P508" s="14"/>
      <c r="Q508" s="13"/>
    </row>
    <row r="509" spans="1:17">
      <c r="A509" s="13">
        <v>508</v>
      </c>
      <c r="B509" s="13" t="s">
        <v>1107</v>
      </c>
      <c r="C509" s="13" t="s">
        <v>696</v>
      </c>
      <c r="D509" s="13" t="s">
        <v>1035</v>
      </c>
      <c r="E509" s="13" t="s">
        <v>935</v>
      </c>
      <c r="F509" s="13" t="s">
        <v>1036</v>
      </c>
      <c r="G509" s="13" t="s">
        <v>699</v>
      </c>
      <c r="H509" s="14">
        <v>45836</v>
      </c>
      <c r="I509" s="14">
        <v>45836</v>
      </c>
      <c r="J509" s="14">
        <v>45842</v>
      </c>
      <c r="K509" s="14">
        <v>45853</v>
      </c>
      <c r="L509" s="14"/>
      <c r="M509" s="14">
        <v>45862</v>
      </c>
      <c r="N509" s="14">
        <v>45912</v>
      </c>
      <c r="O509" s="14">
        <v>45869</v>
      </c>
      <c r="P509" s="14"/>
      <c r="Q509" s="13"/>
    </row>
    <row r="510" spans="1:17">
      <c r="A510" s="13">
        <v>509</v>
      </c>
      <c r="B510" s="13" t="s">
        <v>1107</v>
      </c>
      <c r="C510" s="13" t="s">
        <v>696</v>
      </c>
      <c r="D510" s="13" t="s">
        <v>1037</v>
      </c>
      <c r="E510" s="13" t="s">
        <v>1038</v>
      </c>
      <c r="F510" s="13" t="s">
        <v>1039</v>
      </c>
      <c r="G510" s="13" t="s">
        <v>699</v>
      </c>
      <c r="H510" s="14">
        <v>45719</v>
      </c>
      <c r="I510" s="14">
        <v>45719</v>
      </c>
      <c r="J510" s="14">
        <v>45719</v>
      </c>
      <c r="K510" s="14">
        <v>45735</v>
      </c>
      <c r="L510" s="14">
        <v>45735</v>
      </c>
      <c r="M510" s="14">
        <v>45744</v>
      </c>
      <c r="N510" s="14">
        <v>45744</v>
      </c>
      <c r="O510" s="14">
        <v>45751</v>
      </c>
      <c r="P510" s="14">
        <v>45750</v>
      </c>
      <c r="Q510" s="13"/>
    </row>
    <row r="511" spans="1:17">
      <c r="A511" s="13">
        <v>510</v>
      </c>
      <c r="B511" s="13" t="s">
        <v>1107</v>
      </c>
      <c r="C511" s="13" t="s">
        <v>696</v>
      </c>
      <c r="D511" s="13" t="s">
        <v>1040</v>
      </c>
      <c r="E511" s="13" t="s">
        <v>1038</v>
      </c>
      <c r="F511" s="13" t="s">
        <v>1041</v>
      </c>
      <c r="G511" s="13" t="s">
        <v>699</v>
      </c>
      <c r="H511" s="14">
        <v>45719</v>
      </c>
      <c r="I511" s="14">
        <v>45719</v>
      </c>
      <c r="J511" s="14">
        <v>45719</v>
      </c>
      <c r="K511" s="14">
        <v>45735</v>
      </c>
      <c r="L511" s="14">
        <v>45735</v>
      </c>
      <c r="M511" s="14">
        <v>45744</v>
      </c>
      <c r="N511" s="14">
        <v>45744</v>
      </c>
      <c r="O511" s="14">
        <v>45751</v>
      </c>
      <c r="P511" s="14">
        <v>45750</v>
      </c>
      <c r="Q511" s="13"/>
    </row>
    <row r="512" spans="1:17">
      <c r="A512" s="13">
        <v>511</v>
      </c>
      <c r="B512" s="13" t="s">
        <v>1107</v>
      </c>
      <c r="C512" s="13" t="s">
        <v>696</v>
      </c>
      <c r="D512" s="13" t="s">
        <v>1042</v>
      </c>
      <c r="E512" s="13" t="s">
        <v>1038</v>
      </c>
      <c r="F512" s="13" t="s">
        <v>1043</v>
      </c>
      <c r="G512" s="13" t="s">
        <v>699</v>
      </c>
      <c r="H512" s="14">
        <v>45742</v>
      </c>
      <c r="I512" s="14">
        <v>45742</v>
      </c>
      <c r="J512" s="14">
        <v>45742</v>
      </c>
      <c r="K512" s="14">
        <v>45758</v>
      </c>
      <c r="L512" s="14"/>
      <c r="M512" s="14">
        <v>45769</v>
      </c>
      <c r="N512" s="14">
        <v>45912</v>
      </c>
      <c r="O512" s="14">
        <v>45776</v>
      </c>
      <c r="P512" s="14"/>
      <c r="Q512" s="13"/>
    </row>
    <row r="513" spans="1:17">
      <c r="A513" s="13">
        <v>512</v>
      </c>
      <c r="B513" s="13" t="s">
        <v>1107</v>
      </c>
      <c r="C513" s="13" t="s">
        <v>696</v>
      </c>
      <c r="D513" s="13" t="s">
        <v>1044</v>
      </c>
      <c r="E513" s="13" t="s">
        <v>1038</v>
      </c>
      <c r="F513" s="13" t="s">
        <v>1045</v>
      </c>
      <c r="G513" s="13" t="s">
        <v>699</v>
      </c>
      <c r="H513" s="14">
        <v>45742</v>
      </c>
      <c r="I513" s="14">
        <v>45742</v>
      </c>
      <c r="J513" s="14">
        <v>45742</v>
      </c>
      <c r="K513" s="14">
        <v>45758</v>
      </c>
      <c r="L513" s="14"/>
      <c r="M513" s="14">
        <v>45769</v>
      </c>
      <c r="N513" s="14">
        <v>45912</v>
      </c>
      <c r="O513" s="14">
        <v>45776</v>
      </c>
      <c r="P513" s="14"/>
      <c r="Q513" s="13"/>
    </row>
    <row r="514" spans="1:17">
      <c r="A514" s="13">
        <v>513</v>
      </c>
      <c r="B514" s="13" t="s">
        <v>1107</v>
      </c>
      <c r="C514" s="13" t="s">
        <v>696</v>
      </c>
      <c r="D514" s="13" t="s">
        <v>1046</v>
      </c>
      <c r="E514" s="13" t="s">
        <v>1038</v>
      </c>
      <c r="F514" s="13" t="s">
        <v>1047</v>
      </c>
      <c r="G514" s="13" t="s">
        <v>699</v>
      </c>
      <c r="H514" s="14">
        <v>45742</v>
      </c>
      <c r="I514" s="14">
        <v>45742</v>
      </c>
      <c r="J514" s="14">
        <v>45742</v>
      </c>
      <c r="K514" s="14">
        <v>45758</v>
      </c>
      <c r="L514" s="14"/>
      <c r="M514" s="14">
        <v>45769</v>
      </c>
      <c r="N514" s="14">
        <v>45912</v>
      </c>
      <c r="O514" s="14">
        <v>45776</v>
      </c>
      <c r="P514" s="14"/>
      <c r="Q514" s="13"/>
    </row>
    <row r="515" spans="1:17">
      <c r="A515" s="13">
        <v>514</v>
      </c>
      <c r="B515" s="13" t="s">
        <v>1107</v>
      </c>
      <c r="C515" s="13" t="s">
        <v>696</v>
      </c>
      <c r="D515" s="13" t="s">
        <v>1048</v>
      </c>
      <c r="E515" s="13" t="s">
        <v>1038</v>
      </c>
      <c r="F515" s="13" t="s">
        <v>1049</v>
      </c>
      <c r="G515" s="13" t="s">
        <v>699</v>
      </c>
      <c r="H515" s="14">
        <v>46022</v>
      </c>
      <c r="I515" s="14">
        <v>45744</v>
      </c>
      <c r="J515" s="14">
        <v>46006</v>
      </c>
      <c r="K515" s="14">
        <v>46038</v>
      </c>
      <c r="L515" s="14"/>
      <c r="M515" s="14">
        <v>46049</v>
      </c>
      <c r="N515" s="14">
        <v>46009</v>
      </c>
      <c r="O515" s="14">
        <v>46056</v>
      </c>
      <c r="P515" s="14"/>
      <c r="Q515" s="13"/>
    </row>
    <row r="516" spans="1:17">
      <c r="A516" s="13">
        <v>515</v>
      </c>
      <c r="B516" s="13" t="s">
        <v>1107</v>
      </c>
      <c r="C516" s="13" t="s">
        <v>696</v>
      </c>
      <c r="D516" s="13" t="s">
        <v>1050</v>
      </c>
      <c r="E516" s="13" t="s">
        <v>1038</v>
      </c>
      <c r="F516" s="13" t="s">
        <v>1051</v>
      </c>
      <c r="G516" s="13" t="s">
        <v>699</v>
      </c>
      <c r="H516" s="14">
        <v>46022</v>
      </c>
      <c r="I516" s="14">
        <v>45744</v>
      </c>
      <c r="J516" s="14">
        <v>46006</v>
      </c>
      <c r="K516" s="14">
        <v>46038</v>
      </c>
      <c r="L516" s="14"/>
      <c r="M516" s="14">
        <v>46049</v>
      </c>
      <c r="N516" s="14">
        <v>46009</v>
      </c>
      <c r="O516" s="14">
        <v>46056</v>
      </c>
      <c r="P516" s="14"/>
      <c r="Q516" s="13"/>
    </row>
    <row r="517" spans="1:17">
      <c r="A517" s="13">
        <v>516</v>
      </c>
      <c r="B517" s="13" t="s">
        <v>1107</v>
      </c>
      <c r="C517" s="13" t="s">
        <v>696</v>
      </c>
      <c r="D517" s="13" t="s">
        <v>1052</v>
      </c>
      <c r="E517" s="13" t="s">
        <v>1038</v>
      </c>
      <c r="F517" s="13" t="s">
        <v>1053</v>
      </c>
      <c r="G517" s="13" t="s">
        <v>699</v>
      </c>
      <c r="H517" s="14">
        <v>46022</v>
      </c>
      <c r="I517" s="14">
        <v>45744</v>
      </c>
      <c r="J517" s="14">
        <v>46006</v>
      </c>
      <c r="K517" s="14">
        <v>46038</v>
      </c>
      <c r="L517" s="14"/>
      <c r="M517" s="14">
        <v>46049</v>
      </c>
      <c r="N517" s="14">
        <v>46009</v>
      </c>
      <c r="O517" s="14">
        <v>46056</v>
      </c>
      <c r="P517" s="14"/>
      <c r="Q517" s="13"/>
    </row>
    <row r="518" spans="1:17">
      <c r="A518" s="13">
        <v>517</v>
      </c>
      <c r="B518" s="13" t="s">
        <v>1107</v>
      </c>
      <c r="C518" s="13" t="s">
        <v>696</v>
      </c>
      <c r="D518" s="13" t="s">
        <v>1054</v>
      </c>
      <c r="E518" s="13" t="s">
        <v>1038</v>
      </c>
      <c r="F518" s="13" t="s">
        <v>1055</v>
      </c>
      <c r="G518" s="13" t="s">
        <v>699</v>
      </c>
      <c r="H518" s="14">
        <v>46022</v>
      </c>
      <c r="I518" s="14">
        <v>45744</v>
      </c>
      <c r="J518" s="14">
        <v>46006</v>
      </c>
      <c r="K518" s="14">
        <v>46038</v>
      </c>
      <c r="L518" s="14"/>
      <c r="M518" s="14">
        <v>46049</v>
      </c>
      <c r="N518" s="14">
        <v>46009</v>
      </c>
      <c r="O518" s="14">
        <v>46056</v>
      </c>
      <c r="P518" s="14"/>
      <c r="Q518" s="13"/>
    </row>
    <row r="519" spans="1:17">
      <c r="A519" s="13">
        <v>518</v>
      </c>
      <c r="B519" s="13" t="s">
        <v>1107</v>
      </c>
      <c r="C519" s="13" t="s">
        <v>696</v>
      </c>
      <c r="D519" s="13" t="s">
        <v>1056</v>
      </c>
      <c r="E519" s="13" t="s">
        <v>928</v>
      </c>
      <c r="F519" s="13" t="s">
        <v>1057</v>
      </c>
      <c r="G519" s="13" t="s">
        <v>699</v>
      </c>
      <c r="H519" s="14">
        <v>45719</v>
      </c>
      <c r="I519" s="14">
        <v>45719</v>
      </c>
      <c r="J519" s="14">
        <v>45719</v>
      </c>
      <c r="K519" s="14">
        <v>45729</v>
      </c>
      <c r="L519" s="14">
        <v>45729</v>
      </c>
      <c r="M519" s="14">
        <v>45740</v>
      </c>
      <c r="N519" s="14">
        <v>45995</v>
      </c>
      <c r="O519" s="14">
        <v>45747</v>
      </c>
      <c r="P519" s="14">
        <v>45753</v>
      </c>
      <c r="Q519" s="13"/>
    </row>
    <row r="520" spans="1:17">
      <c r="A520" s="13">
        <v>519</v>
      </c>
      <c r="B520" s="13" t="s">
        <v>1107</v>
      </c>
      <c r="C520" s="13" t="s">
        <v>1058</v>
      </c>
      <c r="D520" s="13" t="s">
        <v>1059</v>
      </c>
      <c r="E520" s="13" t="s">
        <v>1058</v>
      </c>
      <c r="F520" s="13" t="s">
        <v>743</v>
      </c>
      <c r="G520" s="13" t="s">
        <v>699</v>
      </c>
      <c r="H520" s="14">
        <v>46077</v>
      </c>
      <c r="I520" s="14"/>
      <c r="J520" s="14">
        <v>45741</v>
      </c>
      <c r="K520" s="14">
        <v>46093</v>
      </c>
      <c r="L520" s="14"/>
      <c r="M520" s="14">
        <v>46104</v>
      </c>
      <c r="N520" s="14">
        <v>46132</v>
      </c>
      <c r="O520" s="14">
        <v>46111</v>
      </c>
      <c r="P520" s="14"/>
      <c r="Q520" s="13"/>
    </row>
    <row r="521" spans="1:17">
      <c r="A521" s="13">
        <v>520</v>
      </c>
      <c r="B521" s="13" t="s">
        <v>1107</v>
      </c>
      <c r="C521" s="13" t="s">
        <v>1058</v>
      </c>
      <c r="D521" s="13" t="s">
        <v>1060</v>
      </c>
      <c r="E521" s="13" t="s">
        <v>1058</v>
      </c>
      <c r="F521" s="13" t="s">
        <v>1061</v>
      </c>
      <c r="G521" s="13" t="s">
        <v>699</v>
      </c>
      <c r="H521" s="14">
        <v>46081</v>
      </c>
      <c r="I521" s="14"/>
      <c r="J521" s="14"/>
      <c r="K521" s="14">
        <v>46098</v>
      </c>
      <c r="L521" s="14"/>
      <c r="M521" s="14">
        <v>46108</v>
      </c>
      <c r="N521" s="14"/>
      <c r="O521" s="14">
        <v>46115</v>
      </c>
      <c r="P521" s="14"/>
      <c r="Q521" s="13"/>
    </row>
    <row r="522" spans="1:17">
      <c r="A522" s="13">
        <v>521</v>
      </c>
      <c r="B522" s="13" t="s">
        <v>1107</v>
      </c>
      <c r="C522" s="13" t="s">
        <v>1058</v>
      </c>
      <c r="D522" s="13" t="s">
        <v>1062</v>
      </c>
      <c r="E522" s="13" t="s">
        <v>1058</v>
      </c>
      <c r="F522" s="13" t="s">
        <v>728</v>
      </c>
      <c r="G522" s="13" t="s">
        <v>699</v>
      </c>
      <c r="H522" s="14">
        <v>46056</v>
      </c>
      <c r="I522" s="14"/>
      <c r="J522" s="14">
        <v>46056</v>
      </c>
      <c r="K522" s="14">
        <v>46072</v>
      </c>
      <c r="L522" s="14"/>
      <c r="M522" s="14">
        <v>46083</v>
      </c>
      <c r="N522" s="14">
        <v>46074</v>
      </c>
      <c r="O522" s="14">
        <v>46090</v>
      </c>
      <c r="P522" s="14"/>
      <c r="Q522" s="13"/>
    </row>
    <row r="523" spans="1:17">
      <c r="A523" s="13">
        <v>522</v>
      </c>
      <c r="B523" s="13" t="s">
        <v>1107</v>
      </c>
      <c r="C523" s="13" t="s">
        <v>1058</v>
      </c>
      <c r="D523" s="13" t="s">
        <v>1063</v>
      </c>
      <c r="E523" s="13" t="s">
        <v>1058</v>
      </c>
      <c r="F523" s="13" t="s">
        <v>730</v>
      </c>
      <c r="G523" s="13" t="s">
        <v>699</v>
      </c>
      <c r="H523" s="14">
        <v>46056</v>
      </c>
      <c r="I523" s="14"/>
      <c r="J523" s="14">
        <v>46056</v>
      </c>
      <c r="K523" s="14">
        <v>46072</v>
      </c>
      <c r="L523" s="14"/>
      <c r="M523" s="14">
        <v>46083</v>
      </c>
      <c r="N523" s="14">
        <v>46074</v>
      </c>
      <c r="O523" s="14">
        <v>46090</v>
      </c>
      <c r="P523" s="14"/>
      <c r="Q523" s="13"/>
    </row>
    <row r="524" spans="1:17">
      <c r="A524" s="13">
        <v>523</v>
      </c>
      <c r="B524" s="13" t="s">
        <v>1107</v>
      </c>
      <c r="C524" s="13" t="s">
        <v>1058</v>
      </c>
      <c r="D524" s="13" t="s">
        <v>1064</v>
      </c>
      <c r="E524" s="13" t="s">
        <v>1058</v>
      </c>
      <c r="F524" s="13" t="s">
        <v>765</v>
      </c>
      <c r="G524" s="13" t="s">
        <v>699</v>
      </c>
      <c r="H524" s="14">
        <v>46077</v>
      </c>
      <c r="I524" s="14"/>
      <c r="J524" s="14">
        <v>45741</v>
      </c>
      <c r="K524" s="14">
        <v>46093</v>
      </c>
      <c r="L524" s="14"/>
      <c r="M524" s="14">
        <v>46104</v>
      </c>
      <c r="N524" s="14">
        <v>46132</v>
      </c>
      <c r="O524" s="14">
        <v>46111</v>
      </c>
      <c r="P524" s="14"/>
      <c r="Q524" s="13"/>
    </row>
    <row r="525" spans="1:17">
      <c r="A525" s="13">
        <v>524</v>
      </c>
      <c r="B525" s="13" t="s">
        <v>1107</v>
      </c>
      <c r="C525" s="13" t="s">
        <v>1058</v>
      </c>
      <c r="D525" s="13" t="s">
        <v>1065</v>
      </c>
      <c r="E525" s="13" t="s">
        <v>1058</v>
      </c>
      <c r="F525" s="13" t="s">
        <v>1066</v>
      </c>
      <c r="G525" s="13" t="s">
        <v>699</v>
      </c>
      <c r="H525" s="14">
        <v>46081</v>
      </c>
      <c r="I525" s="14"/>
      <c r="J525" s="14"/>
      <c r="K525" s="14">
        <v>46098</v>
      </c>
      <c r="L525" s="14"/>
      <c r="M525" s="14">
        <v>46108</v>
      </c>
      <c r="N525" s="14"/>
      <c r="O525" s="14">
        <v>46115</v>
      </c>
      <c r="P525" s="14"/>
      <c r="Q525" s="13"/>
    </row>
    <row r="526" spans="1:17">
      <c r="A526" s="13">
        <v>525</v>
      </c>
      <c r="B526" s="13" t="s">
        <v>1107</v>
      </c>
      <c r="C526" s="13" t="s">
        <v>1058</v>
      </c>
      <c r="D526" s="13" t="s">
        <v>1067</v>
      </c>
      <c r="E526" s="13" t="s">
        <v>1058</v>
      </c>
      <c r="F526" s="13" t="s">
        <v>1068</v>
      </c>
      <c r="G526" s="13" t="s">
        <v>699</v>
      </c>
      <c r="H526" s="14">
        <v>46056</v>
      </c>
      <c r="I526" s="14"/>
      <c r="J526" s="14">
        <v>46056</v>
      </c>
      <c r="K526" s="14">
        <v>46072</v>
      </c>
      <c r="L526" s="14"/>
      <c r="M526" s="14">
        <v>46083</v>
      </c>
      <c r="N526" s="14">
        <v>46074</v>
      </c>
      <c r="O526" s="14">
        <v>46090</v>
      </c>
      <c r="P526" s="14"/>
      <c r="Q526" s="13"/>
    </row>
    <row r="527" spans="1:17">
      <c r="A527" s="13">
        <v>526</v>
      </c>
      <c r="B527" s="13" t="s">
        <v>1107</v>
      </c>
      <c r="C527" s="13" t="s">
        <v>1058</v>
      </c>
      <c r="D527" s="13" t="s">
        <v>1069</v>
      </c>
      <c r="E527" s="13" t="s">
        <v>1058</v>
      </c>
      <c r="F527" s="13" t="s">
        <v>757</v>
      </c>
      <c r="G527" s="13" t="s">
        <v>699</v>
      </c>
      <c r="H527" s="14">
        <v>46056</v>
      </c>
      <c r="I527" s="14"/>
      <c r="J527" s="14">
        <v>46056</v>
      </c>
      <c r="K527" s="14">
        <v>46072</v>
      </c>
      <c r="L527" s="14"/>
      <c r="M527" s="14">
        <v>46083</v>
      </c>
      <c r="N527" s="14">
        <v>46074</v>
      </c>
      <c r="O527" s="14">
        <v>46090</v>
      </c>
      <c r="P527" s="14"/>
      <c r="Q527" s="13"/>
    </row>
    <row r="528" spans="1:17">
      <c r="A528" s="13">
        <v>527</v>
      </c>
      <c r="B528" s="13" t="s">
        <v>1107</v>
      </c>
      <c r="C528" s="13" t="s">
        <v>1058</v>
      </c>
      <c r="D528" s="13" t="s">
        <v>1070</v>
      </c>
      <c r="E528" s="13" t="s">
        <v>1058</v>
      </c>
      <c r="F528" s="13" t="s">
        <v>1071</v>
      </c>
      <c r="G528" s="13" t="s">
        <v>699</v>
      </c>
      <c r="H528" s="14">
        <v>46077</v>
      </c>
      <c r="I528" s="14"/>
      <c r="J528" s="14">
        <v>45741</v>
      </c>
      <c r="K528" s="14">
        <v>46093</v>
      </c>
      <c r="L528" s="14"/>
      <c r="M528" s="14">
        <v>46104</v>
      </c>
      <c r="N528" s="14">
        <v>46132</v>
      </c>
      <c r="O528" s="14">
        <v>46111</v>
      </c>
      <c r="P528" s="14"/>
      <c r="Q528" s="13"/>
    </row>
    <row r="529" spans="1:17">
      <c r="A529" s="13">
        <v>528</v>
      </c>
      <c r="B529" s="13" t="s">
        <v>1107</v>
      </c>
      <c r="C529" s="13" t="s">
        <v>1058</v>
      </c>
      <c r="D529" s="13" t="s">
        <v>1072</v>
      </c>
      <c r="E529" s="13" t="s">
        <v>1058</v>
      </c>
      <c r="F529" s="13" t="s">
        <v>1073</v>
      </c>
      <c r="G529" s="13" t="s">
        <v>699</v>
      </c>
      <c r="H529" s="14">
        <v>46081</v>
      </c>
      <c r="I529" s="14"/>
      <c r="J529" s="14"/>
      <c r="K529" s="14">
        <v>46098</v>
      </c>
      <c r="L529" s="14"/>
      <c r="M529" s="14">
        <v>46108</v>
      </c>
      <c r="N529" s="14"/>
      <c r="O529" s="14">
        <v>46115</v>
      </c>
      <c r="P529" s="14"/>
      <c r="Q529" s="13"/>
    </row>
    <row r="530" spans="1:17">
      <c r="A530" s="13">
        <v>529</v>
      </c>
      <c r="B530" s="13" t="s">
        <v>1107</v>
      </c>
      <c r="C530" s="13" t="s">
        <v>1058</v>
      </c>
      <c r="D530" s="13" t="s">
        <v>1074</v>
      </c>
      <c r="E530" s="13" t="s">
        <v>1058</v>
      </c>
      <c r="F530" s="13" t="s">
        <v>1075</v>
      </c>
      <c r="G530" s="13" t="s">
        <v>699</v>
      </c>
      <c r="H530" s="14">
        <v>46056</v>
      </c>
      <c r="I530" s="14"/>
      <c r="J530" s="14">
        <v>46056</v>
      </c>
      <c r="K530" s="14">
        <v>46072</v>
      </c>
      <c r="L530" s="14"/>
      <c r="M530" s="14">
        <v>46083</v>
      </c>
      <c r="N530" s="14">
        <v>46074</v>
      </c>
      <c r="O530" s="14">
        <v>46090</v>
      </c>
      <c r="P530" s="14"/>
      <c r="Q530" s="13"/>
    </row>
    <row r="531" spans="1:17">
      <c r="A531" s="13">
        <v>530</v>
      </c>
      <c r="B531" s="13" t="s">
        <v>1107</v>
      </c>
      <c r="C531" s="13" t="s">
        <v>1058</v>
      </c>
      <c r="D531" s="13" t="s">
        <v>1076</v>
      </c>
      <c r="E531" s="13" t="s">
        <v>1058</v>
      </c>
      <c r="F531" s="13" t="s">
        <v>771</v>
      </c>
      <c r="G531" s="13" t="s">
        <v>699</v>
      </c>
      <c r="H531" s="14">
        <v>46056</v>
      </c>
      <c r="I531" s="14"/>
      <c r="J531" s="14">
        <v>46056</v>
      </c>
      <c r="K531" s="14">
        <v>46072</v>
      </c>
      <c r="L531" s="14"/>
      <c r="M531" s="14">
        <v>46083</v>
      </c>
      <c r="N531" s="14">
        <v>46074</v>
      </c>
      <c r="O531" s="14">
        <v>46090</v>
      </c>
      <c r="P531" s="14"/>
      <c r="Q531" s="13"/>
    </row>
    <row r="532" spans="1:17">
      <c r="A532" s="13">
        <v>531</v>
      </c>
      <c r="B532" s="13" t="s">
        <v>1107</v>
      </c>
      <c r="C532" s="13" t="s">
        <v>1058</v>
      </c>
      <c r="D532" s="13" t="s">
        <v>1077</v>
      </c>
      <c r="E532" s="13" t="s">
        <v>1058</v>
      </c>
      <c r="F532" s="13" t="s">
        <v>803</v>
      </c>
      <c r="G532" s="13" t="s">
        <v>699</v>
      </c>
      <c r="H532" s="14">
        <v>46077</v>
      </c>
      <c r="I532" s="14"/>
      <c r="J532" s="14">
        <v>46106</v>
      </c>
      <c r="K532" s="14">
        <v>46093</v>
      </c>
      <c r="L532" s="14"/>
      <c r="M532" s="14">
        <v>46104</v>
      </c>
      <c r="N532" s="14">
        <v>46132</v>
      </c>
      <c r="O532" s="14">
        <v>46111</v>
      </c>
      <c r="P532" s="14"/>
      <c r="Q532" s="13"/>
    </row>
    <row r="533" spans="1:17">
      <c r="A533" s="13">
        <v>532</v>
      </c>
      <c r="B533" s="13" t="s">
        <v>1107</v>
      </c>
      <c r="C533" s="13" t="s">
        <v>1058</v>
      </c>
      <c r="D533" s="13" t="s">
        <v>1078</v>
      </c>
      <c r="E533" s="13" t="s">
        <v>1058</v>
      </c>
      <c r="F533" s="13" t="s">
        <v>1079</v>
      </c>
      <c r="G533" s="13" t="s">
        <v>699</v>
      </c>
      <c r="H533" s="14">
        <v>46081</v>
      </c>
      <c r="I533" s="14"/>
      <c r="J533" s="14"/>
      <c r="K533" s="14">
        <v>46098</v>
      </c>
      <c r="L533" s="14"/>
      <c r="M533" s="14">
        <v>46108</v>
      </c>
      <c r="N533" s="14"/>
      <c r="O533" s="14">
        <v>46115</v>
      </c>
      <c r="P533" s="14"/>
      <c r="Q533" s="13"/>
    </row>
    <row r="534" spans="1:17">
      <c r="A534" s="13">
        <v>533</v>
      </c>
      <c r="B534" s="13" t="s">
        <v>1107</v>
      </c>
      <c r="C534" s="13" t="s">
        <v>1058</v>
      </c>
      <c r="D534" s="13" t="s">
        <v>1080</v>
      </c>
      <c r="E534" s="13" t="s">
        <v>1058</v>
      </c>
      <c r="F534" s="13" t="s">
        <v>1081</v>
      </c>
      <c r="G534" s="13" t="s">
        <v>699</v>
      </c>
      <c r="H534" s="14">
        <v>46056</v>
      </c>
      <c r="I534" s="14"/>
      <c r="J534" s="14">
        <v>46056</v>
      </c>
      <c r="K534" s="14">
        <v>46072</v>
      </c>
      <c r="L534" s="14"/>
      <c r="M534" s="14">
        <v>46083</v>
      </c>
      <c r="N534" s="14">
        <v>46074</v>
      </c>
      <c r="O534" s="14">
        <v>46090</v>
      </c>
      <c r="P534" s="14"/>
      <c r="Q534" s="13"/>
    </row>
    <row r="535" spans="1:17">
      <c r="A535" s="13">
        <v>534</v>
      </c>
      <c r="B535" s="13" t="s">
        <v>1107</v>
      </c>
      <c r="C535" s="13" t="s">
        <v>1058</v>
      </c>
      <c r="D535" s="13" t="s">
        <v>1082</v>
      </c>
      <c r="E535" s="13" t="s">
        <v>1058</v>
      </c>
      <c r="F535" s="13" t="s">
        <v>793</v>
      </c>
      <c r="G535" s="13" t="s">
        <v>699</v>
      </c>
      <c r="H535" s="14">
        <v>46056</v>
      </c>
      <c r="I535" s="14"/>
      <c r="J535" s="14">
        <v>46056</v>
      </c>
      <c r="K535" s="14">
        <v>46072</v>
      </c>
      <c r="L535" s="14"/>
      <c r="M535" s="14">
        <v>46083</v>
      </c>
      <c r="N535" s="14">
        <v>46074</v>
      </c>
      <c r="O535" s="14">
        <v>46090</v>
      </c>
      <c r="P535" s="14"/>
      <c r="Q535" s="13"/>
    </row>
    <row r="536" spans="1:17">
      <c r="A536" s="13">
        <v>535</v>
      </c>
      <c r="B536" s="13" t="s">
        <v>1107</v>
      </c>
      <c r="C536" s="13" t="s">
        <v>1058</v>
      </c>
      <c r="D536" s="13" t="s">
        <v>1083</v>
      </c>
      <c r="E536" s="13" t="s">
        <v>1058</v>
      </c>
      <c r="F536" s="13" t="s">
        <v>823</v>
      </c>
      <c r="G536" s="13" t="s">
        <v>699</v>
      </c>
      <c r="H536" s="14">
        <v>46077</v>
      </c>
      <c r="I536" s="14"/>
      <c r="J536" s="14">
        <v>45741</v>
      </c>
      <c r="K536" s="14">
        <v>46093</v>
      </c>
      <c r="L536" s="14"/>
      <c r="M536" s="14">
        <v>46104</v>
      </c>
      <c r="N536" s="14">
        <v>46132</v>
      </c>
      <c r="O536" s="14">
        <v>46111</v>
      </c>
      <c r="P536" s="14"/>
      <c r="Q536" s="13"/>
    </row>
    <row r="537" spans="1:17">
      <c r="A537" s="13">
        <v>536</v>
      </c>
      <c r="B537" s="13" t="s">
        <v>1107</v>
      </c>
      <c r="C537" s="13" t="s">
        <v>1058</v>
      </c>
      <c r="D537" s="13" t="s">
        <v>1084</v>
      </c>
      <c r="E537" s="13" t="s">
        <v>1058</v>
      </c>
      <c r="F537" s="13" t="s">
        <v>1085</v>
      </c>
      <c r="G537" s="13" t="s">
        <v>699</v>
      </c>
      <c r="H537" s="14">
        <v>46081</v>
      </c>
      <c r="I537" s="14"/>
      <c r="J537" s="14"/>
      <c r="K537" s="14">
        <v>46098</v>
      </c>
      <c r="L537" s="14"/>
      <c r="M537" s="14">
        <v>46108</v>
      </c>
      <c r="N537" s="14"/>
      <c r="O537" s="14">
        <v>46115</v>
      </c>
      <c r="P537" s="14"/>
      <c r="Q537" s="13"/>
    </row>
    <row r="538" spans="1:17">
      <c r="A538" s="13">
        <v>537</v>
      </c>
      <c r="B538" s="13" t="s">
        <v>1107</v>
      </c>
      <c r="C538" s="13" t="s">
        <v>1058</v>
      </c>
      <c r="D538" s="13" t="s">
        <v>1086</v>
      </c>
      <c r="E538" s="13" t="s">
        <v>1058</v>
      </c>
      <c r="F538" s="13" t="s">
        <v>1087</v>
      </c>
      <c r="G538" s="13" t="s">
        <v>699</v>
      </c>
      <c r="H538" s="14">
        <v>46056</v>
      </c>
      <c r="I538" s="14"/>
      <c r="J538" s="14">
        <v>46056</v>
      </c>
      <c r="K538" s="14">
        <v>46072</v>
      </c>
      <c r="L538" s="14"/>
      <c r="M538" s="14">
        <v>46083</v>
      </c>
      <c r="N538" s="14">
        <v>46074</v>
      </c>
      <c r="O538" s="14">
        <v>46090</v>
      </c>
      <c r="P538" s="14"/>
      <c r="Q538" s="13"/>
    </row>
    <row r="539" spans="1:17">
      <c r="A539" s="13">
        <v>538</v>
      </c>
      <c r="B539" s="13" t="s">
        <v>1107</v>
      </c>
      <c r="C539" s="13" t="s">
        <v>1058</v>
      </c>
      <c r="D539" s="13" t="s">
        <v>1088</v>
      </c>
      <c r="E539" s="13" t="s">
        <v>1058</v>
      </c>
      <c r="F539" s="13" t="s">
        <v>813</v>
      </c>
      <c r="G539" s="13" t="s">
        <v>699</v>
      </c>
      <c r="H539" s="14">
        <v>46056</v>
      </c>
      <c r="I539" s="14"/>
      <c r="J539" s="14">
        <v>46056</v>
      </c>
      <c r="K539" s="14">
        <v>46072</v>
      </c>
      <c r="L539" s="14"/>
      <c r="M539" s="14">
        <v>46083</v>
      </c>
      <c r="N539" s="14">
        <v>46074</v>
      </c>
      <c r="O539" s="14">
        <v>46090</v>
      </c>
      <c r="P539" s="14"/>
      <c r="Q539" s="13"/>
    </row>
    <row r="540" spans="1:17">
      <c r="A540" s="13">
        <v>539</v>
      </c>
      <c r="B540" s="13" t="s">
        <v>1107</v>
      </c>
      <c r="C540" s="13" t="s">
        <v>1058</v>
      </c>
      <c r="D540" s="13" t="s">
        <v>1089</v>
      </c>
      <c r="E540" s="13" t="s">
        <v>1058</v>
      </c>
      <c r="F540" s="13" t="s">
        <v>849</v>
      </c>
      <c r="G540" s="13" t="s">
        <v>699</v>
      </c>
      <c r="H540" s="14">
        <v>46077</v>
      </c>
      <c r="I540" s="14"/>
      <c r="J540" s="14">
        <v>46132</v>
      </c>
      <c r="K540" s="14">
        <v>46093</v>
      </c>
      <c r="L540" s="14"/>
      <c r="M540" s="14">
        <v>46104</v>
      </c>
      <c r="N540" s="14">
        <v>46132</v>
      </c>
      <c r="O540" s="14">
        <v>46111</v>
      </c>
      <c r="P540" s="14"/>
      <c r="Q540" s="13"/>
    </row>
    <row r="541" spans="1:17">
      <c r="A541" s="13">
        <v>540</v>
      </c>
      <c r="B541" s="13" t="s">
        <v>1107</v>
      </c>
      <c r="C541" s="13" t="s">
        <v>1058</v>
      </c>
      <c r="D541" s="13" t="s">
        <v>1090</v>
      </c>
      <c r="E541" s="13" t="s">
        <v>1058</v>
      </c>
      <c r="F541" s="13" t="s">
        <v>1091</v>
      </c>
      <c r="G541" s="13" t="s">
        <v>699</v>
      </c>
      <c r="H541" s="14">
        <v>46081</v>
      </c>
      <c r="I541" s="14"/>
      <c r="J541" s="14"/>
      <c r="K541" s="14">
        <v>46098</v>
      </c>
      <c r="L541" s="14"/>
      <c r="M541" s="14">
        <v>46108</v>
      </c>
      <c r="N541" s="14"/>
      <c r="O541" s="14">
        <v>46115</v>
      </c>
      <c r="P541" s="14"/>
      <c r="Q541" s="13"/>
    </row>
    <row r="542" spans="1:17">
      <c r="A542" s="13">
        <v>541</v>
      </c>
      <c r="B542" s="13" t="s">
        <v>1107</v>
      </c>
      <c r="C542" s="13" t="s">
        <v>1058</v>
      </c>
      <c r="D542" s="13" t="s">
        <v>1092</v>
      </c>
      <c r="E542" s="13" t="s">
        <v>1058</v>
      </c>
      <c r="F542" s="13" t="s">
        <v>1093</v>
      </c>
      <c r="G542" s="13" t="s">
        <v>699</v>
      </c>
      <c r="H542" s="14">
        <v>46056</v>
      </c>
      <c r="I542" s="14"/>
      <c r="J542" s="14">
        <v>46056</v>
      </c>
      <c r="K542" s="14">
        <v>46072</v>
      </c>
      <c r="L542" s="14"/>
      <c r="M542" s="14">
        <v>46083</v>
      </c>
      <c r="N542" s="14">
        <v>46132</v>
      </c>
      <c r="O542" s="14">
        <v>46090</v>
      </c>
      <c r="P542" s="14"/>
      <c r="Q542" s="13"/>
    </row>
    <row r="543" spans="1:17">
      <c r="A543" s="13">
        <v>542</v>
      </c>
      <c r="B543" s="13" t="s">
        <v>1107</v>
      </c>
      <c r="C543" s="13" t="s">
        <v>1058</v>
      </c>
      <c r="D543" s="13" t="s">
        <v>1094</v>
      </c>
      <c r="E543" s="13" t="s">
        <v>1058</v>
      </c>
      <c r="F543" s="13" t="s">
        <v>831</v>
      </c>
      <c r="G543" s="13" t="s">
        <v>699</v>
      </c>
      <c r="H543" s="14">
        <v>46056</v>
      </c>
      <c r="I543" s="14"/>
      <c r="J543" s="14">
        <v>46056</v>
      </c>
      <c r="K543" s="14">
        <v>46072</v>
      </c>
      <c r="L543" s="14"/>
      <c r="M543" s="14">
        <v>46083</v>
      </c>
      <c r="N543" s="14">
        <v>46132</v>
      </c>
      <c r="O543" s="14">
        <v>46090</v>
      </c>
      <c r="P543" s="14"/>
      <c r="Q543" s="13"/>
    </row>
  </sheetData>
  <autoFilter ref="A1:Q543" xr:uid="{D4C031FC-D67B-4925-A9F1-BEE658CA5C8F}"/>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4774-DA22-44DB-965F-2FBD1917931A}">
  <dimension ref="A1:J543"/>
  <sheetViews>
    <sheetView workbookViewId="0">
      <pane ySplit="1" topLeftCell="A2" activePane="bottomLeft" state="frozen"/>
      <selection pane="bottomLeft" activeCell="H2" sqref="H2"/>
    </sheetView>
  </sheetViews>
  <sheetFormatPr defaultRowHeight="14.5"/>
  <cols>
    <col min="1" max="1" width="34.08984375" style="1" customWidth="1"/>
    <col min="2" max="2" width="14.26953125" style="1" bestFit="1" customWidth="1"/>
    <col min="3" max="3" width="16.54296875" customWidth="1"/>
    <col min="4" max="5" width="16.54296875" style="10" customWidth="1"/>
    <col min="6" max="6" width="17.7265625" style="10" bestFit="1" customWidth="1"/>
    <col min="7" max="10" width="16.54296875" style="10" customWidth="1"/>
  </cols>
  <sheetData>
    <row r="1" spans="1:10" ht="42">
      <c r="A1" s="16" t="s">
        <v>3</v>
      </c>
      <c r="B1" s="16" t="s">
        <v>1</v>
      </c>
      <c r="C1" s="6" t="s">
        <v>1095</v>
      </c>
      <c r="D1" s="7" t="s">
        <v>1096</v>
      </c>
      <c r="E1" s="7" t="s">
        <v>1097</v>
      </c>
      <c r="F1" s="7" t="s">
        <v>1098</v>
      </c>
      <c r="G1" s="8" t="s">
        <v>1099</v>
      </c>
      <c r="H1" s="9" t="s">
        <v>1100</v>
      </c>
      <c r="I1" s="9" t="s">
        <v>1101</v>
      </c>
      <c r="J1" s="9" t="s">
        <v>1102</v>
      </c>
    </row>
    <row r="2" spans="1:10" ht="29">
      <c r="A2" s="2" t="str">
        <f>Master_Data!D2</f>
        <v>WLH/KEC/SIEC/SEWAGE/BASEMENT/00</v>
      </c>
      <c r="B2" s="2" t="str">
        <f>Master_Data!B2</f>
        <v>MEP</v>
      </c>
      <c r="C2" s="18">
        <f>IF(Master_Data!H2="","",Master_Data!H2 - WEEKDAY(Master_Data!H2,2) + 1)</f>
        <v>45747</v>
      </c>
      <c r="D2" s="18">
        <f>IF(Master_Data!J2="","",Master_Data!J2 - WEEKDAY(Master_Data!J2,2) + 1)</f>
        <v>45747</v>
      </c>
      <c r="E2" s="18">
        <f>IF(Master_Data!M2="","",Master_Data!M2 - WEEKDAY(Master_Data!M2,2) + 1)</f>
        <v>45761</v>
      </c>
      <c r="F2" s="18">
        <f>IF(Master_Data!N2="","",Master_Data!N2 - WEEKDAY(Master_Data!N2,2) + 1)</f>
        <v>45803</v>
      </c>
      <c r="G2" s="19">
        <f>EOMONTH(Master_Data!H2,-1)+1</f>
        <v>45717</v>
      </c>
      <c r="H2" s="19">
        <f>IF(Master_Data!J2="","",EOMONTH(Master_Data!J2,-1)+1)</f>
        <v>45748</v>
      </c>
      <c r="I2" s="19">
        <f>IF(Master_Data!M2="","",EOMONTH(Master_Data!M2,-1)+1)</f>
        <v>45748</v>
      </c>
      <c r="J2" s="19">
        <f>IF(Master_Data!N2="","",EOMONTH(Master_Data!N2,-1)+1)</f>
        <v>45778</v>
      </c>
    </row>
    <row r="3" spans="1:10" ht="29">
      <c r="A3" s="2" t="str">
        <f>Master_Data!D3</f>
        <v>WLH/KEC/SIEC/DRAINAGE/BASEMENT/00</v>
      </c>
      <c r="B3" s="2" t="str">
        <f>Master_Data!B3</f>
        <v>MEP</v>
      </c>
      <c r="C3" s="18">
        <f>IF(Master_Data!H3="","",Master_Data!H3 - WEEKDAY(Master_Data!H3,2) + 1)</f>
        <v>45747</v>
      </c>
      <c r="D3" s="18">
        <f>IF(Master_Data!J3="","",Master_Data!J3 - WEEKDAY(Master_Data!J3,2) + 1)</f>
        <v>45747</v>
      </c>
      <c r="E3" s="18">
        <f>IF(Master_Data!M3="","",Master_Data!M3 - WEEKDAY(Master_Data!M3,2) + 1)</f>
        <v>45761</v>
      </c>
      <c r="F3" s="18">
        <f>IF(Master_Data!N3="","",Master_Data!N3 - WEEKDAY(Master_Data!N3,2) + 1)</f>
        <v>45803</v>
      </c>
      <c r="G3" s="19">
        <f>EOMONTH(Master_Data!H3,-1)+1</f>
        <v>45717</v>
      </c>
      <c r="H3" s="19">
        <f>IF(Master_Data!J3="","",EOMONTH(Master_Data!J3,-1)+1)</f>
        <v>45748</v>
      </c>
      <c r="I3" s="19">
        <f>IF(Master_Data!M3="","",EOMONTH(Master_Data!M3,-1)+1)</f>
        <v>45748</v>
      </c>
      <c r="J3" s="19">
        <f>IF(Master_Data!N3="","",EOMONTH(Master_Data!N3,-1)+1)</f>
        <v>45778</v>
      </c>
    </row>
    <row r="4" spans="1:10" ht="29">
      <c r="A4" s="2" t="str">
        <f>Master_Data!D4</f>
        <v>WLH/KEC/SIEC/WATER SUPPLY/GF FL/00</v>
      </c>
      <c r="B4" s="2" t="str">
        <f>Master_Data!B4</f>
        <v>MEP</v>
      </c>
      <c r="C4" s="18">
        <f>IF(Master_Data!H4="","",Master_Data!H4 - WEEKDAY(Master_Data!H4,2) + 1)</f>
        <v>45747</v>
      </c>
      <c r="D4" s="18">
        <f>IF(Master_Data!J4="","",Master_Data!J4 - WEEKDAY(Master_Data!J4,2) + 1)</f>
        <v>45754</v>
      </c>
      <c r="E4" s="18">
        <f>IF(Master_Data!M4="","",Master_Data!M4 - WEEKDAY(Master_Data!M4,2) + 1)</f>
        <v>45761</v>
      </c>
      <c r="F4" s="18">
        <f>IF(Master_Data!N4="","",Master_Data!N4 - WEEKDAY(Master_Data!N4,2) + 1)</f>
        <v>45810</v>
      </c>
      <c r="G4" s="19">
        <f>EOMONTH(Master_Data!H4,-1)+1</f>
        <v>45717</v>
      </c>
      <c r="H4" s="19">
        <f>IF(Master_Data!J4="","",EOMONTH(Master_Data!J4,-1)+1)</f>
        <v>45748</v>
      </c>
      <c r="I4" s="19">
        <f>IF(Master_Data!M4="","",EOMONTH(Master_Data!M4,-1)+1)</f>
        <v>45748</v>
      </c>
      <c r="J4" s="19">
        <f>IF(Master_Data!N4="","",EOMONTH(Master_Data!N4,-1)+1)</f>
        <v>45809</v>
      </c>
    </row>
    <row r="5" spans="1:10">
      <c r="A5" s="2" t="str">
        <f>Master_Data!D5</f>
        <v>WLH/KEC/SIEC/DRAINAGE/GF FL/00</v>
      </c>
      <c r="B5" s="2" t="str">
        <f>Master_Data!B5</f>
        <v>MEP</v>
      </c>
      <c r="C5" s="18">
        <f>IF(Master_Data!H5="","",Master_Data!H5 - WEEKDAY(Master_Data!H5,2) + 1)</f>
        <v>45747</v>
      </c>
      <c r="D5" s="18">
        <f>IF(Master_Data!J5="","",Master_Data!J5 - WEEKDAY(Master_Data!J5,2) + 1)</f>
        <v>45754</v>
      </c>
      <c r="E5" s="18">
        <f>IF(Master_Data!M5="","",Master_Data!M5 - WEEKDAY(Master_Data!M5,2) + 1)</f>
        <v>45761</v>
      </c>
      <c r="F5" s="18">
        <f>IF(Master_Data!N5="","",Master_Data!N5 - WEEKDAY(Master_Data!N5,2) + 1)</f>
        <v>45810</v>
      </c>
      <c r="G5" s="19">
        <f>EOMONTH(Master_Data!H5,-1)+1</f>
        <v>45717</v>
      </c>
      <c r="H5" s="19">
        <f>IF(Master_Data!J5="","",EOMONTH(Master_Data!J5,-1)+1)</f>
        <v>45748</v>
      </c>
      <c r="I5" s="19">
        <f>IF(Master_Data!M5="","",EOMONTH(Master_Data!M5,-1)+1)</f>
        <v>45748</v>
      </c>
      <c r="J5" s="19">
        <f>IF(Master_Data!N5="","",EOMONTH(Master_Data!N5,-1)+1)</f>
        <v>45809</v>
      </c>
    </row>
    <row r="6" spans="1:10" ht="29">
      <c r="A6" s="2" t="str">
        <f>Master_Data!D6</f>
        <v>WLH/KEC/SIEC/WATER SUPPLY/1ST FL/00</v>
      </c>
      <c r="B6" s="2" t="str">
        <f>Master_Data!B6</f>
        <v>MEP</v>
      </c>
      <c r="C6" s="18">
        <f>IF(Master_Data!H6="","",Master_Data!H6 - WEEKDAY(Master_Data!H6,2) + 1)</f>
        <v>45971</v>
      </c>
      <c r="D6" s="18">
        <f>IF(Master_Data!J6="","",Master_Data!J6 - WEEKDAY(Master_Data!J6,2) + 1)</f>
        <v>45971</v>
      </c>
      <c r="E6" s="18">
        <f>IF(Master_Data!M6="","",Master_Data!M6 - WEEKDAY(Master_Data!M6,2) + 1)</f>
        <v>45985</v>
      </c>
      <c r="F6" s="18">
        <f>IF(Master_Data!N6="","",Master_Data!N6 - WEEKDAY(Master_Data!N6,2) + 1)</f>
        <v>45992</v>
      </c>
      <c r="G6" s="19">
        <f>EOMONTH(Master_Data!H6,-1)+1</f>
        <v>45962</v>
      </c>
      <c r="H6" s="19">
        <f>IF(Master_Data!J6="","",EOMONTH(Master_Data!J6,-1)+1)</f>
        <v>45962</v>
      </c>
      <c r="I6" s="19">
        <f>IF(Master_Data!M6="","",EOMONTH(Master_Data!M6,-1)+1)</f>
        <v>45962</v>
      </c>
      <c r="J6" s="19">
        <f>IF(Master_Data!N6="","",EOMONTH(Master_Data!N6,-1)+1)</f>
        <v>45992</v>
      </c>
    </row>
    <row r="7" spans="1:10">
      <c r="A7" s="2" t="str">
        <f>Master_Data!D7</f>
        <v>WLH/KEC/SIEC/DRAINAGE/1ST FL/00</v>
      </c>
      <c r="B7" s="2" t="str">
        <f>Master_Data!B7</f>
        <v>MEP</v>
      </c>
      <c r="C7" s="18">
        <f>IF(Master_Data!H7="","",Master_Data!H7 - WEEKDAY(Master_Data!H7,2) + 1)</f>
        <v>45971</v>
      </c>
      <c r="D7" s="18">
        <f>IF(Master_Data!J7="","",Master_Data!J7 - WEEKDAY(Master_Data!J7,2) + 1)</f>
        <v>45971</v>
      </c>
      <c r="E7" s="18">
        <f>IF(Master_Data!M7="","",Master_Data!M7 - WEEKDAY(Master_Data!M7,2) + 1)</f>
        <v>45985</v>
      </c>
      <c r="F7" s="18">
        <f>IF(Master_Data!N7="","",Master_Data!N7 - WEEKDAY(Master_Data!N7,2) + 1)</f>
        <v>45992</v>
      </c>
      <c r="G7" s="19">
        <f>EOMONTH(Master_Data!H7,-1)+1</f>
        <v>45962</v>
      </c>
      <c r="H7" s="19">
        <f>IF(Master_Data!J7="","",EOMONTH(Master_Data!J7,-1)+1)</f>
        <v>45962</v>
      </c>
      <c r="I7" s="19">
        <f>IF(Master_Data!M7="","",EOMONTH(Master_Data!M7,-1)+1)</f>
        <v>45962</v>
      </c>
      <c r="J7" s="19">
        <f>IF(Master_Data!N7="","",EOMONTH(Master_Data!N7,-1)+1)</f>
        <v>45992</v>
      </c>
    </row>
    <row r="8" spans="1:10" ht="29">
      <c r="A8" s="2" t="str">
        <f>Master_Data!D8</f>
        <v>WLH/KEC/SIEC/WATER SUPPLY/2ND FL/00</v>
      </c>
      <c r="B8" s="2" t="str">
        <f>Master_Data!B8</f>
        <v>MEP</v>
      </c>
      <c r="C8" s="18">
        <f>IF(Master_Data!H8="","",Master_Data!H8 - WEEKDAY(Master_Data!H8,2) + 1)</f>
        <v>45957</v>
      </c>
      <c r="D8" s="18">
        <f>IF(Master_Data!J8="","",Master_Data!J8 - WEEKDAY(Master_Data!J8,2) + 1)</f>
        <v>45964</v>
      </c>
      <c r="E8" s="18">
        <f>IF(Master_Data!M8="","",Master_Data!M8 - WEEKDAY(Master_Data!M8,2) + 1)</f>
        <v>45971</v>
      </c>
      <c r="F8" s="18">
        <f>IF(Master_Data!N8="","",Master_Data!N8 - WEEKDAY(Master_Data!N8,2) + 1)</f>
        <v>45992</v>
      </c>
      <c r="G8" s="19">
        <f>EOMONTH(Master_Data!H8,-1)+1</f>
        <v>45931</v>
      </c>
      <c r="H8" s="19">
        <f>IF(Master_Data!J8="","",EOMONTH(Master_Data!J8,-1)+1)</f>
        <v>45962</v>
      </c>
      <c r="I8" s="19">
        <f>IF(Master_Data!M8="","",EOMONTH(Master_Data!M8,-1)+1)</f>
        <v>45962</v>
      </c>
      <c r="J8" s="19">
        <f>IF(Master_Data!N8="","",EOMONTH(Master_Data!N8,-1)+1)</f>
        <v>45992</v>
      </c>
    </row>
    <row r="9" spans="1:10">
      <c r="A9" s="2" t="str">
        <f>Master_Data!D9</f>
        <v>WLH/KEC/SIEC/DRAINAGE/2ND FL/00</v>
      </c>
      <c r="B9" s="2" t="str">
        <f>Master_Data!B9</f>
        <v>MEP</v>
      </c>
      <c r="C9" s="18">
        <f>IF(Master_Data!H9="","",Master_Data!H9 - WEEKDAY(Master_Data!H9,2) + 1)</f>
        <v>45957</v>
      </c>
      <c r="D9" s="18">
        <f>IF(Master_Data!J9="","",Master_Data!J9 - WEEKDAY(Master_Data!J9,2) + 1)</f>
        <v>45964</v>
      </c>
      <c r="E9" s="18">
        <f>IF(Master_Data!M9="","",Master_Data!M9 - WEEKDAY(Master_Data!M9,2) + 1)</f>
        <v>45971</v>
      </c>
      <c r="F9" s="18">
        <f>IF(Master_Data!N9="","",Master_Data!N9 - WEEKDAY(Master_Data!N9,2) + 1)</f>
        <v>45992</v>
      </c>
      <c r="G9" s="19">
        <f>EOMONTH(Master_Data!H9,-1)+1</f>
        <v>45931</v>
      </c>
      <c r="H9" s="19">
        <f>IF(Master_Data!J9="","",EOMONTH(Master_Data!J9,-1)+1)</f>
        <v>45962</v>
      </c>
      <c r="I9" s="19">
        <f>IF(Master_Data!M9="","",EOMONTH(Master_Data!M9,-1)+1)</f>
        <v>45962</v>
      </c>
      <c r="J9" s="19">
        <f>IF(Master_Data!N9="","",EOMONTH(Master_Data!N9,-1)+1)</f>
        <v>45992</v>
      </c>
    </row>
    <row r="10" spans="1:10" ht="29">
      <c r="A10" s="2" t="str">
        <f>Master_Data!D10</f>
        <v>WLH/KEC/SIEC/WATER SUPPLY/3RD FL/00</v>
      </c>
      <c r="B10" s="2" t="str">
        <f>Master_Data!B10</f>
        <v>MEP</v>
      </c>
      <c r="C10" s="18">
        <f>IF(Master_Data!H10="","",Master_Data!H10 - WEEKDAY(Master_Data!H10,2) + 1)</f>
        <v>45950</v>
      </c>
      <c r="D10" s="18">
        <f>IF(Master_Data!J10="","",Master_Data!J10 - WEEKDAY(Master_Data!J10,2) + 1)</f>
        <v>45957</v>
      </c>
      <c r="E10" s="18">
        <f>IF(Master_Data!M10="","",Master_Data!M10 - WEEKDAY(Master_Data!M10,2) + 1)</f>
        <v>45964</v>
      </c>
      <c r="F10" s="18">
        <f>IF(Master_Data!N10="","",Master_Data!N10 - WEEKDAY(Master_Data!N10,2) + 1)</f>
        <v>45992</v>
      </c>
      <c r="G10" s="19">
        <f>EOMONTH(Master_Data!H10,-1)+1</f>
        <v>45931</v>
      </c>
      <c r="H10" s="19">
        <f>IF(Master_Data!J10="","",EOMONTH(Master_Data!J10,-1)+1)</f>
        <v>45931</v>
      </c>
      <c r="I10" s="19">
        <f>IF(Master_Data!M10="","",EOMONTH(Master_Data!M10,-1)+1)</f>
        <v>45962</v>
      </c>
      <c r="J10" s="19">
        <f>IF(Master_Data!N10="","",EOMONTH(Master_Data!N10,-1)+1)</f>
        <v>45992</v>
      </c>
    </row>
    <row r="11" spans="1:10">
      <c r="A11" s="2" t="str">
        <f>Master_Data!D11</f>
        <v>WLH/KEC/SIEC/DRAINAGE/3RD FL/00</v>
      </c>
      <c r="B11" s="2" t="str">
        <f>Master_Data!B11</f>
        <v>MEP</v>
      </c>
      <c r="C11" s="18">
        <f>IF(Master_Data!H11="","",Master_Data!H11 - WEEKDAY(Master_Data!H11,2) + 1)</f>
        <v>45950</v>
      </c>
      <c r="D11" s="18">
        <f>IF(Master_Data!J11="","",Master_Data!J11 - WEEKDAY(Master_Data!J11,2) + 1)</f>
        <v>45957</v>
      </c>
      <c r="E11" s="18">
        <f>IF(Master_Data!M11="","",Master_Data!M11 - WEEKDAY(Master_Data!M11,2) + 1)</f>
        <v>45964</v>
      </c>
      <c r="F11" s="18">
        <f>IF(Master_Data!N11="","",Master_Data!N11 - WEEKDAY(Master_Data!N11,2) + 1)</f>
        <v>45992</v>
      </c>
      <c r="G11" s="19">
        <f>EOMONTH(Master_Data!H11,-1)+1</f>
        <v>45931</v>
      </c>
      <c r="H11" s="19">
        <f>IF(Master_Data!J11="","",EOMONTH(Master_Data!J11,-1)+1)</f>
        <v>45931</v>
      </c>
      <c r="I11" s="19">
        <f>IF(Master_Data!M11="","",EOMONTH(Master_Data!M11,-1)+1)</f>
        <v>45962</v>
      </c>
      <c r="J11" s="19">
        <f>IF(Master_Data!N11="","",EOMONTH(Master_Data!N11,-1)+1)</f>
        <v>45992</v>
      </c>
    </row>
    <row r="12" spans="1:10" ht="29">
      <c r="A12" s="2" t="str">
        <f>Master_Data!D12</f>
        <v>WLH/KEC/SIEC/WATER SUPPLY/4TH FL/00</v>
      </c>
      <c r="B12" s="2" t="str">
        <f>Master_Data!B12</f>
        <v>MEP</v>
      </c>
      <c r="C12" s="18">
        <f>IF(Master_Data!H12="","",Master_Data!H12 - WEEKDAY(Master_Data!H12,2) + 1)</f>
        <v>45789</v>
      </c>
      <c r="D12" s="18">
        <f>IF(Master_Data!J12="","",Master_Data!J12 - WEEKDAY(Master_Data!J12,2) + 1)</f>
        <v>45796</v>
      </c>
      <c r="E12" s="18">
        <f>IF(Master_Data!M12="","",Master_Data!M12 - WEEKDAY(Master_Data!M12,2) + 1)</f>
        <v>45803</v>
      </c>
      <c r="F12" s="18">
        <f>IF(Master_Data!N12="","",Master_Data!N12 - WEEKDAY(Master_Data!N12,2) + 1)</f>
        <v>45810</v>
      </c>
      <c r="G12" s="19">
        <f>EOMONTH(Master_Data!H12,-1)+1</f>
        <v>45778</v>
      </c>
      <c r="H12" s="19">
        <f>IF(Master_Data!J12="","",EOMONTH(Master_Data!J12,-1)+1)</f>
        <v>45778</v>
      </c>
      <c r="I12" s="19">
        <f>IF(Master_Data!M12="","",EOMONTH(Master_Data!M12,-1)+1)</f>
        <v>45778</v>
      </c>
      <c r="J12" s="19">
        <f>IF(Master_Data!N12="","",EOMONTH(Master_Data!N12,-1)+1)</f>
        <v>45809</v>
      </c>
    </row>
    <row r="13" spans="1:10">
      <c r="A13" s="2" t="str">
        <f>Master_Data!D13</f>
        <v>WLH/KEC/SIEC/DRAINAGE/4TH FL/00</v>
      </c>
      <c r="B13" s="2" t="str">
        <f>Master_Data!B13</f>
        <v>MEP</v>
      </c>
      <c r="C13" s="18">
        <f>IF(Master_Data!H13="","",Master_Data!H13 - WEEKDAY(Master_Data!H13,2) + 1)</f>
        <v>45789</v>
      </c>
      <c r="D13" s="18">
        <f>IF(Master_Data!J13="","",Master_Data!J13 - WEEKDAY(Master_Data!J13,2) + 1)</f>
        <v>45796</v>
      </c>
      <c r="E13" s="18">
        <f>IF(Master_Data!M13="","",Master_Data!M13 - WEEKDAY(Master_Data!M13,2) + 1)</f>
        <v>45803</v>
      </c>
      <c r="F13" s="18">
        <f>IF(Master_Data!N13="","",Master_Data!N13 - WEEKDAY(Master_Data!N13,2) + 1)</f>
        <v>45810</v>
      </c>
      <c r="G13" s="19">
        <f>EOMONTH(Master_Data!H13,-1)+1</f>
        <v>45778</v>
      </c>
      <c r="H13" s="19">
        <f>IF(Master_Data!J13="","",EOMONTH(Master_Data!J13,-1)+1)</f>
        <v>45778</v>
      </c>
      <c r="I13" s="19">
        <f>IF(Master_Data!M13="","",EOMONTH(Master_Data!M13,-1)+1)</f>
        <v>45809</v>
      </c>
      <c r="J13" s="19">
        <f>IF(Master_Data!N13="","",EOMONTH(Master_Data!N13,-1)+1)</f>
        <v>45809</v>
      </c>
    </row>
    <row r="14" spans="1:10" ht="29">
      <c r="A14" s="2" t="str">
        <f>Master_Data!D14</f>
        <v>WLH/KEC/SIEC/WATER SUPPLY/5TH FL/00</v>
      </c>
      <c r="B14" s="2" t="str">
        <f>Master_Data!B14</f>
        <v>MEP</v>
      </c>
      <c r="C14" s="18">
        <f>IF(Master_Data!H14="","",Master_Data!H14 - WEEKDAY(Master_Data!H14,2) + 1)</f>
        <v>45803</v>
      </c>
      <c r="D14" s="18">
        <f>IF(Master_Data!J14="","",Master_Data!J14 - WEEKDAY(Master_Data!J14,2) + 1)</f>
        <v>45838</v>
      </c>
      <c r="E14" s="18">
        <f>IF(Master_Data!M14="","",Master_Data!M14 - WEEKDAY(Master_Data!M14,2) + 1)</f>
        <v>45824</v>
      </c>
      <c r="F14" s="18">
        <f>IF(Master_Data!N14="","",Master_Data!N14 - WEEKDAY(Master_Data!N14,2) + 1)</f>
        <v>45943</v>
      </c>
      <c r="G14" s="19">
        <f>EOMONTH(Master_Data!H14,-1)+1</f>
        <v>45778</v>
      </c>
      <c r="H14" s="19">
        <f>IF(Master_Data!J14="","",EOMONTH(Master_Data!J14,-1)+1)</f>
        <v>45839</v>
      </c>
      <c r="I14" s="19">
        <f>IF(Master_Data!M14="","",EOMONTH(Master_Data!M14,-1)+1)</f>
        <v>45809</v>
      </c>
      <c r="J14" s="19">
        <f>IF(Master_Data!N14="","",EOMONTH(Master_Data!N14,-1)+1)</f>
        <v>45931</v>
      </c>
    </row>
    <row r="15" spans="1:10">
      <c r="A15" s="2" t="str">
        <f>Master_Data!D15</f>
        <v>WLH/KEC/SIEC/DRAINAGE/5TH FL/00</v>
      </c>
      <c r="B15" s="2" t="str">
        <f>Master_Data!B15</f>
        <v>MEP</v>
      </c>
      <c r="C15" s="18">
        <f>IF(Master_Data!H15="","",Master_Data!H15 - WEEKDAY(Master_Data!H15,2) + 1)</f>
        <v>45803</v>
      </c>
      <c r="D15" s="18">
        <f>IF(Master_Data!J15="","",Master_Data!J15 - WEEKDAY(Master_Data!J15,2) + 1)</f>
        <v>45838</v>
      </c>
      <c r="E15" s="18">
        <f>IF(Master_Data!M15="","",Master_Data!M15 - WEEKDAY(Master_Data!M15,2) + 1)</f>
        <v>45824</v>
      </c>
      <c r="F15" s="18">
        <f>IF(Master_Data!N15="","",Master_Data!N15 - WEEKDAY(Master_Data!N15,2) + 1)</f>
        <v>45943</v>
      </c>
      <c r="G15" s="19">
        <f>EOMONTH(Master_Data!H15,-1)+1</f>
        <v>45778</v>
      </c>
      <c r="H15" s="19">
        <f>IF(Master_Data!J15="","",EOMONTH(Master_Data!J15,-1)+1)</f>
        <v>45839</v>
      </c>
      <c r="I15" s="19">
        <f>IF(Master_Data!M15="","",EOMONTH(Master_Data!M15,-1)+1)</f>
        <v>45809</v>
      </c>
      <c r="J15" s="19">
        <f>IF(Master_Data!N15="","",EOMONTH(Master_Data!N15,-1)+1)</f>
        <v>45931</v>
      </c>
    </row>
    <row r="16" spans="1:10" ht="29">
      <c r="A16" s="2" t="str">
        <f>Master_Data!D16</f>
        <v>WLH/KEC/SIEC/WATER SUPPLY/6TH FL/00</v>
      </c>
      <c r="B16" s="2" t="str">
        <f>Master_Data!B16</f>
        <v>MEP</v>
      </c>
      <c r="C16" s="18">
        <f>IF(Master_Data!H16="","",Master_Data!H16 - WEEKDAY(Master_Data!H16,2) + 1)</f>
        <v>45817</v>
      </c>
      <c r="D16" s="18">
        <f>IF(Master_Data!J16="","",Master_Data!J16 - WEEKDAY(Master_Data!J16,2) + 1)</f>
        <v>45845</v>
      </c>
      <c r="E16" s="18">
        <f>IF(Master_Data!M16="","",Master_Data!M16 - WEEKDAY(Master_Data!M16,2) + 1)</f>
        <v>45838</v>
      </c>
      <c r="F16" s="18">
        <f>IF(Master_Data!N16="","",Master_Data!N16 - WEEKDAY(Master_Data!N16,2) + 1)</f>
        <v>45943</v>
      </c>
      <c r="G16" s="19">
        <f>EOMONTH(Master_Data!H16,-1)+1</f>
        <v>45809</v>
      </c>
      <c r="H16" s="19">
        <f>IF(Master_Data!J16="","",EOMONTH(Master_Data!J16,-1)+1)</f>
        <v>45839</v>
      </c>
      <c r="I16" s="19">
        <f>IF(Master_Data!M16="","",EOMONTH(Master_Data!M16,-1)+1)</f>
        <v>45839</v>
      </c>
      <c r="J16" s="19">
        <f>IF(Master_Data!N16="","",EOMONTH(Master_Data!N16,-1)+1)</f>
        <v>45931</v>
      </c>
    </row>
    <row r="17" spans="1:10">
      <c r="A17" s="2" t="str">
        <f>Master_Data!D17</f>
        <v>WLH/KEC/SIEC/DRAINAGE/6TH FL/00</v>
      </c>
      <c r="B17" s="2" t="str">
        <f>Master_Data!B17</f>
        <v>MEP</v>
      </c>
      <c r="C17" s="18">
        <f>IF(Master_Data!H17="","",Master_Data!H17 - WEEKDAY(Master_Data!H17,2) + 1)</f>
        <v>45817</v>
      </c>
      <c r="D17" s="18">
        <f>IF(Master_Data!J17="","",Master_Data!J17 - WEEKDAY(Master_Data!J17,2) + 1)</f>
        <v>45845</v>
      </c>
      <c r="E17" s="18">
        <f>IF(Master_Data!M17="","",Master_Data!M17 - WEEKDAY(Master_Data!M17,2) + 1)</f>
        <v>45838</v>
      </c>
      <c r="F17" s="18">
        <f>IF(Master_Data!N17="","",Master_Data!N17 - WEEKDAY(Master_Data!N17,2) + 1)</f>
        <v>45943</v>
      </c>
      <c r="G17" s="19">
        <f>EOMONTH(Master_Data!H17,-1)+1</f>
        <v>45809</v>
      </c>
      <c r="H17" s="19">
        <f>IF(Master_Data!J17="","",EOMONTH(Master_Data!J17,-1)+1)</f>
        <v>45839</v>
      </c>
      <c r="I17" s="19">
        <f>IF(Master_Data!M17="","",EOMONTH(Master_Data!M17,-1)+1)</f>
        <v>45839</v>
      </c>
      <c r="J17" s="19">
        <f>IF(Master_Data!N17="","",EOMONTH(Master_Data!N17,-1)+1)</f>
        <v>45931</v>
      </c>
    </row>
    <row r="18" spans="1:10" ht="29">
      <c r="A18" s="2" t="str">
        <f>Master_Data!D18</f>
        <v>WLH/KEC/SIEC/WATER SUPPLY/7TH FL/00</v>
      </c>
      <c r="B18" s="2" t="str">
        <f>Master_Data!B18</f>
        <v>MEP</v>
      </c>
      <c r="C18" s="18">
        <f>IF(Master_Data!H18="","",Master_Data!H18 - WEEKDAY(Master_Data!H18,2) + 1)</f>
        <v>45831</v>
      </c>
      <c r="D18" s="18">
        <f>IF(Master_Data!J18="","",Master_Data!J18 - WEEKDAY(Master_Data!J18,2) + 1)</f>
        <v>45894</v>
      </c>
      <c r="E18" s="18">
        <f>IF(Master_Data!M18="","",Master_Data!M18 - WEEKDAY(Master_Data!M18,2) + 1)</f>
        <v>45852</v>
      </c>
      <c r="F18" s="18">
        <f>IF(Master_Data!N18="","",Master_Data!N18 - WEEKDAY(Master_Data!N18,2) + 1)</f>
        <v>45943</v>
      </c>
      <c r="G18" s="19">
        <f>EOMONTH(Master_Data!H18,-1)+1</f>
        <v>45809</v>
      </c>
      <c r="H18" s="19">
        <f>IF(Master_Data!J18="","",EOMONTH(Master_Data!J18,-1)+1)</f>
        <v>45870</v>
      </c>
      <c r="I18" s="19">
        <f>IF(Master_Data!M18="","",EOMONTH(Master_Data!M18,-1)+1)</f>
        <v>45839</v>
      </c>
      <c r="J18" s="19">
        <f>IF(Master_Data!N18="","",EOMONTH(Master_Data!N18,-1)+1)</f>
        <v>45931</v>
      </c>
    </row>
    <row r="19" spans="1:10">
      <c r="A19" s="2" t="str">
        <f>Master_Data!D19</f>
        <v>WLH/KEC/SIEC/DRAINAGE/7TH FL/00</v>
      </c>
      <c r="B19" s="2" t="str">
        <f>Master_Data!B19</f>
        <v>MEP</v>
      </c>
      <c r="C19" s="18">
        <f>IF(Master_Data!H19="","",Master_Data!H19 - WEEKDAY(Master_Data!H19,2) + 1)</f>
        <v>45831</v>
      </c>
      <c r="D19" s="18">
        <f>IF(Master_Data!J19="","",Master_Data!J19 - WEEKDAY(Master_Data!J19,2) + 1)</f>
        <v>45894</v>
      </c>
      <c r="E19" s="18">
        <f>IF(Master_Data!M19="","",Master_Data!M19 - WEEKDAY(Master_Data!M19,2) + 1)</f>
        <v>45852</v>
      </c>
      <c r="F19" s="18">
        <f>IF(Master_Data!N19="","",Master_Data!N19 - WEEKDAY(Master_Data!N19,2) + 1)</f>
        <v>45943</v>
      </c>
      <c r="G19" s="19">
        <f>EOMONTH(Master_Data!H19,-1)+1</f>
        <v>45809</v>
      </c>
      <c r="H19" s="19">
        <f>IF(Master_Data!J19="","",EOMONTH(Master_Data!J19,-1)+1)</f>
        <v>45870</v>
      </c>
      <c r="I19" s="19">
        <f>IF(Master_Data!M19="","",EOMONTH(Master_Data!M19,-1)+1)</f>
        <v>45839</v>
      </c>
      <c r="J19" s="19">
        <f>IF(Master_Data!N19="","",EOMONTH(Master_Data!N19,-1)+1)</f>
        <v>45931</v>
      </c>
    </row>
    <row r="20" spans="1:10" ht="29">
      <c r="A20" s="2" t="str">
        <f>Master_Data!D20</f>
        <v>WLH/KEC/SIEC/WATER SUPPLY/8TH FL/00</v>
      </c>
      <c r="B20" s="2" t="str">
        <f>Master_Data!B20</f>
        <v>MEP</v>
      </c>
      <c r="C20" s="18">
        <f>IF(Master_Data!H20="","",Master_Data!H20 - WEEKDAY(Master_Data!H20,2) + 1)</f>
        <v>45831</v>
      </c>
      <c r="D20" s="18">
        <f>IF(Master_Data!J20="","",Master_Data!J20 - WEEKDAY(Master_Data!J20,2) + 1)</f>
        <v>45894</v>
      </c>
      <c r="E20" s="18">
        <f>IF(Master_Data!M20="","",Master_Data!M20 - WEEKDAY(Master_Data!M20,2) + 1)</f>
        <v>45852</v>
      </c>
      <c r="F20" s="18">
        <f>IF(Master_Data!N20="","",Master_Data!N20 - WEEKDAY(Master_Data!N20,2) + 1)</f>
        <v>45957</v>
      </c>
      <c r="G20" s="19">
        <f>EOMONTH(Master_Data!H20,-1)+1</f>
        <v>45809</v>
      </c>
      <c r="H20" s="19">
        <f>IF(Master_Data!J20="","",EOMONTH(Master_Data!J20,-1)+1)</f>
        <v>45870</v>
      </c>
      <c r="I20" s="19">
        <f>IF(Master_Data!M20="","",EOMONTH(Master_Data!M20,-1)+1)</f>
        <v>45839</v>
      </c>
      <c r="J20" s="19">
        <f>IF(Master_Data!N20="","",EOMONTH(Master_Data!N20,-1)+1)</f>
        <v>45931</v>
      </c>
    </row>
    <row r="21" spans="1:10">
      <c r="A21" s="2" t="str">
        <f>Master_Data!D21</f>
        <v>WLH/KEC/SIEC/DRAINAGE/8TH FL/00</v>
      </c>
      <c r="B21" s="2" t="str">
        <f>Master_Data!B21</f>
        <v>MEP</v>
      </c>
      <c r="C21" s="18">
        <f>IF(Master_Data!H21="","",Master_Data!H21 - WEEKDAY(Master_Data!H21,2) + 1)</f>
        <v>45831</v>
      </c>
      <c r="D21" s="18">
        <f>IF(Master_Data!J21="","",Master_Data!J21 - WEEKDAY(Master_Data!J21,2) + 1)</f>
        <v>45894</v>
      </c>
      <c r="E21" s="18">
        <f>IF(Master_Data!M21="","",Master_Data!M21 - WEEKDAY(Master_Data!M21,2) + 1)</f>
        <v>45852</v>
      </c>
      <c r="F21" s="18">
        <f>IF(Master_Data!N21="","",Master_Data!N21 - WEEKDAY(Master_Data!N21,2) + 1)</f>
        <v>45957</v>
      </c>
      <c r="G21" s="19">
        <f>EOMONTH(Master_Data!H21,-1)+1</f>
        <v>45809</v>
      </c>
      <c r="H21" s="19">
        <f>IF(Master_Data!J21="","",EOMONTH(Master_Data!J21,-1)+1)</f>
        <v>45870</v>
      </c>
      <c r="I21" s="19">
        <f>IF(Master_Data!M21="","",EOMONTH(Master_Data!M21,-1)+1)</f>
        <v>45839</v>
      </c>
      <c r="J21" s="19">
        <f>IF(Master_Data!N21="","",EOMONTH(Master_Data!N21,-1)+1)</f>
        <v>45931</v>
      </c>
    </row>
    <row r="22" spans="1:10" ht="29">
      <c r="A22" s="2" t="str">
        <f>Master_Data!D22</f>
        <v>WLH/KEC/SIEC/WATER SUPPLY/9TH FL/00</v>
      </c>
      <c r="B22" s="2" t="str">
        <f>Master_Data!B22</f>
        <v>MEP</v>
      </c>
      <c r="C22" s="18">
        <f>IF(Master_Data!H22="","",Master_Data!H22 - WEEKDAY(Master_Data!H22,2) + 1)</f>
        <v>45845</v>
      </c>
      <c r="D22" s="18">
        <f>IF(Master_Data!J22="","",Master_Data!J22 - WEEKDAY(Master_Data!J22,2) + 1)</f>
        <v>45824</v>
      </c>
      <c r="E22" s="18">
        <f>IF(Master_Data!M22="","",Master_Data!M22 - WEEKDAY(Master_Data!M22,2) + 1)</f>
        <v>45866</v>
      </c>
      <c r="F22" s="18">
        <f>IF(Master_Data!N22="","",Master_Data!N22 - WEEKDAY(Master_Data!N22,2) + 1)</f>
        <v>45845</v>
      </c>
      <c r="G22" s="19">
        <f>EOMONTH(Master_Data!H22,-1)+1</f>
        <v>45839</v>
      </c>
      <c r="H22" s="19">
        <f>IF(Master_Data!J22="","",EOMONTH(Master_Data!J22,-1)+1)</f>
        <v>45809</v>
      </c>
      <c r="I22" s="19">
        <f>IF(Master_Data!M22="","",EOMONTH(Master_Data!M22,-1)+1)</f>
        <v>45870</v>
      </c>
      <c r="J22" s="19">
        <f>IF(Master_Data!N22="","",EOMONTH(Master_Data!N22,-1)+1)</f>
        <v>45839</v>
      </c>
    </row>
    <row r="23" spans="1:10">
      <c r="A23" s="2" t="str">
        <f>Master_Data!D23</f>
        <v>WLH/KEC/SIEC/DRAINAGE/9TH FL/00</v>
      </c>
      <c r="B23" s="2" t="str">
        <f>Master_Data!B23</f>
        <v>MEP</v>
      </c>
      <c r="C23" s="18">
        <f>IF(Master_Data!H23="","",Master_Data!H23 - WEEKDAY(Master_Data!H23,2) + 1)</f>
        <v>45845</v>
      </c>
      <c r="D23" s="18">
        <f>IF(Master_Data!J23="","",Master_Data!J23 - WEEKDAY(Master_Data!J23,2) + 1)</f>
        <v>45824</v>
      </c>
      <c r="E23" s="18">
        <f>IF(Master_Data!M23="","",Master_Data!M23 - WEEKDAY(Master_Data!M23,2) + 1)</f>
        <v>45866</v>
      </c>
      <c r="F23" s="18">
        <f>IF(Master_Data!N23="","",Master_Data!N23 - WEEKDAY(Master_Data!N23,2) + 1)</f>
        <v>45845</v>
      </c>
      <c r="G23" s="19">
        <f>EOMONTH(Master_Data!H23,-1)+1</f>
        <v>45839</v>
      </c>
      <c r="H23" s="19">
        <f>IF(Master_Data!J23="","",EOMONTH(Master_Data!J23,-1)+1)</f>
        <v>45809</v>
      </c>
      <c r="I23" s="19">
        <f>IF(Master_Data!M23="","",EOMONTH(Master_Data!M23,-1)+1)</f>
        <v>45870</v>
      </c>
      <c r="J23" s="19">
        <f>IF(Master_Data!N23="","",EOMONTH(Master_Data!N23,-1)+1)</f>
        <v>45839</v>
      </c>
    </row>
    <row r="24" spans="1:10" ht="29">
      <c r="A24" s="2" t="str">
        <f>Master_Data!D24</f>
        <v>WLH/KEC/SIEC/WATER SUPPLY/10TH FL/00</v>
      </c>
      <c r="B24" s="2" t="str">
        <f>Master_Data!B24</f>
        <v>MEP</v>
      </c>
      <c r="C24" s="18">
        <f>IF(Master_Data!H24="","",Master_Data!H24 - WEEKDAY(Master_Data!H24,2) + 1)</f>
        <v>45845</v>
      </c>
      <c r="D24" s="18">
        <f>IF(Master_Data!J24="","",Master_Data!J24 - WEEKDAY(Master_Data!J24,2) + 1)</f>
        <v>45908</v>
      </c>
      <c r="E24" s="18">
        <f>IF(Master_Data!M24="","",Master_Data!M24 - WEEKDAY(Master_Data!M24,2) + 1)</f>
        <v>45866</v>
      </c>
      <c r="F24" s="18">
        <f>IF(Master_Data!N24="","",Master_Data!N24 - WEEKDAY(Master_Data!N24,2) + 1)</f>
        <v>45943</v>
      </c>
      <c r="G24" s="19">
        <f>EOMONTH(Master_Data!H24,-1)+1</f>
        <v>45839</v>
      </c>
      <c r="H24" s="19">
        <f>IF(Master_Data!J24="","",EOMONTH(Master_Data!J24,-1)+1)</f>
        <v>45901</v>
      </c>
      <c r="I24" s="19">
        <f>IF(Master_Data!M24="","",EOMONTH(Master_Data!M24,-1)+1)</f>
        <v>45870</v>
      </c>
      <c r="J24" s="19">
        <f>IF(Master_Data!N24="","",EOMONTH(Master_Data!N24,-1)+1)</f>
        <v>45931</v>
      </c>
    </row>
    <row r="25" spans="1:10">
      <c r="A25" s="2" t="str">
        <f>Master_Data!D25</f>
        <v>WLH/KEC/SIEC/DRAINAGE/10TH FL/00</v>
      </c>
      <c r="B25" s="2" t="str">
        <f>Master_Data!B25</f>
        <v>MEP</v>
      </c>
      <c r="C25" s="18">
        <f>IF(Master_Data!H25="","",Master_Data!H25 - WEEKDAY(Master_Data!H25,2) + 1)</f>
        <v>45845</v>
      </c>
      <c r="D25" s="18">
        <f>IF(Master_Data!J25="","",Master_Data!J25 - WEEKDAY(Master_Data!J25,2) + 1)</f>
        <v>45908</v>
      </c>
      <c r="E25" s="18">
        <f>IF(Master_Data!M25="","",Master_Data!M25 - WEEKDAY(Master_Data!M25,2) + 1)</f>
        <v>45866</v>
      </c>
      <c r="F25" s="18">
        <f>IF(Master_Data!N25="","",Master_Data!N25 - WEEKDAY(Master_Data!N25,2) + 1)</f>
        <v>45943</v>
      </c>
      <c r="G25" s="19">
        <f>EOMONTH(Master_Data!H25,-1)+1</f>
        <v>45839</v>
      </c>
      <c r="H25" s="19">
        <f>IF(Master_Data!J25="","",EOMONTH(Master_Data!J25,-1)+1)</f>
        <v>45901</v>
      </c>
      <c r="I25" s="19">
        <f>IF(Master_Data!M25="","",EOMONTH(Master_Data!M25,-1)+1)</f>
        <v>45870</v>
      </c>
      <c r="J25" s="19">
        <f>IF(Master_Data!N25="","",EOMONTH(Master_Data!N25,-1)+1)</f>
        <v>45931</v>
      </c>
    </row>
    <row r="26" spans="1:10" ht="29">
      <c r="A26" s="2" t="str">
        <f>Master_Data!D26</f>
        <v>WLH/KEC/SIEC/WATER SUPPLY/TERRACE FL/00</v>
      </c>
      <c r="B26" s="2" t="str">
        <f>Master_Data!B26</f>
        <v>MEP</v>
      </c>
      <c r="C26" s="18">
        <f>IF(Master_Data!H26="","",Master_Data!H26 - WEEKDAY(Master_Data!H26,2) + 1)</f>
        <v>45971</v>
      </c>
      <c r="D26" s="18">
        <f>IF(Master_Data!J26="","",Master_Data!J26 - WEEKDAY(Master_Data!J26,2) + 1)</f>
        <v>45971</v>
      </c>
      <c r="E26" s="18">
        <f>IF(Master_Data!M26="","",Master_Data!M26 - WEEKDAY(Master_Data!M26,2) + 1)</f>
        <v>45880</v>
      </c>
      <c r="F26" s="18">
        <f>IF(Master_Data!N26="","",Master_Data!N26 - WEEKDAY(Master_Data!N26,2) + 1)</f>
        <v>46069</v>
      </c>
      <c r="G26" s="19">
        <f>EOMONTH(Master_Data!H26,-1)+1</f>
        <v>45962</v>
      </c>
      <c r="H26" s="19">
        <f>IF(Master_Data!J26="","",EOMONTH(Master_Data!J26,-1)+1)</f>
        <v>45962</v>
      </c>
      <c r="I26" s="19">
        <f>IF(Master_Data!M26="","",EOMONTH(Master_Data!M26,-1)+1)</f>
        <v>45870</v>
      </c>
      <c r="J26" s="19">
        <f>IF(Master_Data!N26="","",EOMONTH(Master_Data!N26,-1)+1)</f>
        <v>46054</v>
      </c>
    </row>
    <row r="27" spans="1:10" ht="29">
      <c r="A27" s="2" t="str">
        <f>Master_Data!D27</f>
        <v>WLH/KEC/SIEC/DRAINAGE/TRRRACE FL/00</v>
      </c>
      <c r="B27" s="2" t="str">
        <f>Master_Data!B27</f>
        <v>MEP</v>
      </c>
      <c r="C27" s="18">
        <f>IF(Master_Data!H27="","",Master_Data!H27 - WEEKDAY(Master_Data!H27,2) + 1)</f>
        <v>45971</v>
      </c>
      <c r="D27" s="18">
        <f>IF(Master_Data!J27="","",Master_Data!J27 - WEEKDAY(Master_Data!J27,2) + 1)</f>
        <v>45971</v>
      </c>
      <c r="E27" s="18">
        <f>IF(Master_Data!M27="","",Master_Data!M27 - WEEKDAY(Master_Data!M27,2) + 1)</f>
        <v>45880</v>
      </c>
      <c r="F27" s="18">
        <f>IF(Master_Data!N27="","",Master_Data!N27 - WEEKDAY(Master_Data!N27,2) + 1)</f>
        <v>46069</v>
      </c>
      <c r="G27" s="19">
        <f>EOMONTH(Master_Data!H27,-1)+1</f>
        <v>45962</v>
      </c>
      <c r="H27" s="19">
        <f>IF(Master_Data!J27="","",EOMONTH(Master_Data!J27,-1)+1)</f>
        <v>45962</v>
      </c>
      <c r="I27" s="19">
        <f>IF(Master_Data!M27="","",EOMONTH(Master_Data!M27,-1)+1)</f>
        <v>45870</v>
      </c>
      <c r="J27" s="19">
        <f>IF(Master_Data!N27="","",EOMONTH(Master_Data!N27,-1)+1)</f>
        <v>46054</v>
      </c>
    </row>
    <row r="28" spans="1:10" ht="29">
      <c r="A28" s="2" t="str">
        <f>Master_Data!D28</f>
        <v>WLH/KEC/SIEC/DRAINAGE/MUMTY TERRACE FL/00</v>
      </c>
      <c r="B28" s="2" t="str">
        <f>Master_Data!B28</f>
        <v>MEP</v>
      </c>
      <c r="C28" s="18">
        <f>IF(Master_Data!H28="","",Master_Data!H28 - WEEKDAY(Master_Data!H28,2) + 1)</f>
        <v>45971</v>
      </c>
      <c r="D28" s="18">
        <f>IF(Master_Data!J28="","",Master_Data!J28 - WEEKDAY(Master_Data!J28,2) + 1)</f>
        <v>45985</v>
      </c>
      <c r="E28" s="18">
        <f>IF(Master_Data!M28="","",Master_Data!M28 - WEEKDAY(Master_Data!M28,2) + 1)</f>
        <v>45880</v>
      </c>
      <c r="F28" s="18">
        <f>IF(Master_Data!N28="","",Master_Data!N28 - WEEKDAY(Master_Data!N28,2) + 1)</f>
        <v>46069</v>
      </c>
      <c r="G28" s="19">
        <f>EOMONTH(Master_Data!H28,-1)+1</f>
        <v>45962</v>
      </c>
      <c r="H28" s="19">
        <f>IF(Master_Data!J28="","",EOMONTH(Master_Data!J28,-1)+1)</f>
        <v>45962</v>
      </c>
      <c r="I28" s="19">
        <f>IF(Master_Data!M28="","",EOMONTH(Master_Data!M28,-1)+1)</f>
        <v>45870</v>
      </c>
      <c r="J28" s="19">
        <f>IF(Master_Data!N28="","",EOMONTH(Master_Data!N28,-1)+1)</f>
        <v>46054</v>
      </c>
    </row>
    <row r="29" spans="1:10" ht="29">
      <c r="A29" s="2" t="str">
        <f>Master_Data!D29</f>
        <v>WLH/KEC/SIEC/PHE/INFRA/EXTSEWERAGE/00</v>
      </c>
      <c r="B29" s="2" t="str">
        <f>Master_Data!B29</f>
        <v>MEP</v>
      </c>
      <c r="C29" s="18">
        <f>IF(Master_Data!H29="","",Master_Data!H29 - WEEKDAY(Master_Data!H29,2) + 1)</f>
        <v>45726</v>
      </c>
      <c r="D29" s="18">
        <f>IF(Master_Data!J29="","",Master_Data!J29 - WEEKDAY(Master_Data!J29,2) + 1)</f>
        <v>45964</v>
      </c>
      <c r="E29" s="18">
        <f>IF(Master_Data!M29="","",Master_Data!M29 - WEEKDAY(Master_Data!M29,2) + 1)</f>
        <v>45803</v>
      </c>
      <c r="F29" s="18">
        <f>IF(Master_Data!N29="","",Master_Data!N29 - WEEKDAY(Master_Data!N29,2) + 1)</f>
        <v>46069</v>
      </c>
      <c r="G29" s="19">
        <f>EOMONTH(Master_Data!H29,-1)+1</f>
        <v>45717</v>
      </c>
      <c r="H29" s="19">
        <f>IF(Master_Data!J29="","",EOMONTH(Master_Data!J29,-1)+1)</f>
        <v>45962</v>
      </c>
      <c r="I29" s="19">
        <f>IF(Master_Data!M29="","",EOMONTH(Master_Data!M29,-1)+1)</f>
        <v>45778</v>
      </c>
      <c r="J29" s="19">
        <f>IF(Master_Data!N29="","",EOMONTH(Master_Data!N29,-1)+1)</f>
        <v>46054</v>
      </c>
    </row>
    <row r="30" spans="1:10">
      <c r="A30" s="2" t="str">
        <f>Master_Data!D30</f>
        <v>WLH/KEC/SIEC/PHE/INFRA/00</v>
      </c>
      <c r="B30" s="2" t="str">
        <f>Master_Data!B30</f>
        <v>MEP</v>
      </c>
      <c r="C30" s="18">
        <f>IF(Master_Data!H30="","",Master_Data!H30 - WEEKDAY(Master_Data!H30,2) + 1)</f>
        <v>45726</v>
      </c>
      <c r="D30" s="18">
        <f>IF(Master_Data!J30="","",Master_Data!J30 - WEEKDAY(Master_Data!J30,2) + 1)</f>
        <v>45964</v>
      </c>
      <c r="E30" s="18">
        <f>IF(Master_Data!M30="","",Master_Data!M30 - WEEKDAY(Master_Data!M30,2) + 1)</f>
        <v>45803</v>
      </c>
      <c r="F30" s="18">
        <f>IF(Master_Data!N30="","",Master_Data!N30 - WEEKDAY(Master_Data!N30,2) + 1)</f>
        <v>46069</v>
      </c>
      <c r="G30" s="19">
        <f>EOMONTH(Master_Data!H30,-1)+1</f>
        <v>45717</v>
      </c>
      <c r="H30" s="19">
        <f>IF(Master_Data!J30="","",EOMONTH(Master_Data!J30,-1)+1)</f>
        <v>45962</v>
      </c>
      <c r="I30" s="19">
        <f>IF(Master_Data!M30="","",EOMONTH(Master_Data!M30,-1)+1)</f>
        <v>45778</v>
      </c>
      <c r="J30" s="19">
        <f>IF(Master_Data!N30="","",EOMONTH(Master_Data!N30,-1)+1)</f>
        <v>46054</v>
      </c>
    </row>
    <row r="31" spans="1:10" ht="29">
      <c r="A31" s="2" t="str">
        <f>Master_Data!D31</f>
        <v>WLH/KEC/SIEC/PHE/INFRA WATER SUPPLY/00</v>
      </c>
      <c r="B31" s="2" t="str">
        <f>Master_Data!B31</f>
        <v>MEP</v>
      </c>
      <c r="C31" s="18">
        <f>IF(Master_Data!H31="","",Master_Data!H31 - WEEKDAY(Master_Data!H31,2) + 1)</f>
        <v>45726</v>
      </c>
      <c r="D31" s="18">
        <f>IF(Master_Data!J31="","",Master_Data!J31 - WEEKDAY(Master_Data!J31,2) + 1)</f>
        <v>45964</v>
      </c>
      <c r="E31" s="18">
        <f>IF(Master_Data!M31="","",Master_Data!M31 - WEEKDAY(Master_Data!M31,2) + 1)</f>
        <v>45803</v>
      </c>
      <c r="F31" s="18">
        <f>IF(Master_Data!N31="","",Master_Data!N31 - WEEKDAY(Master_Data!N31,2) + 1)</f>
        <v>46069</v>
      </c>
      <c r="G31" s="19">
        <f>EOMONTH(Master_Data!H31,-1)+1</f>
        <v>45717</v>
      </c>
      <c r="H31" s="19">
        <f>IF(Master_Data!J31="","",EOMONTH(Master_Data!J31,-1)+1)</f>
        <v>45962</v>
      </c>
      <c r="I31" s="19">
        <f>IF(Master_Data!M31="","",EOMONTH(Master_Data!M31,-1)+1)</f>
        <v>45778</v>
      </c>
      <c r="J31" s="19">
        <f>IF(Master_Data!N31="","",EOMONTH(Master_Data!N31,-1)+1)</f>
        <v>46054</v>
      </c>
    </row>
    <row r="32" spans="1:10" ht="29">
      <c r="A32" s="2" t="str">
        <f>Master_Data!D32</f>
        <v>WLH/KEC/SIEC/PHE/INFRA/EXTSTORMWATER/00</v>
      </c>
      <c r="B32" s="2" t="str">
        <f>Master_Data!B32</f>
        <v>MEP</v>
      </c>
      <c r="C32" s="18">
        <f>IF(Master_Data!H32="","",Master_Data!H32 - WEEKDAY(Master_Data!H32,2) + 1)</f>
        <v>45726</v>
      </c>
      <c r="D32" s="18">
        <f>IF(Master_Data!J32="","",Master_Data!J32 - WEEKDAY(Master_Data!J32,2) + 1)</f>
        <v>45964</v>
      </c>
      <c r="E32" s="18">
        <f>IF(Master_Data!M32="","",Master_Data!M32 - WEEKDAY(Master_Data!M32,2) + 1)</f>
        <v>45803</v>
      </c>
      <c r="F32" s="18">
        <f>IF(Master_Data!N32="","",Master_Data!N32 - WEEKDAY(Master_Data!N32,2) + 1)</f>
        <v>46069</v>
      </c>
      <c r="G32" s="19">
        <f>EOMONTH(Master_Data!H32,-1)+1</f>
        <v>45717</v>
      </c>
      <c r="H32" s="19">
        <f>IF(Master_Data!J32="","",EOMONTH(Master_Data!J32,-1)+1)</f>
        <v>45962</v>
      </c>
      <c r="I32" s="19">
        <f>IF(Master_Data!M32="","",EOMONTH(Master_Data!M32,-1)+1)</f>
        <v>45778</v>
      </c>
      <c r="J32" s="19">
        <f>IF(Master_Data!N32="","",EOMONTH(Master_Data!N32,-1)+1)</f>
        <v>46054</v>
      </c>
    </row>
    <row r="33" spans="1:10" ht="29">
      <c r="A33" s="2" t="str">
        <f>Master_Data!D33</f>
        <v>WLH/KEC/SIEC/PHE/INFRA/RECHARGE BOREWELL00</v>
      </c>
      <c r="B33" s="2" t="str">
        <f>Master_Data!B33</f>
        <v>MEP</v>
      </c>
      <c r="C33" s="18">
        <f>IF(Master_Data!H33="","",Master_Data!H33 - WEEKDAY(Master_Data!H33,2) + 1)</f>
        <v>45726</v>
      </c>
      <c r="D33" s="18">
        <f>IF(Master_Data!J33="","",Master_Data!J33 - WEEKDAY(Master_Data!J33,2) + 1)</f>
        <v>45964</v>
      </c>
      <c r="E33" s="18">
        <f>IF(Master_Data!M33="","",Master_Data!M33 - WEEKDAY(Master_Data!M33,2) + 1)</f>
        <v>45803</v>
      </c>
      <c r="F33" s="18">
        <f>IF(Master_Data!N33="","",Master_Data!N33 - WEEKDAY(Master_Data!N33,2) + 1)</f>
        <v>46069</v>
      </c>
      <c r="G33" s="19">
        <f>EOMONTH(Master_Data!H33,-1)+1</f>
        <v>45717</v>
      </c>
      <c r="H33" s="19">
        <f>IF(Master_Data!J33="","",EOMONTH(Master_Data!J33,-1)+1)</f>
        <v>45962</v>
      </c>
      <c r="I33" s="19">
        <f>IF(Master_Data!M33="","",EOMONTH(Master_Data!M33,-1)+1)</f>
        <v>45778</v>
      </c>
      <c r="J33" s="19">
        <f>IF(Master_Data!N33="","",EOMONTH(Master_Data!N33,-1)+1)</f>
        <v>46054</v>
      </c>
    </row>
    <row r="34" spans="1:10">
      <c r="A34" s="2" t="str">
        <f>Master_Data!D34</f>
        <v>WLH/KEC/SIEC/WATER SUPPLY SLD/00</v>
      </c>
      <c r="B34" s="2" t="str">
        <f>Master_Data!B34</f>
        <v>MEP</v>
      </c>
      <c r="C34" s="18">
        <f>IF(Master_Data!H34="","",Master_Data!H34 - WEEKDAY(Master_Data!H34,2) + 1)</f>
        <v>45726</v>
      </c>
      <c r="D34" s="18">
        <f>IF(Master_Data!J34="","",Master_Data!J34 - WEEKDAY(Master_Data!J34,2) + 1)</f>
        <v>45726</v>
      </c>
      <c r="E34" s="18">
        <f>IF(Master_Data!M34="","",Master_Data!M34 - WEEKDAY(Master_Data!M34,2) + 1)</f>
        <v>45803</v>
      </c>
      <c r="F34" s="18">
        <f>IF(Master_Data!N34="","",Master_Data!N34 - WEEKDAY(Master_Data!N34,2) + 1)</f>
        <v>46076</v>
      </c>
      <c r="G34" s="19">
        <f>EOMONTH(Master_Data!H34,-1)+1</f>
        <v>45717</v>
      </c>
      <c r="H34" s="19">
        <f>IF(Master_Data!J34="","",EOMONTH(Master_Data!J34,-1)+1)</f>
        <v>45717</v>
      </c>
      <c r="I34" s="19">
        <f>IF(Master_Data!M34="","",EOMONTH(Master_Data!M34,-1)+1)</f>
        <v>45778</v>
      </c>
      <c r="J34" s="19">
        <f>IF(Master_Data!N34="","",EOMONTH(Master_Data!N34,-1)+1)</f>
        <v>46054</v>
      </c>
    </row>
    <row r="35" spans="1:10" ht="29">
      <c r="A35" s="2" t="str">
        <f>Master_Data!D35</f>
        <v>WLH/KEC/SIEC/SANITARY DRAINAGE/SLD/00</v>
      </c>
      <c r="B35" s="2" t="str">
        <f>Master_Data!B35</f>
        <v>MEP</v>
      </c>
      <c r="C35" s="18">
        <f>IF(Master_Data!H35="","",Master_Data!H35 - WEEKDAY(Master_Data!H35,2) + 1)</f>
        <v>45824</v>
      </c>
      <c r="D35" s="18">
        <f>IF(Master_Data!J35="","",Master_Data!J35 - WEEKDAY(Master_Data!J35,2) + 1)</f>
        <v>45894</v>
      </c>
      <c r="E35" s="18">
        <f>IF(Master_Data!M35="","",Master_Data!M35 - WEEKDAY(Master_Data!M35,2) + 1)</f>
        <v>45831</v>
      </c>
      <c r="F35" s="18">
        <f>IF(Master_Data!N35="","",Master_Data!N35 - WEEKDAY(Master_Data!N35,2) + 1)</f>
        <v>45894</v>
      </c>
      <c r="G35" s="19">
        <f>EOMONTH(Master_Data!H35,-1)+1</f>
        <v>45809</v>
      </c>
      <c r="H35" s="19">
        <f>IF(Master_Data!J35="","",EOMONTH(Master_Data!J35,-1)+1)</f>
        <v>45870</v>
      </c>
      <c r="I35" s="19">
        <f>IF(Master_Data!M35="","",EOMONTH(Master_Data!M35,-1)+1)</f>
        <v>45809</v>
      </c>
      <c r="J35" s="19">
        <f>IF(Master_Data!N35="","",EOMONTH(Master_Data!N35,-1)+1)</f>
        <v>45870</v>
      </c>
    </row>
    <row r="36" spans="1:10" ht="29">
      <c r="A36" s="2" t="str">
        <f>Master_Data!D36</f>
        <v>WLH/KEC/SIEC/RAIN WATER DRAINAGE/SLD/00</v>
      </c>
      <c r="B36" s="2" t="str">
        <f>Master_Data!B36</f>
        <v>MEP</v>
      </c>
      <c r="C36" s="18">
        <f>IF(Master_Data!H36="","",Master_Data!H36 - WEEKDAY(Master_Data!H36,2) + 1)</f>
        <v>45824</v>
      </c>
      <c r="D36" s="18">
        <f>IF(Master_Data!J36="","",Master_Data!J36 - WEEKDAY(Master_Data!J36,2) + 1)</f>
        <v>45894</v>
      </c>
      <c r="E36" s="18">
        <f>IF(Master_Data!M36="","",Master_Data!M36 - WEEKDAY(Master_Data!M36,2) + 1)</f>
        <v>45831</v>
      </c>
      <c r="F36" s="18">
        <f>IF(Master_Data!N36="","",Master_Data!N36 - WEEKDAY(Master_Data!N36,2) + 1)</f>
        <v>45894</v>
      </c>
      <c r="G36" s="19">
        <f>EOMONTH(Master_Data!H36,-1)+1</f>
        <v>45809</v>
      </c>
      <c r="H36" s="19">
        <f>IF(Master_Data!J36="","",EOMONTH(Master_Data!J36,-1)+1)</f>
        <v>45870</v>
      </c>
      <c r="I36" s="19">
        <f>IF(Master_Data!M36="","",EOMONTH(Master_Data!M36,-1)+1)</f>
        <v>45809</v>
      </c>
      <c r="J36" s="19">
        <f>IF(Master_Data!N36="","",EOMONTH(Master_Data!N36,-1)+1)</f>
        <v>45870</v>
      </c>
    </row>
    <row r="37" spans="1:10">
      <c r="A37" s="2" t="str">
        <f>Master_Data!D37</f>
        <v>WLH/KEC/SIEC/OWT/PHE/00</v>
      </c>
      <c r="B37" s="2" t="str">
        <f>Master_Data!B37</f>
        <v>MEP</v>
      </c>
      <c r="C37" s="18">
        <f>IF(Master_Data!H37="","",Master_Data!H37 - WEEKDAY(Master_Data!H37,2) + 1)</f>
        <v>45824</v>
      </c>
      <c r="D37" s="18">
        <f>IF(Master_Data!J37="","",Master_Data!J37 - WEEKDAY(Master_Data!J37,2) + 1)</f>
        <v>45985</v>
      </c>
      <c r="E37" s="18">
        <f>IF(Master_Data!M37="","",Master_Data!M37 - WEEKDAY(Master_Data!M37,2) + 1)</f>
        <v>45831</v>
      </c>
      <c r="F37" s="18" t="str">
        <f>IF(Master_Data!N37="","",Master_Data!N37 - WEEKDAY(Master_Data!N37,2) + 1)</f>
        <v/>
      </c>
      <c r="G37" s="19">
        <f>EOMONTH(Master_Data!H37,-1)+1</f>
        <v>45809</v>
      </c>
      <c r="H37" s="19">
        <f>IF(Master_Data!J37="","",EOMONTH(Master_Data!J37,-1)+1)</f>
        <v>45962</v>
      </c>
      <c r="I37" s="19">
        <f>IF(Master_Data!M37="","",EOMONTH(Master_Data!M37,-1)+1)</f>
        <v>45809</v>
      </c>
      <c r="J37" s="19" t="str">
        <f>IF(Master_Data!N37="","",EOMONTH(Master_Data!N37,-1)+1)</f>
        <v/>
      </c>
    </row>
    <row r="38" spans="1:10" ht="29">
      <c r="A38" s="2" t="str">
        <f>Master_Data!D38</f>
        <v>WLH/KEC/SIEC/DRAINAGE/BASEMENT/DEWATERING/00</v>
      </c>
      <c r="B38" s="2" t="str">
        <f>Master_Data!B38</f>
        <v>MEP</v>
      </c>
      <c r="C38" s="18">
        <f>IF(Master_Data!H38="","",Master_Data!H38 - WEEKDAY(Master_Data!H38,2) + 1)</f>
        <v>45726</v>
      </c>
      <c r="D38" s="18">
        <f>IF(Master_Data!J38="","",Master_Data!J38 - WEEKDAY(Master_Data!J38,2) + 1)</f>
        <v>45726</v>
      </c>
      <c r="E38" s="18">
        <f>IF(Master_Data!M38="","",Master_Data!M38 - WEEKDAY(Master_Data!M38,2) + 1)</f>
        <v>45803</v>
      </c>
      <c r="F38" s="18">
        <f>IF(Master_Data!N38="","",Master_Data!N38 - WEEKDAY(Master_Data!N38,2) + 1)</f>
        <v>45803</v>
      </c>
      <c r="G38" s="19">
        <f>EOMONTH(Master_Data!H38,-1)+1</f>
        <v>45717</v>
      </c>
      <c r="H38" s="19">
        <f>IF(Master_Data!J38="","",EOMONTH(Master_Data!J38,-1)+1)</f>
        <v>45717</v>
      </c>
      <c r="I38" s="19">
        <f>IF(Master_Data!M38="","",EOMONTH(Master_Data!M38,-1)+1)</f>
        <v>45778</v>
      </c>
      <c r="J38" s="19">
        <f>IF(Master_Data!N38="","",EOMONTH(Master_Data!N38,-1)+1)</f>
        <v>45778</v>
      </c>
    </row>
    <row r="39" spans="1:10" ht="29">
      <c r="A39" s="2" t="str">
        <f>Master_Data!D39</f>
        <v>WLH/KEC/SIEC/PHE/CONST. DETAILS/00</v>
      </c>
      <c r="B39" s="2" t="str">
        <f>Master_Data!B39</f>
        <v>MEP</v>
      </c>
      <c r="C39" s="18">
        <f>IF(Master_Data!H39="","",Master_Data!H39 - WEEKDAY(Master_Data!H39,2) + 1)</f>
        <v>45726</v>
      </c>
      <c r="D39" s="18">
        <f>IF(Master_Data!J39="","",Master_Data!J39 - WEEKDAY(Master_Data!J39,2) + 1)</f>
        <v>45894</v>
      </c>
      <c r="E39" s="18">
        <f>IF(Master_Data!M39="","",Master_Data!M39 - WEEKDAY(Master_Data!M39,2) + 1)</f>
        <v>45803</v>
      </c>
      <c r="F39" s="18">
        <f>IF(Master_Data!N39="","",Master_Data!N39 - WEEKDAY(Master_Data!N39,2) + 1)</f>
        <v>45894</v>
      </c>
      <c r="G39" s="19">
        <f>EOMONTH(Master_Data!H39,-1)+1</f>
        <v>45717</v>
      </c>
      <c r="H39" s="19">
        <f>IF(Master_Data!J39="","",EOMONTH(Master_Data!J39,-1)+1)</f>
        <v>45870</v>
      </c>
      <c r="I39" s="19">
        <f>IF(Master_Data!M39="","",EOMONTH(Master_Data!M39,-1)+1)</f>
        <v>45778</v>
      </c>
      <c r="J39" s="19">
        <f>IF(Master_Data!N39="","",EOMONTH(Master_Data!N39,-1)+1)</f>
        <v>45870</v>
      </c>
    </row>
    <row r="40" spans="1:10" ht="29">
      <c r="A40" s="2" t="str">
        <f>Master_Data!D40</f>
        <v>WLH/KEC/SIEC/WATER SUPPLY/EXTERNAL/00</v>
      </c>
      <c r="B40" s="2" t="str">
        <f>Master_Data!B40</f>
        <v>MEP</v>
      </c>
      <c r="C40" s="18">
        <f>IF(Master_Data!H40="","",Master_Data!H40 - WEEKDAY(Master_Data!H40,2) + 1)</f>
        <v>45726</v>
      </c>
      <c r="D40" s="18">
        <f>IF(Master_Data!J40="","",Master_Data!J40 - WEEKDAY(Master_Data!J40,2) + 1)</f>
        <v>45726</v>
      </c>
      <c r="E40" s="18">
        <f>IF(Master_Data!M40="","",Master_Data!M40 - WEEKDAY(Master_Data!M40,2) + 1)</f>
        <v>45803</v>
      </c>
      <c r="F40" s="18">
        <f>IF(Master_Data!N40="","",Master_Data!N40 - WEEKDAY(Master_Data!N40,2) + 1)</f>
        <v>46069</v>
      </c>
      <c r="G40" s="19">
        <f>EOMONTH(Master_Data!H40,-1)+1</f>
        <v>45717</v>
      </c>
      <c r="H40" s="19">
        <f>IF(Master_Data!J40="","",EOMONTH(Master_Data!J40,-1)+1)</f>
        <v>45717</v>
      </c>
      <c r="I40" s="19">
        <f>IF(Master_Data!M40="","",EOMONTH(Master_Data!M40,-1)+1)</f>
        <v>45778</v>
      </c>
      <c r="J40" s="19">
        <f>IF(Master_Data!N40="","",EOMONTH(Master_Data!N40,-1)+1)</f>
        <v>46054</v>
      </c>
    </row>
    <row r="41" spans="1:10" ht="29">
      <c r="A41" s="2" t="str">
        <f>Master_Data!D41</f>
        <v>WLH/KEC/SIEC/PHE/BASEMENT TOILET/00</v>
      </c>
      <c r="B41" s="2" t="str">
        <f>Master_Data!B41</f>
        <v>MEP</v>
      </c>
      <c r="C41" s="18">
        <f>IF(Master_Data!H41="","",Master_Data!H41 - WEEKDAY(Master_Data!H41,2) + 1)</f>
        <v>45726</v>
      </c>
      <c r="D41" s="18">
        <f>IF(Master_Data!J41="","",Master_Data!J41 - WEEKDAY(Master_Data!J41,2) + 1)</f>
        <v>45726</v>
      </c>
      <c r="E41" s="18">
        <f>IF(Master_Data!M41="","",Master_Data!M41 - WEEKDAY(Master_Data!M41,2) + 1)</f>
        <v>45803</v>
      </c>
      <c r="F41" s="18">
        <f>IF(Master_Data!N41="","",Master_Data!N41 - WEEKDAY(Master_Data!N41,2) + 1)</f>
        <v>45803</v>
      </c>
      <c r="G41" s="19">
        <f>EOMONTH(Master_Data!H41,-1)+1</f>
        <v>45717</v>
      </c>
      <c r="H41" s="19">
        <f>IF(Master_Data!J41="","",EOMONTH(Master_Data!J41,-1)+1)</f>
        <v>45717</v>
      </c>
      <c r="I41" s="19">
        <f>IF(Master_Data!M41="","",EOMONTH(Master_Data!M41,-1)+1)</f>
        <v>45778</v>
      </c>
      <c r="J41" s="19">
        <f>IF(Master_Data!N41="","",EOMONTH(Master_Data!N41,-1)+1)</f>
        <v>45778</v>
      </c>
    </row>
    <row r="42" spans="1:10" ht="29">
      <c r="A42" s="2" t="str">
        <f>Master_Data!D42</f>
        <v>WLH/KEC/SIEC/DRAINAGE/SUMP DETAIL/00</v>
      </c>
      <c r="B42" s="2" t="str">
        <f>Master_Data!B42</f>
        <v>MEP</v>
      </c>
      <c r="C42" s="18">
        <f>IF(Master_Data!H42="","",Master_Data!H42 - WEEKDAY(Master_Data!H42,2) + 1)</f>
        <v>45726</v>
      </c>
      <c r="D42" s="18">
        <f>IF(Master_Data!J42="","",Master_Data!J42 - WEEKDAY(Master_Data!J42,2) + 1)</f>
        <v>45726</v>
      </c>
      <c r="E42" s="18">
        <f>IF(Master_Data!M42="","",Master_Data!M42 - WEEKDAY(Master_Data!M42,2) + 1)</f>
        <v>45803</v>
      </c>
      <c r="F42" s="18">
        <f>IF(Master_Data!N42="","",Master_Data!N42 - WEEKDAY(Master_Data!N42,2) + 1)</f>
        <v>45803</v>
      </c>
      <c r="G42" s="19">
        <f>EOMONTH(Master_Data!H42,-1)+1</f>
        <v>45717</v>
      </c>
      <c r="H42" s="19">
        <f>IF(Master_Data!J42="","",EOMONTH(Master_Data!J42,-1)+1)</f>
        <v>45717</v>
      </c>
      <c r="I42" s="19">
        <f>IF(Master_Data!M42="","",EOMONTH(Master_Data!M42,-1)+1)</f>
        <v>45778</v>
      </c>
      <c r="J42" s="19">
        <f>IF(Master_Data!N42="","",EOMONTH(Master_Data!N42,-1)+1)</f>
        <v>45778</v>
      </c>
    </row>
    <row r="43" spans="1:10">
      <c r="A43" s="2" t="str">
        <f>Master_Data!D43</f>
        <v>WLH/KEC/STP/BASEMENT/00</v>
      </c>
      <c r="B43" s="2" t="str">
        <f>Master_Data!B43</f>
        <v>MEP</v>
      </c>
      <c r="C43" s="18">
        <f>IF(Master_Data!H43="","",Master_Data!H43 - WEEKDAY(Master_Data!H43,2) + 1)</f>
        <v>45726</v>
      </c>
      <c r="D43" s="18">
        <f>IF(Master_Data!J43="","",Master_Data!J43 - WEEKDAY(Master_Data!J43,2) + 1)</f>
        <v>45726</v>
      </c>
      <c r="E43" s="18">
        <f>IF(Master_Data!M43="","",Master_Data!M43 - WEEKDAY(Master_Data!M43,2) + 1)</f>
        <v>45761</v>
      </c>
      <c r="F43" s="18">
        <f>IF(Master_Data!N43="","",Master_Data!N43 - WEEKDAY(Master_Data!N43,2) + 1)</f>
        <v>45761</v>
      </c>
      <c r="G43" s="19">
        <f>EOMONTH(Master_Data!H43,-1)+1</f>
        <v>45717</v>
      </c>
      <c r="H43" s="19">
        <f>IF(Master_Data!J43="","",EOMONTH(Master_Data!J43,-1)+1)</f>
        <v>45717</v>
      </c>
      <c r="I43" s="19">
        <f>IF(Master_Data!M43="","",EOMONTH(Master_Data!M43,-1)+1)</f>
        <v>45748</v>
      </c>
      <c r="J43" s="19">
        <f>IF(Master_Data!N43="","",EOMONTH(Master_Data!N43,-1)+1)</f>
        <v>45748</v>
      </c>
    </row>
    <row r="44" spans="1:10">
      <c r="A44" s="2" t="str">
        <f>Master_Data!D44</f>
        <v>WLH/KEC/STP/SCHEMATIC</v>
      </c>
      <c r="B44" s="2" t="str">
        <f>Master_Data!B44</f>
        <v>MEP</v>
      </c>
      <c r="C44" s="18">
        <f>IF(Master_Data!H44="","",Master_Data!H44 - WEEKDAY(Master_Data!H44,2) + 1)</f>
        <v>45726</v>
      </c>
      <c r="D44" s="18">
        <f>IF(Master_Data!J44="","",Master_Data!J44 - WEEKDAY(Master_Data!J44,2) + 1)</f>
        <v>45726</v>
      </c>
      <c r="E44" s="18">
        <f>IF(Master_Data!M44="","",Master_Data!M44 - WEEKDAY(Master_Data!M44,2) + 1)</f>
        <v>45754</v>
      </c>
      <c r="F44" s="18">
        <f>IF(Master_Data!N44="","",Master_Data!N44 - WEEKDAY(Master_Data!N44,2) + 1)</f>
        <v>45754</v>
      </c>
      <c r="G44" s="19">
        <f>EOMONTH(Master_Data!H44,-1)+1</f>
        <v>45717</v>
      </c>
      <c r="H44" s="19">
        <f>IF(Master_Data!J44="","",EOMONTH(Master_Data!J44,-1)+1)</f>
        <v>45717</v>
      </c>
      <c r="I44" s="19">
        <f>IF(Master_Data!M44="","",EOMONTH(Master_Data!M44,-1)+1)</f>
        <v>45748</v>
      </c>
      <c r="J44" s="19">
        <f>IF(Master_Data!N44="","",EOMONTH(Master_Data!N44,-1)+1)</f>
        <v>45748</v>
      </c>
    </row>
    <row r="45" spans="1:10">
      <c r="A45" s="2" t="str">
        <f>Master_Data!D45</f>
        <v>WLH/KEC/ETP/SCHEMATIC</v>
      </c>
      <c r="B45" s="2" t="str">
        <f>Master_Data!B45</f>
        <v>MEP</v>
      </c>
      <c r="C45" s="18">
        <f>IF(Master_Data!H45="","",Master_Data!H45 - WEEKDAY(Master_Data!H45,2) + 1)</f>
        <v>45726</v>
      </c>
      <c r="D45" s="18">
        <f>IF(Master_Data!J45="","",Master_Data!J45 - WEEKDAY(Master_Data!J45,2) + 1)</f>
        <v>45726</v>
      </c>
      <c r="E45" s="18">
        <f>IF(Master_Data!M45="","",Master_Data!M45 - WEEKDAY(Master_Data!M45,2) + 1)</f>
        <v>45754</v>
      </c>
      <c r="F45" s="18">
        <f>IF(Master_Data!N45="","",Master_Data!N45 - WEEKDAY(Master_Data!N45,2) + 1)</f>
        <v>45754</v>
      </c>
      <c r="G45" s="19">
        <f>EOMONTH(Master_Data!H45,-1)+1</f>
        <v>45717</v>
      </c>
      <c r="H45" s="19">
        <f>IF(Master_Data!J45="","",EOMONTH(Master_Data!J45,-1)+1)</f>
        <v>45717</v>
      </c>
      <c r="I45" s="19">
        <f>IF(Master_Data!M45="","",EOMONTH(Master_Data!M45,-1)+1)</f>
        <v>45748</v>
      </c>
      <c r="J45" s="19">
        <f>IF(Master_Data!N45="","",EOMONTH(Master_Data!N45,-1)+1)</f>
        <v>45748</v>
      </c>
    </row>
    <row r="46" spans="1:10">
      <c r="A46" s="2" t="str">
        <f>Master_Data!D46</f>
        <v>WLH/KEC/ETP/BASEMENT/00</v>
      </c>
      <c r="B46" s="2" t="str">
        <f>Master_Data!B46</f>
        <v>MEP</v>
      </c>
      <c r="C46" s="18">
        <f>IF(Master_Data!H46="","",Master_Data!H46 - WEEKDAY(Master_Data!H46,2) + 1)</f>
        <v>45726</v>
      </c>
      <c r="D46" s="18">
        <f>IF(Master_Data!J46="","",Master_Data!J46 - WEEKDAY(Master_Data!J46,2) + 1)</f>
        <v>45726</v>
      </c>
      <c r="E46" s="18">
        <f>IF(Master_Data!M46="","",Master_Data!M46 - WEEKDAY(Master_Data!M46,2) + 1)</f>
        <v>45754</v>
      </c>
      <c r="F46" s="18">
        <f>IF(Master_Data!N46="","",Master_Data!N46 - WEEKDAY(Master_Data!N46,2) + 1)</f>
        <v>45754</v>
      </c>
      <c r="G46" s="19">
        <f>EOMONTH(Master_Data!H46,-1)+1</f>
        <v>45717</v>
      </c>
      <c r="H46" s="19">
        <f>IF(Master_Data!J46="","",EOMONTH(Master_Data!J46,-1)+1)</f>
        <v>45717</v>
      </c>
      <c r="I46" s="19">
        <f>IF(Master_Data!M46="","",EOMONTH(Master_Data!M46,-1)+1)</f>
        <v>45748</v>
      </c>
      <c r="J46" s="19">
        <f>IF(Master_Data!N46="","",EOMONTH(Master_Data!N46,-1)+1)</f>
        <v>45748</v>
      </c>
    </row>
    <row r="47" spans="1:10">
      <c r="A47" s="2" t="str">
        <f>Master_Data!D47</f>
        <v>WLH/KEC/SIEC/PHE/IRRIGATION/00</v>
      </c>
      <c r="B47" s="2" t="str">
        <f>Master_Data!B47</f>
        <v>MEP</v>
      </c>
      <c r="C47" s="18">
        <f>IF(Master_Data!H47="","",Master_Data!H47 - WEEKDAY(Master_Data!H47,2) + 1)</f>
        <v>45726</v>
      </c>
      <c r="D47" s="18">
        <f>IF(Master_Data!J47="","",Master_Data!J47 - WEEKDAY(Master_Data!J47,2) + 1)</f>
        <v>45964</v>
      </c>
      <c r="E47" s="18">
        <f>IF(Master_Data!M47="","",Master_Data!M47 - WEEKDAY(Master_Data!M47,2) + 1)</f>
        <v>45803</v>
      </c>
      <c r="F47" s="18">
        <f>IF(Master_Data!N47="","",Master_Data!N47 - WEEKDAY(Master_Data!N47,2) + 1)</f>
        <v>46069</v>
      </c>
      <c r="G47" s="19">
        <f>EOMONTH(Master_Data!H47,-1)+1</f>
        <v>45717</v>
      </c>
      <c r="H47" s="19">
        <f>IF(Master_Data!J47="","",EOMONTH(Master_Data!J47,-1)+1)</f>
        <v>45962</v>
      </c>
      <c r="I47" s="19">
        <f>IF(Master_Data!M47="","",EOMONTH(Master_Data!M47,-1)+1)</f>
        <v>45778</v>
      </c>
      <c r="J47" s="19">
        <f>IF(Master_Data!N47="","",EOMONTH(Master_Data!N47,-1)+1)</f>
        <v>46054</v>
      </c>
    </row>
    <row r="48" spans="1:10">
      <c r="A48" s="2" t="str">
        <f>Master_Data!D48</f>
        <v>WLH/KEC/SIEC/ELEC/INFRA/00</v>
      </c>
      <c r="B48" s="2" t="str">
        <f>Master_Data!B48</f>
        <v>MEP</v>
      </c>
      <c r="C48" s="18">
        <f>IF(Master_Data!H48="","",Master_Data!H48 - WEEKDAY(Master_Data!H48,2) + 1)</f>
        <v>45726</v>
      </c>
      <c r="D48" s="18">
        <f>IF(Master_Data!J48="","",Master_Data!J48 - WEEKDAY(Master_Data!J48,2) + 1)</f>
        <v>45964</v>
      </c>
      <c r="E48" s="18">
        <f>IF(Master_Data!M48="","",Master_Data!M48 - WEEKDAY(Master_Data!M48,2) + 1)</f>
        <v>45810</v>
      </c>
      <c r="F48" s="18">
        <f>IF(Master_Data!N48="","",Master_Data!N48 - WEEKDAY(Master_Data!N48,2) + 1)</f>
        <v>46083</v>
      </c>
      <c r="G48" s="19">
        <f>EOMONTH(Master_Data!H48,-1)+1</f>
        <v>45717</v>
      </c>
      <c r="H48" s="19">
        <f>IF(Master_Data!J48="","",EOMONTH(Master_Data!J48,-1)+1)</f>
        <v>45962</v>
      </c>
      <c r="I48" s="19">
        <f>IF(Master_Data!M48="","",EOMONTH(Master_Data!M48,-1)+1)</f>
        <v>45809</v>
      </c>
      <c r="J48" s="19">
        <f>IF(Master_Data!N48="","",EOMONTH(Master_Data!N48,-1)+1)</f>
        <v>46082</v>
      </c>
    </row>
    <row r="49" spans="1:10">
      <c r="A49" s="2" t="str">
        <f>Master_Data!D49</f>
        <v>WLH/KEC/SIEC/ELEC/DG/00</v>
      </c>
      <c r="B49" s="2" t="str">
        <f>Master_Data!B49</f>
        <v>MEP</v>
      </c>
      <c r="C49" s="18">
        <f>IF(Master_Data!H49="","",Master_Data!H49 - WEEKDAY(Master_Data!H49,2) + 1)</f>
        <v>46020</v>
      </c>
      <c r="D49" s="18">
        <f>IF(Master_Data!J49="","",Master_Data!J49 - WEEKDAY(Master_Data!J49,2) + 1)</f>
        <v>46055</v>
      </c>
      <c r="E49" s="18">
        <f>IF(Master_Data!M49="","",Master_Data!M49 - WEEKDAY(Master_Data!M49,2) + 1)</f>
        <v>45810</v>
      </c>
      <c r="F49" s="18">
        <f>IF(Master_Data!N49="","",Master_Data!N49 - WEEKDAY(Master_Data!N49,2) + 1)</f>
        <v>46083</v>
      </c>
      <c r="G49" s="19">
        <f>EOMONTH(Master_Data!H49,-1)+1</f>
        <v>45992</v>
      </c>
      <c r="H49" s="19">
        <f>IF(Master_Data!J49="","",EOMONTH(Master_Data!J49,-1)+1)</f>
        <v>46054</v>
      </c>
      <c r="I49" s="19">
        <f>IF(Master_Data!M49="","",EOMONTH(Master_Data!M49,-1)+1)</f>
        <v>45809</v>
      </c>
      <c r="J49" s="19">
        <f>IF(Master_Data!N49="","",EOMONTH(Master_Data!N49,-1)+1)</f>
        <v>46082</v>
      </c>
    </row>
    <row r="50" spans="1:10" ht="29">
      <c r="A50" s="2" t="str">
        <f>Master_Data!D50</f>
        <v>WLH/KEC/SIEC/ELEC/EXTERNAL LIGHTING/00</v>
      </c>
      <c r="B50" s="2" t="str">
        <f>Master_Data!B50</f>
        <v>MEP</v>
      </c>
      <c r="C50" s="18">
        <f>IF(Master_Data!H50="","",Master_Data!H50 - WEEKDAY(Master_Data!H50,2) + 1)</f>
        <v>45852</v>
      </c>
      <c r="D50" s="18">
        <f>IF(Master_Data!J50="","",Master_Data!J50 - WEEKDAY(Master_Data!J50,2) + 1)</f>
        <v>45971</v>
      </c>
      <c r="E50" s="18">
        <f>IF(Master_Data!M50="","",Master_Data!M50 - WEEKDAY(Master_Data!M50,2) + 1)</f>
        <v>45880</v>
      </c>
      <c r="F50" s="18" t="str">
        <f>IF(Master_Data!N50="","",Master_Data!N50 - WEEKDAY(Master_Data!N50,2) + 1)</f>
        <v/>
      </c>
      <c r="G50" s="19">
        <f>EOMONTH(Master_Data!H50,-1)+1</f>
        <v>45839</v>
      </c>
      <c r="H50" s="19">
        <f>IF(Master_Data!J50="","",EOMONTH(Master_Data!J50,-1)+1)</f>
        <v>45962</v>
      </c>
      <c r="I50" s="19">
        <f>IF(Master_Data!M50="","",EOMONTH(Master_Data!M50,-1)+1)</f>
        <v>45870</v>
      </c>
      <c r="J50" s="19" t="str">
        <f>IF(Master_Data!N50="","",EOMONTH(Master_Data!N50,-1)+1)</f>
        <v/>
      </c>
    </row>
    <row r="51" spans="1:10">
      <c r="A51" s="2" t="str">
        <f>Master_Data!D51</f>
        <v>WLH/KEC/SIEC/ELEC/SUBSTATION/00</v>
      </c>
      <c r="B51" s="2" t="str">
        <f>Master_Data!B51</f>
        <v>MEP</v>
      </c>
      <c r="C51" s="18">
        <f>IF(Master_Data!H51="","",Master_Data!H51 - WEEKDAY(Master_Data!H51,2) + 1)</f>
        <v>45817</v>
      </c>
      <c r="D51" s="18">
        <f>IF(Master_Data!J51="","",Master_Data!J51 - WEEKDAY(Master_Data!J51,2) + 1)</f>
        <v>45964</v>
      </c>
      <c r="E51" s="18">
        <f>IF(Master_Data!M51="","",Master_Data!M51 - WEEKDAY(Master_Data!M51,2) + 1)</f>
        <v>45845</v>
      </c>
      <c r="F51" s="18">
        <f>IF(Master_Data!N51="","",Master_Data!N51 - WEEKDAY(Master_Data!N51,2) + 1)</f>
        <v>46083</v>
      </c>
      <c r="G51" s="19">
        <f>EOMONTH(Master_Data!H51,-1)+1</f>
        <v>45809</v>
      </c>
      <c r="H51" s="19">
        <f>IF(Master_Data!J51="","",EOMONTH(Master_Data!J51,-1)+1)</f>
        <v>45962</v>
      </c>
      <c r="I51" s="19">
        <f>IF(Master_Data!M51="","",EOMONTH(Master_Data!M51,-1)+1)</f>
        <v>45839</v>
      </c>
      <c r="J51" s="19">
        <f>IF(Master_Data!N51="","",EOMONTH(Master_Data!N51,-1)+1)</f>
        <v>46082</v>
      </c>
    </row>
    <row r="52" spans="1:10" ht="29">
      <c r="A52" s="2" t="str">
        <f>Master_Data!D52</f>
        <v>WLH/KEC/SIEC/ELEC/EARTHING GRID SCHEMATIC/00</v>
      </c>
      <c r="B52" s="2" t="str">
        <f>Master_Data!B52</f>
        <v>MEP</v>
      </c>
      <c r="C52" s="18">
        <f>IF(Master_Data!H52="","",Master_Data!H52 - WEEKDAY(Master_Data!H52,2) + 1)</f>
        <v>45726</v>
      </c>
      <c r="D52" s="18">
        <f>IF(Master_Data!J52="","",Master_Data!J52 - WEEKDAY(Master_Data!J52,2) + 1)</f>
        <v>45726</v>
      </c>
      <c r="E52" s="18">
        <f>IF(Master_Data!M52="","",Master_Data!M52 - WEEKDAY(Master_Data!M52,2) + 1)</f>
        <v>45810</v>
      </c>
      <c r="F52" s="18" t="str">
        <f>IF(Master_Data!N52="","",Master_Data!N52 - WEEKDAY(Master_Data!N52,2) + 1)</f>
        <v/>
      </c>
      <c r="G52" s="19">
        <f>EOMONTH(Master_Data!H52,-1)+1</f>
        <v>45717</v>
      </c>
      <c r="H52" s="19">
        <f>IF(Master_Data!J52="","",EOMONTH(Master_Data!J52,-1)+1)</f>
        <v>45717</v>
      </c>
      <c r="I52" s="19">
        <f>IF(Master_Data!M52="","",EOMONTH(Master_Data!M52,-1)+1)</f>
        <v>45809</v>
      </c>
      <c r="J52" s="19" t="str">
        <f>IF(Master_Data!N52="","",EOMONTH(Master_Data!N52,-1)+1)</f>
        <v/>
      </c>
    </row>
    <row r="53" spans="1:10">
      <c r="A53" s="2" t="str">
        <f>Master_Data!D53</f>
        <v>WLH/KEC/SIEC/ELECTRICAL/DBR/00</v>
      </c>
      <c r="B53" s="2" t="str">
        <f>Master_Data!B53</f>
        <v>MEP</v>
      </c>
      <c r="C53" s="18">
        <f>IF(Master_Data!H53="","",Master_Data!H53 - WEEKDAY(Master_Data!H53,2) + 1)</f>
        <v>45726</v>
      </c>
      <c r="D53" s="18">
        <f>IF(Master_Data!J53="","",Master_Data!J53 - WEEKDAY(Master_Data!J53,2) + 1)</f>
        <v>45726</v>
      </c>
      <c r="E53" s="18">
        <f>IF(Master_Data!M53="","",Master_Data!M53 - WEEKDAY(Master_Data!M53,2) + 1)</f>
        <v>45810</v>
      </c>
      <c r="F53" s="18">
        <f>IF(Master_Data!N53="","",Master_Data!N53 - WEEKDAY(Master_Data!N53,2) + 1)</f>
        <v>45803</v>
      </c>
      <c r="G53" s="19">
        <f>EOMONTH(Master_Data!H53,-1)+1</f>
        <v>45717</v>
      </c>
      <c r="H53" s="19">
        <f>IF(Master_Data!J53="","",EOMONTH(Master_Data!J53,-1)+1)</f>
        <v>45717</v>
      </c>
      <c r="I53" s="19">
        <f>IF(Master_Data!M53="","",EOMONTH(Master_Data!M53,-1)+1)</f>
        <v>45809</v>
      </c>
      <c r="J53" s="19">
        <f>IF(Master_Data!N53="","",EOMONTH(Master_Data!N53,-1)+1)</f>
        <v>45778</v>
      </c>
    </row>
    <row r="54" spans="1:10" ht="29">
      <c r="A54" s="2" t="str">
        <f>Master_Data!D54</f>
        <v>WLH/KEC/SIEC/ELEC/MUMTY TERRACE SOLAR/00</v>
      </c>
      <c r="B54" s="2" t="str">
        <f>Master_Data!B54</f>
        <v>MEP</v>
      </c>
      <c r="C54" s="18">
        <f>IF(Master_Data!H54="","",Master_Data!H54 - WEEKDAY(Master_Data!H54,2) + 1)</f>
        <v>45852</v>
      </c>
      <c r="D54" s="18">
        <f>IF(Master_Data!J54="","",Master_Data!J54 - WEEKDAY(Master_Data!J54,2) + 1)</f>
        <v>45971</v>
      </c>
      <c r="E54" s="18">
        <f>IF(Master_Data!M54="","",Master_Data!M54 - WEEKDAY(Master_Data!M54,2) + 1)</f>
        <v>45880</v>
      </c>
      <c r="F54" s="18">
        <f>IF(Master_Data!N54="","",Master_Data!N54 - WEEKDAY(Master_Data!N54,2) + 1)</f>
        <v>46055</v>
      </c>
      <c r="G54" s="19">
        <f>EOMONTH(Master_Data!H54,-1)+1</f>
        <v>45839</v>
      </c>
      <c r="H54" s="19">
        <f>IF(Master_Data!J54="","",EOMONTH(Master_Data!J54,-1)+1)</f>
        <v>45962</v>
      </c>
      <c r="I54" s="19">
        <f>IF(Master_Data!M54="","",EOMONTH(Master_Data!M54,-1)+1)</f>
        <v>45870</v>
      </c>
      <c r="J54" s="19">
        <f>IF(Master_Data!N54="","",EOMONTH(Master_Data!N54,-1)+1)</f>
        <v>46054</v>
      </c>
    </row>
    <row r="55" spans="1:10" ht="29">
      <c r="A55" s="2" t="str">
        <f>Master_Data!D55</f>
        <v>WLH/KEC/SIEC/ELEC/EQUIPMENT &amp; EARTHING/00</v>
      </c>
      <c r="B55" s="2" t="str">
        <f>Master_Data!B55</f>
        <v>MEP</v>
      </c>
      <c r="C55" s="18">
        <f>IF(Master_Data!H55="","",Master_Data!H55 - WEEKDAY(Master_Data!H55,2) + 1)</f>
        <v>45726</v>
      </c>
      <c r="D55" s="18">
        <f>IF(Master_Data!J55="","",Master_Data!J55 - WEEKDAY(Master_Data!J55,2) + 1)</f>
        <v>45726</v>
      </c>
      <c r="E55" s="18">
        <f>IF(Master_Data!M55="","",Master_Data!M55 - WEEKDAY(Master_Data!M55,2) + 1)</f>
        <v>45810</v>
      </c>
      <c r="F55" s="18">
        <f>IF(Master_Data!N55="","",Master_Data!N55 - WEEKDAY(Master_Data!N55,2) + 1)</f>
        <v>46076</v>
      </c>
      <c r="G55" s="19">
        <f>EOMONTH(Master_Data!H55,-1)+1</f>
        <v>45717</v>
      </c>
      <c r="H55" s="19">
        <f>IF(Master_Data!J55="","",EOMONTH(Master_Data!J55,-1)+1)</f>
        <v>45717</v>
      </c>
      <c r="I55" s="19">
        <f>IF(Master_Data!M55="","",EOMONTH(Master_Data!M55,-1)+1)</f>
        <v>45809</v>
      </c>
      <c r="J55" s="19">
        <f>IF(Master_Data!N55="","",EOMONTH(Master_Data!N55,-1)+1)</f>
        <v>46054</v>
      </c>
    </row>
    <row r="56" spans="1:10" ht="29">
      <c r="A56" s="2" t="str">
        <f>Master_Data!D56</f>
        <v>WLH/KEC/SIEC/ELEC/HEIGHT SCHEDULE/00</v>
      </c>
      <c r="B56" s="2" t="str">
        <f>Master_Data!B56</f>
        <v>MEP</v>
      </c>
      <c r="C56" s="18">
        <f>IF(Master_Data!H56="","",Master_Data!H56 - WEEKDAY(Master_Data!H56,2) + 1)</f>
        <v>45852</v>
      </c>
      <c r="D56" s="18">
        <f>IF(Master_Data!J56="","",Master_Data!J56 - WEEKDAY(Master_Data!J56,2) + 1)</f>
        <v>45726</v>
      </c>
      <c r="E56" s="18">
        <f>IF(Master_Data!M56="","",Master_Data!M56 - WEEKDAY(Master_Data!M56,2) + 1)</f>
        <v>45880</v>
      </c>
      <c r="F56" s="18">
        <f>IF(Master_Data!N56="","",Master_Data!N56 - WEEKDAY(Master_Data!N56,2) + 1)</f>
        <v>45803</v>
      </c>
      <c r="G56" s="19">
        <f>EOMONTH(Master_Data!H56,-1)+1</f>
        <v>45839</v>
      </c>
      <c r="H56" s="19">
        <f>IF(Master_Data!J56="","",EOMONTH(Master_Data!J56,-1)+1)</f>
        <v>45717</v>
      </c>
      <c r="I56" s="19">
        <f>IF(Master_Data!M56="","",EOMONTH(Master_Data!M56,-1)+1)</f>
        <v>45870</v>
      </c>
      <c r="J56" s="19">
        <f>IF(Master_Data!N56="","",EOMONTH(Master_Data!N56,-1)+1)</f>
        <v>45778</v>
      </c>
    </row>
    <row r="57" spans="1:10">
      <c r="A57" s="2" t="str">
        <f>Master_Data!D57</f>
        <v>WLH/KEC/SIEC/ELEC/EXTCT/00</v>
      </c>
      <c r="B57" s="2" t="str">
        <f>Master_Data!B57</f>
        <v>MEP</v>
      </c>
      <c r="C57" s="18">
        <f>IF(Master_Data!H57="","",Master_Data!H57 - WEEKDAY(Master_Data!H57,2) + 1)</f>
        <v>45726</v>
      </c>
      <c r="D57" s="18">
        <f>IF(Master_Data!J57="","",Master_Data!J57 - WEEKDAY(Master_Data!J57,2) + 1)</f>
        <v>45726</v>
      </c>
      <c r="E57" s="18">
        <f>IF(Master_Data!M57="","",Master_Data!M57 - WEEKDAY(Master_Data!M57,2) + 1)</f>
        <v>45810</v>
      </c>
      <c r="F57" s="18">
        <f>IF(Master_Data!N57="","",Master_Data!N57 - WEEKDAY(Master_Data!N57,2) + 1)</f>
        <v>46076</v>
      </c>
      <c r="G57" s="19">
        <f>EOMONTH(Master_Data!H57,-1)+1</f>
        <v>45717</v>
      </c>
      <c r="H57" s="19">
        <f>IF(Master_Data!J57="","",EOMONTH(Master_Data!J57,-1)+1)</f>
        <v>45717</v>
      </c>
      <c r="I57" s="19">
        <f>IF(Master_Data!M57="","",EOMONTH(Master_Data!M57,-1)+1)</f>
        <v>45809</v>
      </c>
      <c r="J57" s="19">
        <f>IF(Master_Data!N57="","",EOMONTH(Master_Data!N57,-1)+1)</f>
        <v>46054</v>
      </c>
    </row>
    <row r="58" spans="1:10" ht="29">
      <c r="A58" s="2" t="str">
        <f>Master_Data!D58</f>
        <v>WLH/KEC/SIEC/ELEC/MAIN ROOM DETAILED LAYOUT/00</v>
      </c>
      <c r="B58" s="2" t="str">
        <f>Master_Data!B58</f>
        <v>MEP</v>
      </c>
      <c r="C58" s="18">
        <f>IF(Master_Data!H58="","",Master_Data!H58 - WEEKDAY(Master_Data!H58,2) + 1)</f>
        <v>45726</v>
      </c>
      <c r="D58" s="18">
        <f>IF(Master_Data!J58="","",Master_Data!J58 - WEEKDAY(Master_Data!J58,2) + 1)</f>
        <v>45726</v>
      </c>
      <c r="E58" s="18">
        <f>IF(Master_Data!M58="","",Master_Data!M58 - WEEKDAY(Master_Data!M58,2) + 1)</f>
        <v>45810</v>
      </c>
      <c r="F58" s="18">
        <f>IF(Master_Data!N58="","",Master_Data!N58 - WEEKDAY(Master_Data!N58,2) + 1)</f>
        <v>46076</v>
      </c>
      <c r="G58" s="19">
        <f>EOMONTH(Master_Data!H58,-1)+1</f>
        <v>45717</v>
      </c>
      <c r="H58" s="19">
        <f>IF(Master_Data!J58="","",EOMONTH(Master_Data!J58,-1)+1)</f>
        <v>45717</v>
      </c>
      <c r="I58" s="19">
        <f>IF(Master_Data!M58="","",EOMONTH(Master_Data!M58,-1)+1)</f>
        <v>45809</v>
      </c>
      <c r="J58" s="19">
        <f>IF(Master_Data!N58="","",EOMONTH(Master_Data!N58,-1)+1)</f>
        <v>46054</v>
      </c>
    </row>
    <row r="59" spans="1:10">
      <c r="A59" s="2" t="str">
        <f>Master_Data!D59</f>
        <v>WLH/KEC/SIEC/ELEC/UPS/00</v>
      </c>
      <c r="B59" s="2" t="str">
        <f>Master_Data!B59</f>
        <v>MEP</v>
      </c>
      <c r="C59" s="18">
        <f>IF(Master_Data!H59="","",Master_Data!H59 - WEEKDAY(Master_Data!H59,2) + 1)</f>
        <v>46020</v>
      </c>
      <c r="D59" s="18">
        <f>IF(Master_Data!J59="","",Master_Data!J59 - WEEKDAY(Master_Data!J59,2) + 1)</f>
        <v>46055</v>
      </c>
      <c r="E59" s="18">
        <f>IF(Master_Data!M59="","",Master_Data!M59 - WEEKDAY(Master_Data!M59,2) + 1)</f>
        <v>46048</v>
      </c>
      <c r="F59" s="18">
        <f>IF(Master_Data!N59="","",Master_Data!N59 - WEEKDAY(Master_Data!N59,2) + 1)</f>
        <v>46076</v>
      </c>
      <c r="G59" s="19">
        <f>EOMONTH(Master_Data!H59,-1)+1</f>
        <v>45992</v>
      </c>
      <c r="H59" s="19">
        <f>IF(Master_Data!J59="","",EOMONTH(Master_Data!J59,-1)+1)</f>
        <v>46054</v>
      </c>
      <c r="I59" s="19">
        <f>IF(Master_Data!M59="","",EOMONTH(Master_Data!M59,-1)+1)</f>
        <v>46023</v>
      </c>
      <c r="J59" s="19">
        <f>IF(Master_Data!N59="","",EOMONTH(Master_Data!N59,-1)+1)</f>
        <v>46054</v>
      </c>
    </row>
    <row r="60" spans="1:10" ht="29">
      <c r="A60" s="2" t="str">
        <f>Master_Data!D60</f>
        <v>WLH/KEC/SIEC/ELEC/POWER CONDUIT/BASEMENT/01</v>
      </c>
      <c r="B60" s="2" t="str">
        <f>Master_Data!B60</f>
        <v>MEP</v>
      </c>
      <c r="C60" s="18">
        <f>IF(Master_Data!H60="","",Master_Data!H60 - WEEKDAY(Master_Data!H60,2) + 1)</f>
        <v>45747</v>
      </c>
      <c r="D60" s="18">
        <f>IF(Master_Data!J60="","",Master_Data!J60 - WEEKDAY(Master_Data!J60,2) + 1)</f>
        <v>45747</v>
      </c>
      <c r="E60" s="18">
        <f>IF(Master_Data!M60="","",Master_Data!M60 - WEEKDAY(Master_Data!M60,2) + 1)</f>
        <v>45761</v>
      </c>
      <c r="F60" s="18">
        <f>IF(Master_Data!N60="","",Master_Data!N60 - WEEKDAY(Master_Data!N60,2) + 1)</f>
        <v>45803</v>
      </c>
      <c r="G60" s="19">
        <f>EOMONTH(Master_Data!H60,-1)+1</f>
        <v>45717</v>
      </c>
      <c r="H60" s="19">
        <f>IF(Master_Data!J60="","",EOMONTH(Master_Data!J60,-1)+1)</f>
        <v>45748</v>
      </c>
      <c r="I60" s="19">
        <f>IF(Master_Data!M60="","",EOMONTH(Master_Data!M60,-1)+1)</f>
        <v>45748</v>
      </c>
      <c r="J60" s="19">
        <f>IF(Master_Data!N60="","",EOMONTH(Master_Data!N60,-1)+1)</f>
        <v>45778</v>
      </c>
    </row>
    <row r="61" spans="1:10" ht="29">
      <c r="A61" s="2" t="str">
        <f>Master_Data!D61</f>
        <v>WLH/KEC/SIEC/ELEC/POWER CONDUIT/BASEMENT/02</v>
      </c>
      <c r="B61" s="2" t="str">
        <f>Master_Data!B61</f>
        <v>MEP</v>
      </c>
      <c r="C61" s="18">
        <f>IF(Master_Data!H61="","",Master_Data!H61 - WEEKDAY(Master_Data!H61,2) + 1)</f>
        <v>45747</v>
      </c>
      <c r="D61" s="18">
        <f>IF(Master_Data!J61="","",Master_Data!J61 - WEEKDAY(Master_Data!J61,2) + 1)</f>
        <v>45747</v>
      </c>
      <c r="E61" s="18">
        <f>IF(Master_Data!M61="","",Master_Data!M61 - WEEKDAY(Master_Data!M61,2) + 1)</f>
        <v>45761</v>
      </c>
      <c r="F61" s="18">
        <f>IF(Master_Data!N61="","",Master_Data!N61 - WEEKDAY(Master_Data!N61,2) + 1)</f>
        <v>45803</v>
      </c>
      <c r="G61" s="19">
        <f>EOMONTH(Master_Data!H61,-1)+1</f>
        <v>45717</v>
      </c>
      <c r="H61" s="19">
        <f>IF(Master_Data!J61="","",EOMONTH(Master_Data!J61,-1)+1)</f>
        <v>45748</v>
      </c>
      <c r="I61" s="19">
        <f>IF(Master_Data!M61="","",EOMONTH(Master_Data!M61,-1)+1)</f>
        <v>45748</v>
      </c>
      <c r="J61" s="19">
        <f>IF(Master_Data!N61="","",EOMONTH(Master_Data!N61,-1)+1)</f>
        <v>45778</v>
      </c>
    </row>
    <row r="62" spans="1:10" ht="29">
      <c r="A62" s="2" t="str">
        <f>Master_Data!D62</f>
        <v>WLH/KEC/SIEC/ELEC/POWER CONDUIT/BASEMENT/03</v>
      </c>
      <c r="B62" s="2" t="str">
        <f>Master_Data!B62</f>
        <v>MEP</v>
      </c>
      <c r="C62" s="18">
        <f>IF(Master_Data!H62="","",Master_Data!H62 - WEEKDAY(Master_Data!H62,2) + 1)</f>
        <v>45747</v>
      </c>
      <c r="D62" s="18">
        <f>IF(Master_Data!J62="","",Master_Data!J62 - WEEKDAY(Master_Data!J62,2) + 1)</f>
        <v>45747</v>
      </c>
      <c r="E62" s="18">
        <f>IF(Master_Data!M62="","",Master_Data!M62 - WEEKDAY(Master_Data!M62,2) + 1)</f>
        <v>45761</v>
      </c>
      <c r="F62" s="18">
        <f>IF(Master_Data!N62="","",Master_Data!N62 - WEEKDAY(Master_Data!N62,2) + 1)</f>
        <v>45803</v>
      </c>
      <c r="G62" s="19">
        <f>EOMONTH(Master_Data!H62,-1)+1</f>
        <v>45717</v>
      </c>
      <c r="H62" s="19">
        <f>IF(Master_Data!J62="","",EOMONTH(Master_Data!J62,-1)+1)</f>
        <v>45748</v>
      </c>
      <c r="I62" s="19">
        <f>IF(Master_Data!M62="","",EOMONTH(Master_Data!M62,-1)+1)</f>
        <v>45748</v>
      </c>
      <c r="J62" s="19">
        <f>IF(Master_Data!N62="","",EOMONTH(Master_Data!N62,-1)+1)</f>
        <v>45778</v>
      </c>
    </row>
    <row r="63" spans="1:10" ht="29">
      <c r="A63" s="2" t="str">
        <f>Master_Data!D63</f>
        <v>WLH/KEC/SIEC/ELEC/LIGHTING CONDUIT/BASEMENT/00</v>
      </c>
      <c r="B63" s="2" t="str">
        <f>Master_Data!B63</f>
        <v>MEP</v>
      </c>
      <c r="C63" s="18">
        <f>IF(Master_Data!H63="","",Master_Data!H63 - WEEKDAY(Master_Data!H63,2) + 1)</f>
        <v>45747</v>
      </c>
      <c r="D63" s="18">
        <f>IF(Master_Data!J63="","",Master_Data!J63 - WEEKDAY(Master_Data!J63,2) + 1)</f>
        <v>45747</v>
      </c>
      <c r="E63" s="18">
        <f>IF(Master_Data!M63="","",Master_Data!M63 - WEEKDAY(Master_Data!M63,2) + 1)</f>
        <v>45761</v>
      </c>
      <c r="F63" s="18">
        <f>IF(Master_Data!N63="","",Master_Data!N63 - WEEKDAY(Master_Data!N63,2) + 1)</f>
        <v>45803</v>
      </c>
      <c r="G63" s="19">
        <f>EOMONTH(Master_Data!H63,-1)+1</f>
        <v>45717</v>
      </c>
      <c r="H63" s="19">
        <f>IF(Master_Data!J63="","",EOMONTH(Master_Data!J63,-1)+1)</f>
        <v>45748</v>
      </c>
      <c r="I63" s="19">
        <f>IF(Master_Data!M63="","",EOMONTH(Master_Data!M63,-1)+1)</f>
        <v>45748</v>
      </c>
      <c r="J63" s="19">
        <f>IF(Master_Data!N63="","",EOMONTH(Master_Data!N63,-1)+1)</f>
        <v>45778</v>
      </c>
    </row>
    <row r="64" spans="1:10">
      <c r="A64" s="2" t="str">
        <f>Master_Data!D64</f>
        <v>WLH/KEC/SIEC/ELEC/BASEMENT/00</v>
      </c>
      <c r="B64" s="2" t="str">
        <f>Master_Data!B64</f>
        <v>MEP</v>
      </c>
      <c r="C64" s="18">
        <f>IF(Master_Data!H64="","",Master_Data!H64 - WEEKDAY(Master_Data!H64,2) + 1)</f>
        <v>45747</v>
      </c>
      <c r="D64" s="18">
        <f>IF(Master_Data!J64="","",Master_Data!J64 - WEEKDAY(Master_Data!J64,2) + 1)</f>
        <v>45754</v>
      </c>
      <c r="E64" s="18">
        <f>IF(Master_Data!M64="","",Master_Data!M64 - WEEKDAY(Master_Data!M64,2) + 1)</f>
        <v>45761</v>
      </c>
      <c r="F64" s="18">
        <f>IF(Master_Data!N64="","",Master_Data!N64 - WEEKDAY(Master_Data!N64,2) + 1)</f>
        <v>45803</v>
      </c>
      <c r="G64" s="19">
        <f>EOMONTH(Master_Data!H64,-1)+1</f>
        <v>45717</v>
      </c>
      <c r="H64" s="19">
        <f>IF(Master_Data!J64="","",EOMONTH(Master_Data!J64,-1)+1)</f>
        <v>45748</v>
      </c>
      <c r="I64" s="19">
        <f>IF(Master_Data!M64="","",EOMONTH(Master_Data!M64,-1)+1)</f>
        <v>45748</v>
      </c>
      <c r="J64" s="19">
        <f>IF(Master_Data!N64="","",EOMONTH(Master_Data!N64,-1)+1)</f>
        <v>45778</v>
      </c>
    </row>
    <row r="65" spans="1:10" ht="29">
      <c r="A65" s="2" t="str">
        <f>Master_Data!D65</f>
        <v>WLH/KEC/SIEC/ELEC/POWER CONDUIT/GR FL/01</v>
      </c>
      <c r="B65" s="2" t="str">
        <f>Master_Data!B65</f>
        <v>MEP</v>
      </c>
      <c r="C65" s="18">
        <f>IF(Master_Data!H65="","",Master_Data!H65 - WEEKDAY(Master_Data!H65,2) + 1)</f>
        <v>45747</v>
      </c>
      <c r="D65" s="18">
        <f>IF(Master_Data!J65="","",Master_Data!J65 - WEEKDAY(Master_Data!J65,2) + 1)</f>
        <v>45754</v>
      </c>
      <c r="E65" s="18">
        <f>IF(Master_Data!M65="","",Master_Data!M65 - WEEKDAY(Master_Data!M65,2) + 1)</f>
        <v>45761</v>
      </c>
      <c r="F65" s="18">
        <f>IF(Master_Data!N65="","",Master_Data!N65 - WEEKDAY(Master_Data!N65,2) + 1)</f>
        <v>45810</v>
      </c>
      <c r="G65" s="19">
        <f>EOMONTH(Master_Data!H65,-1)+1</f>
        <v>45717</v>
      </c>
      <c r="H65" s="19">
        <f>IF(Master_Data!J65="","",EOMONTH(Master_Data!J65,-1)+1)</f>
        <v>45748</v>
      </c>
      <c r="I65" s="19">
        <f>IF(Master_Data!M65="","",EOMONTH(Master_Data!M65,-1)+1)</f>
        <v>45748</v>
      </c>
      <c r="J65" s="19">
        <f>IF(Master_Data!N65="","",EOMONTH(Master_Data!N65,-1)+1)</f>
        <v>45809</v>
      </c>
    </row>
    <row r="66" spans="1:10" ht="29">
      <c r="A66" s="2" t="str">
        <f>Master_Data!D66</f>
        <v>WLH/KEC/SIEC/ELEC/POWER CONDUIT/GR FL/02</v>
      </c>
      <c r="B66" s="2" t="str">
        <f>Master_Data!B66</f>
        <v>MEP</v>
      </c>
      <c r="C66" s="18">
        <f>IF(Master_Data!H66="","",Master_Data!H66 - WEEKDAY(Master_Data!H66,2) + 1)</f>
        <v>45747</v>
      </c>
      <c r="D66" s="18">
        <f>IF(Master_Data!J66="","",Master_Data!J66 - WEEKDAY(Master_Data!J66,2) + 1)</f>
        <v>45754</v>
      </c>
      <c r="E66" s="18">
        <f>IF(Master_Data!M66="","",Master_Data!M66 - WEEKDAY(Master_Data!M66,2) + 1)</f>
        <v>45761</v>
      </c>
      <c r="F66" s="18">
        <f>IF(Master_Data!N66="","",Master_Data!N66 - WEEKDAY(Master_Data!N66,2) + 1)</f>
        <v>45810</v>
      </c>
      <c r="G66" s="19">
        <f>EOMONTH(Master_Data!H66,-1)+1</f>
        <v>45717</v>
      </c>
      <c r="H66" s="19">
        <f>IF(Master_Data!J66="","",EOMONTH(Master_Data!J66,-1)+1)</f>
        <v>45748</v>
      </c>
      <c r="I66" s="19">
        <f>IF(Master_Data!M66="","",EOMONTH(Master_Data!M66,-1)+1)</f>
        <v>45748</v>
      </c>
      <c r="J66" s="19">
        <f>IF(Master_Data!N66="","",EOMONTH(Master_Data!N66,-1)+1)</f>
        <v>45809</v>
      </c>
    </row>
    <row r="67" spans="1:10" ht="29">
      <c r="A67" s="2" t="str">
        <f>Master_Data!D67</f>
        <v>WLH/KEC/SIEC/ELEC/POWER CONDUIT/GR FL/03</v>
      </c>
      <c r="B67" s="2" t="str">
        <f>Master_Data!B67</f>
        <v>MEP</v>
      </c>
      <c r="C67" s="18">
        <f>IF(Master_Data!H67="","",Master_Data!H67 - WEEKDAY(Master_Data!H67,2) + 1)</f>
        <v>45747</v>
      </c>
      <c r="D67" s="18">
        <f>IF(Master_Data!J67="","",Master_Data!J67 - WEEKDAY(Master_Data!J67,2) + 1)</f>
        <v>45754</v>
      </c>
      <c r="E67" s="18">
        <f>IF(Master_Data!M67="","",Master_Data!M67 - WEEKDAY(Master_Data!M67,2) + 1)</f>
        <v>45761</v>
      </c>
      <c r="F67" s="18">
        <f>IF(Master_Data!N67="","",Master_Data!N67 - WEEKDAY(Master_Data!N67,2) + 1)</f>
        <v>45810</v>
      </c>
      <c r="G67" s="19">
        <f>EOMONTH(Master_Data!H67,-1)+1</f>
        <v>45717</v>
      </c>
      <c r="H67" s="19">
        <f>IF(Master_Data!J67="","",EOMONTH(Master_Data!J67,-1)+1)</f>
        <v>45748</v>
      </c>
      <c r="I67" s="19">
        <f>IF(Master_Data!M67="","",EOMONTH(Master_Data!M67,-1)+1)</f>
        <v>45748</v>
      </c>
      <c r="J67" s="19">
        <f>IF(Master_Data!N67="","",EOMONTH(Master_Data!N67,-1)+1)</f>
        <v>45809</v>
      </c>
    </row>
    <row r="68" spans="1:10" ht="29">
      <c r="A68" s="2" t="str">
        <f>Master_Data!D68</f>
        <v>WLH/KEC/SIEC/ELEC/LIGHTING CONDUIT/GR FL/00</v>
      </c>
      <c r="B68" s="2" t="str">
        <f>Master_Data!B68</f>
        <v>MEP</v>
      </c>
      <c r="C68" s="18">
        <f>IF(Master_Data!H68="","",Master_Data!H68 - WEEKDAY(Master_Data!H68,2) + 1)</f>
        <v>45747</v>
      </c>
      <c r="D68" s="18">
        <f>IF(Master_Data!J68="","",Master_Data!J68 - WEEKDAY(Master_Data!J68,2) + 1)</f>
        <v>45754</v>
      </c>
      <c r="E68" s="18">
        <f>IF(Master_Data!M68="","",Master_Data!M68 - WEEKDAY(Master_Data!M68,2) + 1)</f>
        <v>45761</v>
      </c>
      <c r="F68" s="18">
        <f>IF(Master_Data!N68="","",Master_Data!N68 - WEEKDAY(Master_Data!N68,2) + 1)</f>
        <v>45810</v>
      </c>
      <c r="G68" s="19">
        <f>EOMONTH(Master_Data!H68,-1)+1</f>
        <v>45717</v>
      </c>
      <c r="H68" s="19">
        <f>IF(Master_Data!J68="","",EOMONTH(Master_Data!J68,-1)+1)</f>
        <v>45748</v>
      </c>
      <c r="I68" s="19">
        <f>IF(Master_Data!M68="","",EOMONTH(Master_Data!M68,-1)+1)</f>
        <v>45748</v>
      </c>
      <c r="J68" s="19">
        <f>IF(Master_Data!N68="","",EOMONTH(Master_Data!N68,-1)+1)</f>
        <v>45809</v>
      </c>
    </row>
    <row r="69" spans="1:10">
      <c r="A69" s="2" t="str">
        <f>Master_Data!D69</f>
        <v>WLH/KEC/SIEC/ELEC/GFCT/00</v>
      </c>
      <c r="B69" s="2" t="str">
        <f>Master_Data!B69</f>
        <v>MEP</v>
      </c>
      <c r="C69" s="18">
        <f>IF(Master_Data!H69="","",Master_Data!H69 - WEEKDAY(Master_Data!H69,2) + 1)</f>
        <v>45747</v>
      </c>
      <c r="D69" s="18">
        <f>IF(Master_Data!J69="","",Master_Data!J69 - WEEKDAY(Master_Data!J69,2) + 1)</f>
        <v>45754</v>
      </c>
      <c r="E69" s="18">
        <f>IF(Master_Data!M69="","",Master_Data!M69 - WEEKDAY(Master_Data!M69,2) + 1)</f>
        <v>45761</v>
      </c>
      <c r="F69" s="18">
        <f>IF(Master_Data!N69="","",Master_Data!N69 - WEEKDAY(Master_Data!N69,2) + 1)</f>
        <v>45810</v>
      </c>
      <c r="G69" s="19">
        <f>EOMONTH(Master_Data!H69,-1)+1</f>
        <v>45717</v>
      </c>
      <c r="H69" s="19">
        <f>IF(Master_Data!J69="","",EOMONTH(Master_Data!J69,-1)+1)</f>
        <v>45748</v>
      </c>
      <c r="I69" s="19">
        <f>IF(Master_Data!M69="","",EOMONTH(Master_Data!M69,-1)+1)</f>
        <v>45748</v>
      </c>
      <c r="J69" s="19">
        <f>IF(Master_Data!N69="","",EOMONTH(Master_Data!N69,-1)+1)</f>
        <v>45809</v>
      </c>
    </row>
    <row r="70" spans="1:10" ht="29">
      <c r="A70" s="2" t="str">
        <f>Master_Data!D70</f>
        <v>WLH/KEC/SIEC/ELEC/POWER CONDUIT/1ST FL/01</v>
      </c>
      <c r="B70" s="2" t="str">
        <f>Master_Data!B70</f>
        <v>MEP</v>
      </c>
      <c r="C70" s="18">
        <f>IF(Master_Data!H70="","",Master_Data!H70 - WEEKDAY(Master_Data!H70,2) + 1)</f>
        <v>45971</v>
      </c>
      <c r="D70" s="18">
        <f>IF(Master_Data!J70="","",Master_Data!J70 - WEEKDAY(Master_Data!J70,2) + 1)</f>
        <v>45971</v>
      </c>
      <c r="E70" s="18">
        <f>IF(Master_Data!M70="","",Master_Data!M70 - WEEKDAY(Master_Data!M70,2) + 1)</f>
        <v>45985</v>
      </c>
      <c r="F70" s="18">
        <f>IF(Master_Data!N70="","",Master_Data!N70 - WEEKDAY(Master_Data!N70,2) + 1)</f>
        <v>45992</v>
      </c>
      <c r="G70" s="19">
        <f>EOMONTH(Master_Data!H70,-1)+1</f>
        <v>45962</v>
      </c>
      <c r="H70" s="19">
        <f>IF(Master_Data!J70="","",EOMONTH(Master_Data!J70,-1)+1)</f>
        <v>45962</v>
      </c>
      <c r="I70" s="19">
        <f>IF(Master_Data!M70="","",EOMONTH(Master_Data!M70,-1)+1)</f>
        <v>45962</v>
      </c>
      <c r="J70" s="19">
        <f>IF(Master_Data!N70="","",EOMONTH(Master_Data!N70,-1)+1)</f>
        <v>45992</v>
      </c>
    </row>
    <row r="71" spans="1:10" ht="29">
      <c r="A71" s="2" t="str">
        <f>Master_Data!D71</f>
        <v>WLH/KEC/SIEC/ELEC/POWER CONDUIT/1ST FL/02</v>
      </c>
      <c r="B71" s="2" t="str">
        <f>Master_Data!B71</f>
        <v>MEP</v>
      </c>
      <c r="C71" s="18">
        <f>IF(Master_Data!H71="","",Master_Data!H71 - WEEKDAY(Master_Data!H71,2) + 1)</f>
        <v>45971</v>
      </c>
      <c r="D71" s="18">
        <f>IF(Master_Data!J71="","",Master_Data!J71 - WEEKDAY(Master_Data!J71,2) + 1)</f>
        <v>45971</v>
      </c>
      <c r="E71" s="18">
        <f>IF(Master_Data!M71="","",Master_Data!M71 - WEEKDAY(Master_Data!M71,2) + 1)</f>
        <v>45985</v>
      </c>
      <c r="F71" s="18">
        <f>IF(Master_Data!N71="","",Master_Data!N71 - WEEKDAY(Master_Data!N71,2) + 1)</f>
        <v>45992</v>
      </c>
      <c r="G71" s="19">
        <f>EOMONTH(Master_Data!H71,-1)+1</f>
        <v>45962</v>
      </c>
      <c r="H71" s="19">
        <f>IF(Master_Data!J71="","",EOMONTH(Master_Data!J71,-1)+1)</f>
        <v>45962</v>
      </c>
      <c r="I71" s="19">
        <f>IF(Master_Data!M71="","",EOMONTH(Master_Data!M71,-1)+1)</f>
        <v>45962</v>
      </c>
      <c r="J71" s="19">
        <f>IF(Master_Data!N71="","",EOMONTH(Master_Data!N71,-1)+1)</f>
        <v>45992</v>
      </c>
    </row>
    <row r="72" spans="1:10" ht="29">
      <c r="A72" s="2" t="str">
        <f>Master_Data!D72</f>
        <v>WLH/KEC/SIEC/ELEC/POWER CONDUIT/1ST FL/03</v>
      </c>
      <c r="B72" s="2" t="str">
        <f>Master_Data!B72</f>
        <v>MEP</v>
      </c>
      <c r="C72" s="18">
        <f>IF(Master_Data!H72="","",Master_Data!H72 - WEEKDAY(Master_Data!H72,2) + 1)</f>
        <v>45971</v>
      </c>
      <c r="D72" s="18">
        <f>IF(Master_Data!J72="","",Master_Data!J72 - WEEKDAY(Master_Data!J72,2) + 1)</f>
        <v>45971</v>
      </c>
      <c r="E72" s="18">
        <f>IF(Master_Data!M72="","",Master_Data!M72 - WEEKDAY(Master_Data!M72,2) + 1)</f>
        <v>45985</v>
      </c>
      <c r="F72" s="18">
        <f>IF(Master_Data!N72="","",Master_Data!N72 - WEEKDAY(Master_Data!N72,2) + 1)</f>
        <v>45992</v>
      </c>
      <c r="G72" s="19">
        <f>EOMONTH(Master_Data!H72,-1)+1</f>
        <v>45962</v>
      </c>
      <c r="H72" s="19">
        <f>IF(Master_Data!J72="","",EOMONTH(Master_Data!J72,-1)+1)</f>
        <v>45962</v>
      </c>
      <c r="I72" s="19">
        <f>IF(Master_Data!M72="","",EOMONTH(Master_Data!M72,-1)+1)</f>
        <v>45962</v>
      </c>
      <c r="J72" s="19">
        <f>IF(Master_Data!N72="","",EOMONTH(Master_Data!N72,-1)+1)</f>
        <v>45992</v>
      </c>
    </row>
    <row r="73" spans="1:10" ht="29">
      <c r="A73" s="2" t="str">
        <f>Master_Data!D73</f>
        <v>WLH/KEC/SIEC/ELEC/LIGHTING CONDUIT/1ST FL/00</v>
      </c>
      <c r="B73" s="2" t="str">
        <f>Master_Data!B73</f>
        <v>MEP</v>
      </c>
      <c r="C73" s="18">
        <f>IF(Master_Data!H73="","",Master_Data!H73 - WEEKDAY(Master_Data!H73,2) + 1)</f>
        <v>45971</v>
      </c>
      <c r="D73" s="18">
        <f>IF(Master_Data!J73="","",Master_Data!J73 - WEEKDAY(Master_Data!J73,2) + 1)</f>
        <v>45971</v>
      </c>
      <c r="E73" s="18">
        <f>IF(Master_Data!M73="","",Master_Data!M73 - WEEKDAY(Master_Data!M73,2) + 1)</f>
        <v>45985</v>
      </c>
      <c r="F73" s="18">
        <f>IF(Master_Data!N73="","",Master_Data!N73 - WEEKDAY(Master_Data!N73,2) + 1)</f>
        <v>45992</v>
      </c>
      <c r="G73" s="19">
        <f>EOMONTH(Master_Data!H73,-1)+1</f>
        <v>45962</v>
      </c>
      <c r="H73" s="19">
        <f>IF(Master_Data!J73="","",EOMONTH(Master_Data!J73,-1)+1)</f>
        <v>45962</v>
      </c>
      <c r="I73" s="19">
        <f>IF(Master_Data!M73="","",EOMONTH(Master_Data!M73,-1)+1)</f>
        <v>45962</v>
      </c>
      <c r="J73" s="19">
        <f>IF(Master_Data!N73="","",EOMONTH(Master_Data!N73,-1)+1)</f>
        <v>45992</v>
      </c>
    </row>
    <row r="74" spans="1:10" ht="29">
      <c r="A74" s="2" t="str">
        <f>Master_Data!D74</f>
        <v>WLH/KEC/SIEC/ELEC/POWERCONDUIT/2ND FL/01</v>
      </c>
      <c r="B74" s="2" t="str">
        <f>Master_Data!B74</f>
        <v>MEP</v>
      </c>
      <c r="C74" s="18">
        <f>IF(Master_Data!H74="","",Master_Data!H74 - WEEKDAY(Master_Data!H74,2) + 1)</f>
        <v>45957</v>
      </c>
      <c r="D74" s="18">
        <f>IF(Master_Data!J74="","",Master_Data!J74 - WEEKDAY(Master_Data!J74,2) + 1)</f>
        <v>45964</v>
      </c>
      <c r="E74" s="18">
        <f>IF(Master_Data!M74="","",Master_Data!M74 - WEEKDAY(Master_Data!M74,2) + 1)</f>
        <v>45971</v>
      </c>
      <c r="F74" s="18">
        <f>IF(Master_Data!N74="","",Master_Data!N74 - WEEKDAY(Master_Data!N74,2) + 1)</f>
        <v>45992</v>
      </c>
      <c r="G74" s="19">
        <f>EOMONTH(Master_Data!H74,-1)+1</f>
        <v>45931</v>
      </c>
      <c r="H74" s="19">
        <f>IF(Master_Data!J74="","",EOMONTH(Master_Data!J74,-1)+1)</f>
        <v>45962</v>
      </c>
      <c r="I74" s="19">
        <f>IF(Master_Data!M74="","",EOMONTH(Master_Data!M74,-1)+1)</f>
        <v>45962</v>
      </c>
      <c r="J74" s="19">
        <f>IF(Master_Data!N74="","",EOMONTH(Master_Data!N74,-1)+1)</f>
        <v>45992</v>
      </c>
    </row>
    <row r="75" spans="1:10" ht="29">
      <c r="A75" s="2" t="str">
        <f>Master_Data!D75</f>
        <v>WLH/KEC/SIEC/ELEC/POWERCONDUIT/2ND FL/02</v>
      </c>
      <c r="B75" s="2" t="str">
        <f>Master_Data!B75</f>
        <v>MEP</v>
      </c>
      <c r="C75" s="18">
        <f>IF(Master_Data!H75="","",Master_Data!H75 - WEEKDAY(Master_Data!H75,2) + 1)</f>
        <v>45957</v>
      </c>
      <c r="D75" s="18">
        <f>IF(Master_Data!J75="","",Master_Data!J75 - WEEKDAY(Master_Data!J75,2) + 1)</f>
        <v>45964</v>
      </c>
      <c r="E75" s="18">
        <f>IF(Master_Data!M75="","",Master_Data!M75 - WEEKDAY(Master_Data!M75,2) + 1)</f>
        <v>45971</v>
      </c>
      <c r="F75" s="18">
        <f>IF(Master_Data!N75="","",Master_Data!N75 - WEEKDAY(Master_Data!N75,2) + 1)</f>
        <v>45992</v>
      </c>
      <c r="G75" s="19">
        <f>EOMONTH(Master_Data!H75,-1)+1</f>
        <v>45931</v>
      </c>
      <c r="H75" s="19">
        <f>IF(Master_Data!J75="","",EOMONTH(Master_Data!J75,-1)+1)</f>
        <v>45962</v>
      </c>
      <c r="I75" s="19">
        <f>IF(Master_Data!M75="","",EOMONTH(Master_Data!M75,-1)+1)</f>
        <v>45962</v>
      </c>
      <c r="J75" s="19">
        <f>IF(Master_Data!N75="","",EOMONTH(Master_Data!N75,-1)+1)</f>
        <v>45992</v>
      </c>
    </row>
    <row r="76" spans="1:10" ht="29">
      <c r="A76" s="2" t="str">
        <f>Master_Data!D76</f>
        <v>WLH/KEC/SIEC/ELEC/POWERCONDUIT/2ND FL/03</v>
      </c>
      <c r="B76" s="2" t="str">
        <f>Master_Data!B76</f>
        <v>MEP</v>
      </c>
      <c r="C76" s="18">
        <f>IF(Master_Data!H76="","",Master_Data!H76 - WEEKDAY(Master_Data!H76,2) + 1)</f>
        <v>45957</v>
      </c>
      <c r="D76" s="18">
        <f>IF(Master_Data!J76="","",Master_Data!J76 - WEEKDAY(Master_Data!J76,2) + 1)</f>
        <v>45964</v>
      </c>
      <c r="E76" s="18">
        <f>IF(Master_Data!M76="","",Master_Data!M76 - WEEKDAY(Master_Data!M76,2) + 1)</f>
        <v>45971</v>
      </c>
      <c r="F76" s="18">
        <f>IF(Master_Data!N76="","",Master_Data!N76 - WEEKDAY(Master_Data!N76,2) + 1)</f>
        <v>45992</v>
      </c>
      <c r="G76" s="19">
        <f>EOMONTH(Master_Data!H76,-1)+1</f>
        <v>45931</v>
      </c>
      <c r="H76" s="19">
        <f>IF(Master_Data!J76="","",EOMONTH(Master_Data!J76,-1)+1)</f>
        <v>45962</v>
      </c>
      <c r="I76" s="19">
        <f>IF(Master_Data!M76="","",EOMONTH(Master_Data!M76,-1)+1)</f>
        <v>45962</v>
      </c>
      <c r="J76" s="19">
        <f>IF(Master_Data!N76="","",EOMONTH(Master_Data!N76,-1)+1)</f>
        <v>45992</v>
      </c>
    </row>
    <row r="77" spans="1:10" ht="29">
      <c r="A77" s="2" t="str">
        <f>Master_Data!D77</f>
        <v>WLH/KEC/SIEC/ELEC/LIGHTING CONDUIT/2ND FL/00</v>
      </c>
      <c r="B77" s="2" t="str">
        <f>Master_Data!B77</f>
        <v>MEP</v>
      </c>
      <c r="C77" s="18">
        <f>IF(Master_Data!H77="","",Master_Data!H77 - WEEKDAY(Master_Data!H77,2) + 1)</f>
        <v>45957</v>
      </c>
      <c r="D77" s="18">
        <f>IF(Master_Data!J77="","",Master_Data!J77 - WEEKDAY(Master_Data!J77,2) + 1)</f>
        <v>45964</v>
      </c>
      <c r="E77" s="18">
        <f>IF(Master_Data!M77="","",Master_Data!M77 - WEEKDAY(Master_Data!M77,2) + 1)</f>
        <v>45971</v>
      </c>
      <c r="F77" s="18">
        <f>IF(Master_Data!N77="","",Master_Data!N77 - WEEKDAY(Master_Data!N77,2) + 1)</f>
        <v>45992</v>
      </c>
      <c r="G77" s="19">
        <f>EOMONTH(Master_Data!H77,-1)+1</f>
        <v>45931</v>
      </c>
      <c r="H77" s="19">
        <f>IF(Master_Data!J77="","",EOMONTH(Master_Data!J77,-1)+1)</f>
        <v>45962</v>
      </c>
      <c r="I77" s="19">
        <f>IF(Master_Data!M77="","",EOMONTH(Master_Data!M77,-1)+1)</f>
        <v>45962</v>
      </c>
      <c r="J77" s="19">
        <f>IF(Master_Data!N77="","",EOMONTH(Master_Data!N77,-1)+1)</f>
        <v>45992</v>
      </c>
    </row>
    <row r="78" spans="1:10">
      <c r="A78" s="2" t="str">
        <f>Master_Data!D78</f>
        <v>WLH/KEC/SIEC/ELEC/2NDCT/00</v>
      </c>
      <c r="B78" s="2" t="str">
        <f>Master_Data!B78</f>
        <v>MEP</v>
      </c>
      <c r="C78" s="18">
        <f>IF(Master_Data!H78="","",Master_Data!H78 - WEEKDAY(Master_Data!H78,2) + 1)</f>
        <v>45957</v>
      </c>
      <c r="D78" s="18">
        <f>IF(Master_Data!J78="","",Master_Data!J78 - WEEKDAY(Master_Data!J78,2) + 1)</f>
        <v>45964</v>
      </c>
      <c r="E78" s="18">
        <f>IF(Master_Data!M78="","",Master_Data!M78 - WEEKDAY(Master_Data!M78,2) + 1)</f>
        <v>45971</v>
      </c>
      <c r="F78" s="18">
        <f>IF(Master_Data!N78="","",Master_Data!N78 - WEEKDAY(Master_Data!N78,2) + 1)</f>
        <v>45992</v>
      </c>
      <c r="G78" s="19">
        <f>EOMONTH(Master_Data!H78,-1)+1</f>
        <v>45931</v>
      </c>
      <c r="H78" s="19">
        <f>IF(Master_Data!J78="","",EOMONTH(Master_Data!J78,-1)+1)</f>
        <v>45962</v>
      </c>
      <c r="I78" s="19">
        <f>IF(Master_Data!M78="","",EOMONTH(Master_Data!M78,-1)+1)</f>
        <v>45962</v>
      </c>
      <c r="J78" s="19">
        <f>IF(Master_Data!N78="","",EOMONTH(Master_Data!N78,-1)+1)</f>
        <v>45992</v>
      </c>
    </row>
    <row r="79" spans="1:10" ht="29">
      <c r="A79" s="2" t="str">
        <f>Master_Data!D79</f>
        <v>WLH/KEC/SIEC/ELEC/POWER CONDUIT/3RD FL/01</v>
      </c>
      <c r="B79" s="2" t="str">
        <f>Master_Data!B79</f>
        <v>MEP</v>
      </c>
      <c r="C79" s="18">
        <f>IF(Master_Data!H79="","",Master_Data!H79 - WEEKDAY(Master_Data!H79,2) + 1)</f>
        <v>45950</v>
      </c>
      <c r="D79" s="18">
        <f>IF(Master_Data!J79="","",Master_Data!J79 - WEEKDAY(Master_Data!J79,2) + 1)</f>
        <v>45957</v>
      </c>
      <c r="E79" s="18">
        <f>IF(Master_Data!M79="","",Master_Data!M79 - WEEKDAY(Master_Data!M79,2) + 1)</f>
        <v>45964</v>
      </c>
      <c r="F79" s="18">
        <f>IF(Master_Data!N79="","",Master_Data!N79 - WEEKDAY(Master_Data!N79,2) + 1)</f>
        <v>45992</v>
      </c>
      <c r="G79" s="19">
        <f>EOMONTH(Master_Data!H79,-1)+1</f>
        <v>45931</v>
      </c>
      <c r="H79" s="19">
        <f>IF(Master_Data!J79="","",EOMONTH(Master_Data!J79,-1)+1)</f>
        <v>45931</v>
      </c>
      <c r="I79" s="19">
        <f>IF(Master_Data!M79="","",EOMONTH(Master_Data!M79,-1)+1)</f>
        <v>45962</v>
      </c>
      <c r="J79" s="19">
        <f>IF(Master_Data!N79="","",EOMONTH(Master_Data!N79,-1)+1)</f>
        <v>45992</v>
      </c>
    </row>
    <row r="80" spans="1:10" ht="29">
      <c r="A80" s="2" t="str">
        <f>Master_Data!D80</f>
        <v>WLH/KEC/SIEC/ELEC/POWER CONDUIT/3RD FL/02</v>
      </c>
      <c r="B80" s="2" t="str">
        <f>Master_Data!B80</f>
        <v>MEP</v>
      </c>
      <c r="C80" s="18">
        <f>IF(Master_Data!H80="","",Master_Data!H80 - WEEKDAY(Master_Data!H80,2) + 1)</f>
        <v>45950</v>
      </c>
      <c r="D80" s="18">
        <f>IF(Master_Data!J80="","",Master_Data!J80 - WEEKDAY(Master_Data!J80,2) + 1)</f>
        <v>45957</v>
      </c>
      <c r="E80" s="18">
        <f>IF(Master_Data!M80="","",Master_Data!M80 - WEEKDAY(Master_Data!M80,2) + 1)</f>
        <v>45964</v>
      </c>
      <c r="F80" s="18">
        <f>IF(Master_Data!N80="","",Master_Data!N80 - WEEKDAY(Master_Data!N80,2) + 1)</f>
        <v>45992</v>
      </c>
      <c r="G80" s="19">
        <f>EOMONTH(Master_Data!H80,-1)+1</f>
        <v>45931</v>
      </c>
      <c r="H80" s="19">
        <f>IF(Master_Data!J80="","",EOMONTH(Master_Data!J80,-1)+1)</f>
        <v>45931</v>
      </c>
      <c r="I80" s="19">
        <f>IF(Master_Data!M80="","",EOMONTH(Master_Data!M80,-1)+1)</f>
        <v>45962</v>
      </c>
      <c r="J80" s="19">
        <f>IF(Master_Data!N80="","",EOMONTH(Master_Data!N80,-1)+1)</f>
        <v>45992</v>
      </c>
    </row>
    <row r="81" spans="1:10" ht="29">
      <c r="A81" s="2" t="str">
        <f>Master_Data!D81</f>
        <v>WLH/KEC/SIEC/ELEC/POWER CONDUIT/3RD FL/03</v>
      </c>
      <c r="B81" s="2" t="str">
        <f>Master_Data!B81</f>
        <v>MEP</v>
      </c>
      <c r="C81" s="18">
        <f>IF(Master_Data!H81="","",Master_Data!H81 - WEEKDAY(Master_Data!H81,2) + 1)</f>
        <v>45950</v>
      </c>
      <c r="D81" s="18">
        <f>IF(Master_Data!J81="","",Master_Data!J81 - WEEKDAY(Master_Data!J81,2) + 1)</f>
        <v>45957</v>
      </c>
      <c r="E81" s="18">
        <f>IF(Master_Data!M81="","",Master_Data!M81 - WEEKDAY(Master_Data!M81,2) + 1)</f>
        <v>45964</v>
      </c>
      <c r="F81" s="18">
        <f>IF(Master_Data!N81="","",Master_Data!N81 - WEEKDAY(Master_Data!N81,2) + 1)</f>
        <v>45992</v>
      </c>
      <c r="G81" s="19">
        <f>EOMONTH(Master_Data!H81,-1)+1</f>
        <v>45931</v>
      </c>
      <c r="H81" s="19">
        <f>IF(Master_Data!J81="","",EOMONTH(Master_Data!J81,-1)+1)</f>
        <v>45931</v>
      </c>
      <c r="I81" s="19">
        <f>IF(Master_Data!M81="","",EOMONTH(Master_Data!M81,-1)+1)</f>
        <v>45962</v>
      </c>
      <c r="J81" s="19">
        <f>IF(Master_Data!N81="","",EOMONTH(Master_Data!N81,-1)+1)</f>
        <v>45992</v>
      </c>
    </row>
    <row r="82" spans="1:10" ht="29">
      <c r="A82" s="2" t="str">
        <f>Master_Data!D82</f>
        <v>WLH/KEC/SIEC/ELEC/LIGHTING CONDUIT/3RD FL/00</v>
      </c>
      <c r="B82" s="2" t="str">
        <f>Master_Data!B82</f>
        <v>MEP</v>
      </c>
      <c r="C82" s="18">
        <f>IF(Master_Data!H82="","",Master_Data!H82 - WEEKDAY(Master_Data!H82,2) + 1)</f>
        <v>45950</v>
      </c>
      <c r="D82" s="18">
        <f>IF(Master_Data!J82="","",Master_Data!J82 - WEEKDAY(Master_Data!J82,2) + 1)</f>
        <v>45957</v>
      </c>
      <c r="E82" s="18">
        <f>IF(Master_Data!M82="","",Master_Data!M82 - WEEKDAY(Master_Data!M82,2) + 1)</f>
        <v>45964</v>
      </c>
      <c r="F82" s="18">
        <f>IF(Master_Data!N82="","",Master_Data!N82 - WEEKDAY(Master_Data!N82,2) + 1)</f>
        <v>45992</v>
      </c>
      <c r="G82" s="19">
        <f>EOMONTH(Master_Data!H82,-1)+1</f>
        <v>45931</v>
      </c>
      <c r="H82" s="19">
        <f>IF(Master_Data!J82="","",EOMONTH(Master_Data!J82,-1)+1)</f>
        <v>45931</v>
      </c>
      <c r="I82" s="19">
        <f>IF(Master_Data!M82="","",EOMONTH(Master_Data!M82,-1)+1)</f>
        <v>45962</v>
      </c>
      <c r="J82" s="19">
        <f>IF(Master_Data!N82="","",EOMONTH(Master_Data!N82,-1)+1)</f>
        <v>45992</v>
      </c>
    </row>
    <row r="83" spans="1:10">
      <c r="A83" s="2" t="str">
        <f>Master_Data!D83</f>
        <v>WLH/KEC/SIEC/ELEC/3RDCT/00</v>
      </c>
      <c r="B83" s="2" t="str">
        <f>Master_Data!B83</f>
        <v>MEP</v>
      </c>
      <c r="C83" s="18">
        <f>IF(Master_Data!H83="","",Master_Data!H83 - WEEKDAY(Master_Data!H83,2) + 1)</f>
        <v>45950</v>
      </c>
      <c r="D83" s="18">
        <f>IF(Master_Data!J83="","",Master_Data!J83 - WEEKDAY(Master_Data!J83,2) + 1)</f>
        <v>45957</v>
      </c>
      <c r="E83" s="18">
        <f>IF(Master_Data!M83="","",Master_Data!M83 - WEEKDAY(Master_Data!M83,2) + 1)</f>
        <v>45964</v>
      </c>
      <c r="F83" s="18">
        <f>IF(Master_Data!N83="","",Master_Data!N83 - WEEKDAY(Master_Data!N83,2) + 1)</f>
        <v>45992</v>
      </c>
      <c r="G83" s="19">
        <f>EOMONTH(Master_Data!H83,-1)+1</f>
        <v>45931</v>
      </c>
      <c r="H83" s="19">
        <f>IF(Master_Data!J83="","",EOMONTH(Master_Data!J83,-1)+1)</f>
        <v>45931</v>
      </c>
      <c r="I83" s="19">
        <f>IF(Master_Data!M83="","",EOMONTH(Master_Data!M83,-1)+1)</f>
        <v>45962</v>
      </c>
      <c r="J83" s="19">
        <f>IF(Master_Data!N83="","",EOMONTH(Master_Data!N83,-1)+1)</f>
        <v>45992</v>
      </c>
    </row>
    <row r="84" spans="1:10" ht="29">
      <c r="A84" s="2" t="str">
        <f>Master_Data!D84</f>
        <v>WLH/KEC/SIEC/ELEC/POWER CONDUIT/4TH FL/01</v>
      </c>
      <c r="B84" s="2" t="str">
        <f>Master_Data!B84</f>
        <v>MEP</v>
      </c>
      <c r="C84" s="18">
        <f>IF(Master_Data!H84="","",Master_Data!H84 - WEEKDAY(Master_Data!H84,2) + 1)</f>
        <v>45789</v>
      </c>
      <c r="D84" s="18">
        <f>IF(Master_Data!J84="","",Master_Data!J84 - WEEKDAY(Master_Data!J84,2) + 1)</f>
        <v>45796</v>
      </c>
      <c r="E84" s="18">
        <f>IF(Master_Data!M84="","",Master_Data!M84 - WEEKDAY(Master_Data!M84,2) + 1)</f>
        <v>45803</v>
      </c>
      <c r="F84" s="18">
        <f>IF(Master_Data!N84="","",Master_Data!N84 - WEEKDAY(Master_Data!N84,2) + 1)</f>
        <v>45810</v>
      </c>
      <c r="G84" s="19">
        <f>EOMONTH(Master_Data!H84,-1)+1</f>
        <v>45778</v>
      </c>
      <c r="H84" s="19">
        <f>IF(Master_Data!J84="","",EOMONTH(Master_Data!J84,-1)+1)</f>
        <v>45778</v>
      </c>
      <c r="I84" s="19">
        <f>IF(Master_Data!M84="","",EOMONTH(Master_Data!M84,-1)+1)</f>
        <v>45809</v>
      </c>
      <c r="J84" s="19">
        <f>IF(Master_Data!N84="","",EOMONTH(Master_Data!N84,-1)+1)</f>
        <v>45809</v>
      </c>
    </row>
    <row r="85" spans="1:10" ht="29">
      <c r="A85" s="2" t="str">
        <f>Master_Data!D85</f>
        <v>WLH/KEC/SIEC/ELEC/POWER CONDUIT/4TH FL/02</v>
      </c>
      <c r="B85" s="2" t="str">
        <f>Master_Data!B85</f>
        <v>MEP</v>
      </c>
      <c r="C85" s="18">
        <f>IF(Master_Data!H85="","",Master_Data!H85 - WEEKDAY(Master_Data!H85,2) + 1)</f>
        <v>45789</v>
      </c>
      <c r="D85" s="18">
        <f>IF(Master_Data!J85="","",Master_Data!J85 - WEEKDAY(Master_Data!J85,2) + 1)</f>
        <v>45796</v>
      </c>
      <c r="E85" s="18">
        <f>IF(Master_Data!M85="","",Master_Data!M85 - WEEKDAY(Master_Data!M85,2) + 1)</f>
        <v>45803</v>
      </c>
      <c r="F85" s="18">
        <f>IF(Master_Data!N85="","",Master_Data!N85 - WEEKDAY(Master_Data!N85,2) + 1)</f>
        <v>45810</v>
      </c>
      <c r="G85" s="19">
        <f>EOMONTH(Master_Data!H85,-1)+1</f>
        <v>45778</v>
      </c>
      <c r="H85" s="19">
        <f>IF(Master_Data!J85="","",EOMONTH(Master_Data!J85,-1)+1)</f>
        <v>45778</v>
      </c>
      <c r="I85" s="19">
        <f>IF(Master_Data!M85="","",EOMONTH(Master_Data!M85,-1)+1)</f>
        <v>45809</v>
      </c>
      <c r="J85" s="19">
        <f>IF(Master_Data!N85="","",EOMONTH(Master_Data!N85,-1)+1)</f>
        <v>45809</v>
      </c>
    </row>
    <row r="86" spans="1:10" ht="29">
      <c r="A86" s="2" t="str">
        <f>Master_Data!D86</f>
        <v>WLH/KEC/SIEC/ELEC/POWER CONDUIT/4TH FL/03</v>
      </c>
      <c r="B86" s="2" t="str">
        <f>Master_Data!B86</f>
        <v>MEP</v>
      </c>
      <c r="C86" s="18">
        <f>IF(Master_Data!H86="","",Master_Data!H86 - WEEKDAY(Master_Data!H86,2) + 1)</f>
        <v>45789</v>
      </c>
      <c r="D86" s="18">
        <f>IF(Master_Data!J86="","",Master_Data!J86 - WEEKDAY(Master_Data!J86,2) + 1)</f>
        <v>45796</v>
      </c>
      <c r="E86" s="18">
        <f>IF(Master_Data!M86="","",Master_Data!M86 - WEEKDAY(Master_Data!M86,2) + 1)</f>
        <v>45803</v>
      </c>
      <c r="F86" s="18">
        <f>IF(Master_Data!N86="","",Master_Data!N86 - WEEKDAY(Master_Data!N86,2) + 1)</f>
        <v>45810</v>
      </c>
      <c r="G86" s="19">
        <f>EOMONTH(Master_Data!H86,-1)+1</f>
        <v>45778</v>
      </c>
      <c r="H86" s="19">
        <f>IF(Master_Data!J86="","",EOMONTH(Master_Data!J86,-1)+1)</f>
        <v>45778</v>
      </c>
      <c r="I86" s="19">
        <f>IF(Master_Data!M86="","",EOMONTH(Master_Data!M86,-1)+1)</f>
        <v>45809</v>
      </c>
      <c r="J86" s="19">
        <f>IF(Master_Data!N86="","",EOMONTH(Master_Data!N86,-1)+1)</f>
        <v>45809</v>
      </c>
    </row>
    <row r="87" spans="1:10" ht="29">
      <c r="A87" s="2" t="str">
        <f>Master_Data!D87</f>
        <v>WLH/KEC/SIEC/ELEC/LIGHTING CONDUIT/4TH FL/00</v>
      </c>
      <c r="B87" s="2" t="str">
        <f>Master_Data!B87</f>
        <v>MEP</v>
      </c>
      <c r="C87" s="18">
        <f>IF(Master_Data!H87="","",Master_Data!H87 - WEEKDAY(Master_Data!H87,2) + 1)</f>
        <v>45789</v>
      </c>
      <c r="D87" s="18">
        <f>IF(Master_Data!J87="","",Master_Data!J87 - WEEKDAY(Master_Data!J87,2) + 1)</f>
        <v>45796</v>
      </c>
      <c r="E87" s="18">
        <f>IF(Master_Data!M87="","",Master_Data!M87 - WEEKDAY(Master_Data!M87,2) + 1)</f>
        <v>45803</v>
      </c>
      <c r="F87" s="18">
        <f>IF(Master_Data!N87="","",Master_Data!N87 - WEEKDAY(Master_Data!N87,2) + 1)</f>
        <v>45810</v>
      </c>
      <c r="G87" s="19">
        <f>EOMONTH(Master_Data!H87,-1)+1</f>
        <v>45778</v>
      </c>
      <c r="H87" s="19">
        <f>IF(Master_Data!J87="","",EOMONTH(Master_Data!J87,-1)+1)</f>
        <v>45778</v>
      </c>
      <c r="I87" s="19">
        <f>IF(Master_Data!M87="","",EOMONTH(Master_Data!M87,-1)+1)</f>
        <v>45809</v>
      </c>
      <c r="J87" s="19">
        <f>IF(Master_Data!N87="","",EOMONTH(Master_Data!N87,-1)+1)</f>
        <v>45809</v>
      </c>
    </row>
    <row r="88" spans="1:10">
      <c r="A88" s="2" t="str">
        <f>Master_Data!D88</f>
        <v>WLH/KEC/SIEC/ELEC/4THCT/00</v>
      </c>
      <c r="B88" s="2" t="str">
        <f>Master_Data!B88</f>
        <v>MEP</v>
      </c>
      <c r="C88" s="18">
        <f>IF(Master_Data!H88="","",Master_Data!H88 - WEEKDAY(Master_Data!H88,2) + 1)</f>
        <v>45789</v>
      </c>
      <c r="D88" s="18">
        <f>IF(Master_Data!J88="","",Master_Data!J88 - WEEKDAY(Master_Data!J88,2) + 1)</f>
        <v>45796</v>
      </c>
      <c r="E88" s="18">
        <f>IF(Master_Data!M88="","",Master_Data!M88 - WEEKDAY(Master_Data!M88,2) + 1)</f>
        <v>45803</v>
      </c>
      <c r="F88" s="18">
        <f>IF(Master_Data!N88="","",Master_Data!N88 - WEEKDAY(Master_Data!N88,2) + 1)</f>
        <v>45810</v>
      </c>
      <c r="G88" s="19">
        <f>EOMONTH(Master_Data!H88,-1)+1</f>
        <v>45778</v>
      </c>
      <c r="H88" s="19">
        <f>IF(Master_Data!J88="","",EOMONTH(Master_Data!J88,-1)+1)</f>
        <v>45778</v>
      </c>
      <c r="I88" s="19">
        <f>IF(Master_Data!M88="","",EOMONTH(Master_Data!M88,-1)+1)</f>
        <v>45809</v>
      </c>
      <c r="J88" s="19">
        <f>IF(Master_Data!N88="","",EOMONTH(Master_Data!N88,-1)+1)</f>
        <v>45809</v>
      </c>
    </row>
    <row r="89" spans="1:10" ht="29">
      <c r="A89" s="2" t="str">
        <f>Master_Data!D89</f>
        <v>WLH/KEC/SIEC/ELEC/POWER CONDUIT/5TH FL/01</v>
      </c>
      <c r="B89" s="2" t="str">
        <f>Master_Data!B89</f>
        <v>MEP</v>
      </c>
      <c r="C89" s="18">
        <f>IF(Master_Data!H89="","",Master_Data!H89 - WEEKDAY(Master_Data!H89,2) + 1)</f>
        <v>45803</v>
      </c>
      <c r="D89" s="18">
        <f>IF(Master_Data!J89="","",Master_Data!J89 - WEEKDAY(Master_Data!J89,2) + 1)</f>
        <v>45838</v>
      </c>
      <c r="E89" s="18">
        <f>IF(Master_Data!M89="","",Master_Data!M89 - WEEKDAY(Master_Data!M89,2) + 1)</f>
        <v>45817</v>
      </c>
      <c r="F89" s="18">
        <f>IF(Master_Data!N89="","",Master_Data!N89 - WEEKDAY(Master_Data!N89,2) + 1)</f>
        <v>45943</v>
      </c>
      <c r="G89" s="19">
        <f>EOMONTH(Master_Data!H89,-1)+1</f>
        <v>45778</v>
      </c>
      <c r="H89" s="19">
        <f>IF(Master_Data!J89="","",EOMONTH(Master_Data!J89,-1)+1)</f>
        <v>45839</v>
      </c>
      <c r="I89" s="19">
        <f>IF(Master_Data!M89="","",EOMONTH(Master_Data!M89,-1)+1)</f>
        <v>45809</v>
      </c>
      <c r="J89" s="19">
        <f>IF(Master_Data!N89="","",EOMONTH(Master_Data!N89,-1)+1)</f>
        <v>45931</v>
      </c>
    </row>
    <row r="90" spans="1:10" ht="29">
      <c r="A90" s="2" t="str">
        <f>Master_Data!D90</f>
        <v>WLH/KEC/SIEC/ELEC/POWER CONDUIT/5TH FL/02</v>
      </c>
      <c r="B90" s="2" t="str">
        <f>Master_Data!B90</f>
        <v>MEP</v>
      </c>
      <c r="C90" s="18">
        <f>IF(Master_Data!H90="","",Master_Data!H90 - WEEKDAY(Master_Data!H90,2) + 1)</f>
        <v>45803</v>
      </c>
      <c r="D90" s="18">
        <f>IF(Master_Data!J90="","",Master_Data!J90 - WEEKDAY(Master_Data!J90,2) + 1)</f>
        <v>45838</v>
      </c>
      <c r="E90" s="18">
        <f>IF(Master_Data!M90="","",Master_Data!M90 - WEEKDAY(Master_Data!M90,2) + 1)</f>
        <v>45817</v>
      </c>
      <c r="F90" s="18">
        <f>IF(Master_Data!N90="","",Master_Data!N90 - WEEKDAY(Master_Data!N90,2) + 1)</f>
        <v>45943</v>
      </c>
      <c r="G90" s="19">
        <f>EOMONTH(Master_Data!H90,-1)+1</f>
        <v>45778</v>
      </c>
      <c r="H90" s="19">
        <f>IF(Master_Data!J90="","",EOMONTH(Master_Data!J90,-1)+1)</f>
        <v>45839</v>
      </c>
      <c r="I90" s="19">
        <f>IF(Master_Data!M90="","",EOMONTH(Master_Data!M90,-1)+1)</f>
        <v>45809</v>
      </c>
      <c r="J90" s="19">
        <f>IF(Master_Data!N90="","",EOMONTH(Master_Data!N90,-1)+1)</f>
        <v>45931</v>
      </c>
    </row>
    <row r="91" spans="1:10" ht="29">
      <c r="A91" s="2" t="str">
        <f>Master_Data!D91</f>
        <v>WLH/KEC/SIEC/ELEC/POWER CONDUIT/5TH FL/03</v>
      </c>
      <c r="B91" s="2" t="str">
        <f>Master_Data!B91</f>
        <v>MEP</v>
      </c>
      <c r="C91" s="18">
        <f>IF(Master_Data!H91="","",Master_Data!H91 - WEEKDAY(Master_Data!H91,2) + 1)</f>
        <v>45803</v>
      </c>
      <c r="D91" s="18">
        <f>IF(Master_Data!J91="","",Master_Data!J91 - WEEKDAY(Master_Data!J91,2) + 1)</f>
        <v>45838</v>
      </c>
      <c r="E91" s="18">
        <f>IF(Master_Data!M91="","",Master_Data!M91 - WEEKDAY(Master_Data!M91,2) + 1)</f>
        <v>45817</v>
      </c>
      <c r="F91" s="18">
        <f>IF(Master_Data!N91="","",Master_Data!N91 - WEEKDAY(Master_Data!N91,2) + 1)</f>
        <v>45943</v>
      </c>
      <c r="G91" s="19">
        <f>EOMONTH(Master_Data!H91,-1)+1</f>
        <v>45778</v>
      </c>
      <c r="H91" s="19">
        <f>IF(Master_Data!J91="","",EOMONTH(Master_Data!J91,-1)+1)</f>
        <v>45839</v>
      </c>
      <c r="I91" s="19">
        <f>IF(Master_Data!M91="","",EOMONTH(Master_Data!M91,-1)+1)</f>
        <v>45809</v>
      </c>
      <c r="J91" s="19">
        <f>IF(Master_Data!N91="","",EOMONTH(Master_Data!N91,-1)+1)</f>
        <v>45931</v>
      </c>
    </row>
    <row r="92" spans="1:10" ht="29">
      <c r="A92" s="2" t="str">
        <f>Master_Data!D92</f>
        <v>WLH/KEC/SIEC/ELEC/LIGHTING CONDUIT/5TH FL/00</v>
      </c>
      <c r="B92" s="2" t="str">
        <f>Master_Data!B92</f>
        <v>MEP</v>
      </c>
      <c r="C92" s="18">
        <f>IF(Master_Data!H92="","",Master_Data!H92 - WEEKDAY(Master_Data!H92,2) + 1)</f>
        <v>45803</v>
      </c>
      <c r="D92" s="18">
        <f>IF(Master_Data!J92="","",Master_Data!J92 - WEEKDAY(Master_Data!J92,2) + 1)</f>
        <v>45838</v>
      </c>
      <c r="E92" s="18">
        <f>IF(Master_Data!M92="","",Master_Data!M92 - WEEKDAY(Master_Data!M92,2) + 1)</f>
        <v>45817</v>
      </c>
      <c r="F92" s="18">
        <f>IF(Master_Data!N92="","",Master_Data!N92 - WEEKDAY(Master_Data!N92,2) + 1)</f>
        <v>45943</v>
      </c>
      <c r="G92" s="19">
        <f>EOMONTH(Master_Data!H92,-1)+1</f>
        <v>45778</v>
      </c>
      <c r="H92" s="19">
        <f>IF(Master_Data!J92="","",EOMONTH(Master_Data!J92,-1)+1)</f>
        <v>45839</v>
      </c>
      <c r="I92" s="19">
        <f>IF(Master_Data!M92="","",EOMONTH(Master_Data!M92,-1)+1)</f>
        <v>45809</v>
      </c>
      <c r="J92" s="19">
        <f>IF(Master_Data!N92="","",EOMONTH(Master_Data!N92,-1)+1)</f>
        <v>45931</v>
      </c>
    </row>
    <row r="93" spans="1:10">
      <c r="A93" s="2" t="str">
        <f>Master_Data!D93</f>
        <v>WLH/KEC/SIEC/ELEC/5THCT/00</v>
      </c>
      <c r="B93" s="2" t="str">
        <f>Master_Data!B93</f>
        <v>MEP</v>
      </c>
      <c r="C93" s="18">
        <f>IF(Master_Data!H93="","",Master_Data!H93 - WEEKDAY(Master_Data!H93,2) + 1)</f>
        <v>45803</v>
      </c>
      <c r="D93" s="18">
        <f>IF(Master_Data!J93="","",Master_Data!J93 - WEEKDAY(Master_Data!J93,2) + 1)</f>
        <v>45838</v>
      </c>
      <c r="E93" s="18">
        <f>IF(Master_Data!M93="","",Master_Data!M93 - WEEKDAY(Master_Data!M93,2) + 1)</f>
        <v>45817</v>
      </c>
      <c r="F93" s="18">
        <f>IF(Master_Data!N93="","",Master_Data!N93 - WEEKDAY(Master_Data!N93,2) + 1)</f>
        <v>45943</v>
      </c>
      <c r="G93" s="19">
        <f>EOMONTH(Master_Data!H93,-1)+1</f>
        <v>45778</v>
      </c>
      <c r="H93" s="19">
        <f>IF(Master_Data!J93="","",EOMONTH(Master_Data!J93,-1)+1)</f>
        <v>45839</v>
      </c>
      <c r="I93" s="19">
        <f>IF(Master_Data!M93="","",EOMONTH(Master_Data!M93,-1)+1)</f>
        <v>45809</v>
      </c>
      <c r="J93" s="19">
        <f>IF(Master_Data!N93="","",EOMONTH(Master_Data!N93,-1)+1)</f>
        <v>45931</v>
      </c>
    </row>
    <row r="94" spans="1:10" ht="29">
      <c r="A94" s="2" t="str">
        <f>Master_Data!D94</f>
        <v>WLH/KEC/SIEC/ELEC/POWER CONDUIT/6TH FL/01</v>
      </c>
      <c r="B94" s="2" t="str">
        <f>Master_Data!B94</f>
        <v>MEP</v>
      </c>
      <c r="C94" s="18">
        <f>IF(Master_Data!H94="","",Master_Data!H94 - WEEKDAY(Master_Data!H94,2) + 1)</f>
        <v>45817</v>
      </c>
      <c r="D94" s="18">
        <f>IF(Master_Data!J94="","",Master_Data!J94 - WEEKDAY(Master_Data!J94,2) + 1)</f>
        <v>45845</v>
      </c>
      <c r="E94" s="18">
        <f>IF(Master_Data!M94="","",Master_Data!M94 - WEEKDAY(Master_Data!M94,2) + 1)</f>
        <v>45838</v>
      </c>
      <c r="F94" s="18">
        <f>IF(Master_Data!N94="","",Master_Data!N94 - WEEKDAY(Master_Data!N94,2) + 1)</f>
        <v>45943</v>
      </c>
      <c r="G94" s="19">
        <f>EOMONTH(Master_Data!H94,-1)+1</f>
        <v>45809</v>
      </c>
      <c r="H94" s="19">
        <f>IF(Master_Data!J94="","",EOMONTH(Master_Data!J94,-1)+1)</f>
        <v>45839</v>
      </c>
      <c r="I94" s="19">
        <f>IF(Master_Data!M94="","",EOMONTH(Master_Data!M94,-1)+1)</f>
        <v>45839</v>
      </c>
      <c r="J94" s="19">
        <f>IF(Master_Data!N94="","",EOMONTH(Master_Data!N94,-1)+1)</f>
        <v>45931</v>
      </c>
    </row>
    <row r="95" spans="1:10" ht="29">
      <c r="A95" s="2" t="str">
        <f>Master_Data!D95</f>
        <v>WLH/KEC/SIEC/ELEC/POWER CONDUIT/6TH FL/02</v>
      </c>
      <c r="B95" s="2" t="str">
        <f>Master_Data!B95</f>
        <v>MEP</v>
      </c>
      <c r="C95" s="18">
        <f>IF(Master_Data!H95="","",Master_Data!H95 - WEEKDAY(Master_Data!H95,2) + 1)</f>
        <v>45817</v>
      </c>
      <c r="D95" s="18">
        <f>IF(Master_Data!J95="","",Master_Data!J95 - WEEKDAY(Master_Data!J95,2) + 1)</f>
        <v>45845</v>
      </c>
      <c r="E95" s="18">
        <f>IF(Master_Data!M95="","",Master_Data!M95 - WEEKDAY(Master_Data!M95,2) + 1)</f>
        <v>45838</v>
      </c>
      <c r="F95" s="18">
        <f>IF(Master_Data!N95="","",Master_Data!N95 - WEEKDAY(Master_Data!N95,2) + 1)</f>
        <v>45943</v>
      </c>
      <c r="G95" s="19">
        <f>EOMONTH(Master_Data!H95,-1)+1</f>
        <v>45809</v>
      </c>
      <c r="H95" s="19">
        <f>IF(Master_Data!J95="","",EOMONTH(Master_Data!J95,-1)+1)</f>
        <v>45839</v>
      </c>
      <c r="I95" s="19">
        <f>IF(Master_Data!M95="","",EOMONTH(Master_Data!M95,-1)+1)</f>
        <v>45839</v>
      </c>
      <c r="J95" s="19">
        <f>IF(Master_Data!N95="","",EOMONTH(Master_Data!N95,-1)+1)</f>
        <v>45931</v>
      </c>
    </row>
    <row r="96" spans="1:10" ht="29">
      <c r="A96" s="2" t="str">
        <f>Master_Data!D96</f>
        <v>WLH/KEC/SIEC/ELEC/POWER CONDUIT/6TH FL/03</v>
      </c>
      <c r="B96" s="2" t="str">
        <f>Master_Data!B96</f>
        <v>MEP</v>
      </c>
      <c r="C96" s="18">
        <f>IF(Master_Data!H96="","",Master_Data!H96 - WEEKDAY(Master_Data!H96,2) + 1)</f>
        <v>45817</v>
      </c>
      <c r="D96" s="18">
        <f>IF(Master_Data!J96="","",Master_Data!J96 - WEEKDAY(Master_Data!J96,2) + 1)</f>
        <v>45845</v>
      </c>
      <c r="E96" s="18">
        <f>IF(Master_Data!M96="","",Master_Data!M96 - WEEKDAY(Master_Data!M96,2) + 1)</f>
        <v>45838</v>
      </c>
      <c r="F96" s="18">
        <f>IF(Master_Data!N96="","",Master_Data!N96 - WEEKDAY(Master_Data!N96,2) + 1)</f>
        <v>45943</v>
      </c>
      <c r="G96" s="19">
        <f>EOMONTH(Master_Data!H96,-1)+1</f>
        <v>45809</v>
      </c>
      <c r="H96" s="19">
        <f>IF(Master_Data!J96="","",EOMONTH(Master_Data!J96,-1)+1)</f>
        <v>45839</v>
      </c>
      <c r="I96" s="19">
        <f>IF(Master_Data!M96="","",EOMONTH(Master_Data!M96,-1)+1)</f>
        <v>45839</v>
      </c>
      <c r="J96" s="19">
        <f>IF(Master_Data!N96="","",EOMONTH(Master_Data!N96,-1)+1)</f>
        <v>45931</v>
      </c>
    </row>
    <row r="97" spans="1:10" ht="29">
      <c r="A97" s="2" t="str">
        <f>Master_Data!D97</f>
        <v>WLH/KEC/SIEC/ELEC/LIGHTING CONDUIT/6TH FL/00</v>
      </c>
      <c r="B97" s="2" t="str">
        <f>Master_Data!B97</f>
        <v>MEP</v>
      </c>
      <c r="C97" s="18">
        <f>IF(Master_Data!H97="","",Master_Data!H97 - WEEKDAY(Master_Data!H97,2) + 1)</f>
        <v>45817</v>
      </c>
      <c r="D97" s="18">
        <f>IF(Master_Data!J97="","",Master_Data!J97 - WEEKDAY(Master_Data!J97,2) + 1)</f>
        <v>45845</v>
      </c>
      <c r="E97" s="18">
        <f>IF(Master_Data!M97="","",Master_Data!M97 - WEEKDAY(Master_Data!M97,2) + 1)</f>
        <v>45838</v>
      </c>
      <c r="F97" s="18">
        <f>IF(Master_Data!N97="","",Master_Data!N97 - WEEKDAY(Master_Data!N97,2) + 1)</f>
        <v>45943</v>
      </c>
      <c r="G97" s="19">
        <f>EOMONTH(Master_Data!H97,-1)+1</f>
        <v>45809</v>
      </c>
      <c r="H97" s="19">
        <f>IF(Master_Data!J97="","",EOMONTH(Master_Data!J97,-1)+1)</f>
        <v>45839</v>
      </c>
      <c r="I97" s="19">
        <f>IF(Master_Data!M97="","",EOMONTH(Master_Data!M97,-1)+1)</f>
        <v>45839</v>
      </c>
      <c r="J97" s="19">
        <f>IF(Master_Data!N97="","",EOMONTH(Master_Data!N97,-1)+1)</f>
        <v>45931</v>
      </c>
    </row>
    <row r="98" spans="1:10">
      <c r="A98" s="2" t="str">
        <f>Master_Data!D98</f>
        <v>WLH/KEC/SIEC/ELEC/6THCT/00</v>
      </c>
      <c r="B98" s="2" t="str">
        <f>Master_Data!B98</f>
        <v>MEP</v>
      </c>
      <c r="C98" s="18">
        <f>IF(Master_Data!H98="","",Master_Data!H98 - WEEKDAY(Master_Data!H98,2) + 1)</f>
        <v>45817</v>
      </c>
      <c r="D98" s="18">
        <f>IF(Master_Data!J98="","",Master_Data!J98 - WEEKDAY(Master_Data!J98,2) + 1)</f>
        <v>45845</v>
      </c>
      <c r="E98" s="18">
        <f>IF(Master_Data!M98="","",Master_Data!M98 - WEEKDAY(Master_Data!M98,2) + 1)</f>
        <v>45838</v>
      </c>
      <c r="F98" s="18">
        <f>IF(Master_Data!N98="","",Master_Data!N98 - WEEKDAY(Master_Data!N98,2) + 1)</f>
        <v>45943</v>
      </c>
      <c r="G98" s="19">
        <f>EOMONTH(Master_Data!H98,-1)+1</f>
        <v>45809</v>
      </c>
      <c r="H98" s="19">
        <f>IF(Master_Data!J98="","",EOMONTH(Master_Data!J98,-1)+1)</f>
        <v>45839</v>
      </c>
      <c r="I98" s="19">
        <f>IF(Master_Data!M98="","",EOMONTH(Master_Data!M98,-1)+1)</f>
        <v>45839</v>
      </c>
      <c r="J98" s="19">
        <f>IF(Master_Data!N98="","",EOMONTH(Master_Data!N98,-1)+1)</f>
        <v>45931</v>
      </c>
    </row>
    <row r="99" spans="1:10" ht="29">
      <c r="A99" s="2" t="str">
        <f>Master_Data!D99</f>
        <v>WLH/KEC/SIEC/ELEC/POWER CONDUIT/7TH FL/01</v>
      </c>
      <c r="B99" s="2" t="str">
        <f>Master_Data!B99</f>
        <v>MEP</v>
      </c>
      <c r="C99" s="18">
        <f>IF(Master_Data!H99="","",Master_Data!H99 - WEEKDAY(Master_Data!H99,2) + 1)</f>
        <v>45831</v>
      </c>
      <c r="D99" s="18">
        <f>IF(Master_Data!J99="","",Master_Data!J99 - WEEKDAY(Master_Data!J99,2) + 1)</f>
        <v>45894</v>
      </c>
      <c r="E99" s="18">
        <f>IF(Master_Data!M99="","",Master_Data!M99 - WEEKDAY(Master_Data!M99,2) + 1)</f>
        <v>45852</v>
      </c>
      <c r="F99" s="18">
        <f>IF(Master_Data!N99="","",Master_Data!N99 - WEEKDAY(Master_Data!N99,2) + 1)</f>
        <v>45943</v>
      </c>
      <c r="G99" s="19">
        <f>EOMONTH(Master_Data!H99,-1)+1</f>
        <v>45809</v>
      </c>
      <c r="H99" s="19">
        <f>IF(Master_Data!J99="","",EOMONTH(Master_Data!J99,-1)+1)</f>
        <v>45870</v>
      </c>
      <c r="I99" s="19">
        <f>IF(Master_Data!M99="","",EOMONTH(Master_Data!M99,-1)+1)</f>
        <v>45839</v>
      </c>
      <c r="J99" s="19">
        <f>IF(Master_Data!N99="","",EOMONTH(Master_Data!N99,-1)+1)</f>
        <v>45931</v>
      </c>
    </row>
    <row r="100" spans="1:10" ht="29">
      <c r="A100" s="2" t="str">
        <f>Master_Data!D100</f>
        <v>WLH/KEC/SIEC/ELEC/POWER CONDUIT/7TH FL/02</v>
      </c>
      <c r="B100" s="2" t="str">
        <f>Master_Data!B100</f>
        <v>MEP</v>
      </c>
      <c r="C100" s="18">
        <f>IF(Master_Data!H100="","",Master_Data!H100 - WEEKDAY(Master_Data!H100,2) + 1)</f>
        <v>45831</v>
      </c>
      <c r="D100" s="18">
        <f>IF(Master_Data!J100="","",Master_Data!J100 - WEEKDAY(Master_Data!J100,2) + 1)</f>
        <v>45894</v>
      </c>
      <c r="E100" s="18">
        <f>IF(Master_Data!M100="","",Master_Data!M100 - WEEKDAY(Master_Data!M100,2) + 1)</f>
        <v>45852</v>
      </c>
      <c r="F100" s="18">
        <f>IF(Master_Data!N100="","",Master_Data!N100 - WEEKDAY(Master_Data!N100,2) + 1)</f>
        <v>45943</v>
      </c>
      <c r="G100" s="19">
        <f>EOMONTH(Master_Data!H100,-1)+1</f>
        <v>45809</v>
      </c>
      <c r="H100" s="19">
        <f>IF(Master_Data!J100="","",EOMONTH(Master_Data!J100,-1)+1)</f>
        <v>45870</v>
      </c>
      <c r="I100" s="19">
        <f>IF(Master_Data!M100="","",EOMONTH(Master_Data!M100,-1)+1)</f>
        <v>45839</v>
      </c>
      <c r="J100" s="19">
        <f>IF(Master_Data!N100="","",EOMONTH(Master_Data!N100,-1)+1)</f>
        <v>45931</v>
      </c>
    </row>
    <row r="101" spans="1:10" ht="29">
      <c r="A101" s="2" t="str">
        <f>Master_Data!D101</f>
        <v>WLH/KEC/SIEC/ELEC/POWER CONDUIT/7TH FL/03</v>
      </c>
      <c r="B101" s="2" t="str">
        <f>Master_Data!B101</f>
        <v>MEP</v>
      </c>
      <c r="C101" s="18">
        <f>IF(Master_Data!H101="","",Master_Data!H101 - WEEKDAY(Master_Data!H101,2) + 1)</f>
        <v>45831</v>
      </c>
      <c r="D101" s="18">
        <f>IF(Master_Data!J101="","",Master_Data!J101 - WEEKDAY(Master_Data!J101,2) + 1)</f>
        <v>45894</v>
      </c>
      <c r="E101" s="18">
        <f>IF(Master_Data!M101="","",Master_Data!M101 - WEEKDAY(Master_Data!M101,2) + 1)</f>
        <v>45852</v>
      </c>
      <c r="F101" s="18">
        <f>IF(Master_Data!N101="","",Master_Data!N101 - WEEKDAY(Master_Data!N101,2) + 1)</f>
        <v>45943</v>
      </c>
      <c r="G101" s="19">
        <f>EOMONTH(Master_Data!H101,-1)+1</f>
        <v>45809</v>
      </c>
      <c r="H101" s="19">
        <f>IF(Master_Data!J101="","",EOMONTH(Master_Data!J101,-1)+1)</f>
        <v>45870</v>
      </c>
      <c r="I101" s="19">
        <f>IF(Master_Data!M101="","",EOMONTH(Master_Data!M101,-1)+1)</f>
        <v>45839</v>
      </c>
      <c r="J101" s="19">
        <f>IF(Master_Data!N101="","",EOMONTH(Master_Data!N101,-1)+1)</f>
        <v>45931</v>
      </c>
    </row>
    <row r="102" spans="1:10" ht="29">
      <c r="A102" s="2" t="str">
        <f>Master_Data!D102</f>
        <v>WLH/KEC/SIEC/ELEC/LIGHTING CONDUIT/7TH FL/00</v>
      </c>
      <c r="B102" s="2" t="str">
        <f>Master_Data!B102</f>
        <v>MEP</v>
      </c>
      <c r="C102" s="18">
        <f>IF(Master_Data!H102="","",Master_Data!H102 - WEEKDAY(Master_Data!H102,2) + 1)</f>
        <v>45831</v>
      </c>
      <c r="D102" s="18">
        <f>IF(Master_Data!J102="","",Master_Data!J102 - WEEKDAY(Master_Data!J102,2) + 1)</f>
        <v>45894</v>
      </c>
      <c r="E102" s="18">
        <f>IF(Master_Data!M102="","",Master_Data!M102 - WEEKDAY(Master_Data!M102,2) + 1)</f>
        <v>45852</v>
      </c>
      <c r="F102" s="18">
        <f>IF(Master_Data!N102="","",Master_Data!N102 - WEEKDAY(Master_Data!N102,2) + 1)</f>
        <v>45943</v>
      </c>
      <c r="G102" s="19">
        <f>EOMONTH(Master_Data!H102,-1)+1</f>
        <v>45809</v>
      </c>
      <c r="H102" s="19">
        <f>IF(Master_Data!J102="","",EOMONTH(Master_Data!J102,-1)+1)</f>
        <v>45870</v>
      </c>
      <c r="I102" s="19">
        <f>IF(Master_Data!M102="","",EOMONTH(Master_Data!M102,-1)+1)</f>
        <v>45839</v>
      </c>
      <c r="J102" s="19">
        <f>IF(Master_Data!N102="","",EOMONTH(Master_Data!N102,-1)+1)</f>
        <v>45931</v>
      </c>
    </row>
    <row r="103" spans="1:10">
      <c r="A103" s="2" t="str">
        <f>Master_Data!D103</f>
        <v>WLH/KEC/SIEC/ELEC/7THCT/00</v>
      </c>
      <c r="B103" s="2" t="str">
        <f>Master_Data!B103</f>
        <v>MEP</v>
      </c>
      <c r="C103" s="18">
        <f>IF(Master_Data!H103="","",Master_Data!H103 - WEEKDAY(Master_Data!H103,2) + 1)</f>
        <v>45831</v>
      </c>
      <c r="D103" s="18">
        <f>IF(Master_Data!J103="","",Master_Data!J103 - WEEKDAY(Master_Data!J103,2) + 1)</f>
        <v>45894</v>
      </c>
      <c r="E103" s="18">
        <f>IF(Master_Data!M103="","",Master_Data!M103 - WEEKDAY(Master_Data!M103,2) + 1)</f>
        <v>45852</v>
      </c>
      <c r="F103" s="18">
        <f>IF(Master_Data!N103="","",Master_Data!N103 - WEEKDAY(Master_Data!N103,2) + 1)</f>
        <v>45943</v>
      </c>
      <c r="G103" s="19">
        <f>EOMONTH(Master_Data!H103,-1)+1</f>
        <v>45809</v>
      </c>
      <c r="H103" s="19">
        <f>IF(Master_Data!J103="","",EOMONTH(Master_Data!J103,-1)+1)</f>
        <v>45870</v>
      </c>
      <c r="I103" s="19">
        <f>IF(Master_Data!M103="","",EOMONTH(Master_Data!M103,-1)+1)</f>
        <v>45839</v>
      </c>
      <c r="J103" s="19">
        <f>IF(Master_Data!N103="","",EOMONTH(Master_Data!N103,-1)+1)</f>
        <v>45931</v>
      </c>
    </row>
    <row r="104" spans="1:10" ht="29">
      <c r="A104" s="2" t="str">
        <f>Master_Data!D104</f>
        <v>WLH/KEC/SIEC/ELEC/POWER CONDUIT/8TH FL/01</v>
      </c>
      <c r="B104" s="2" t="str">
        <f>Master_Data!B104</f>
        <v>MEP</v>
      </c>
      <c r="C104" s="18">
        <f>IF(Master_Data!H104="","",Master_Data!H104 - WEEKDAY(Master_Data!H104,2) + 1)</f>
        <v>45831</v>
      </c>
      <c r="D104" s="18">
        <f>IF(Master_Data!J104="","",Master_Data!J104 - WEEKDAY(Master_Data!J104,2) + 1)</f>
        <v>45894</v>
      </c>
      <c r="E104" s="18">
        <f>IF(Master_Data!M104="","",Master_Data!M104 - WEEKDAY(Master_Data!M104,2) + 1)</f>
        <v>45852</v>
      </c>
      <c r="F104" s="18">
        <f>IF(Master_Data!N104="","",Master_Data!N104 - WEEKDAY(Master_Data!N104,2) + 1)</f>
        <v>45957</v>
      </c>
      <c r="G104" s="19">
        <f>EOMONTH(Master_Data!H104,-1)+1</f>
        <v>45809</v>
      </c>
      <c r="H104" s="19">
        <f>IF(Master_Data!J104="","",EOMONTH(Master_Data!J104,-1)+1)</f>
        <v>45870</v>
      </c>
      <c r="I104" s="19">
        <f>IF(Master_Data!M104="","",EOMONTH(Master_Data!M104,-1)+1)</f>
        <v>45839</v>
      </c>
      <c r="J104" s="19">
        <f>IF(Master_Data!N104="","",EOMONTH(Master_Data!N104,-1)+1)</f>
        <v>45931</v>
      </c>
    </row>
    <row r="105" spans="1:10" ht="29">
      <c r="A105" s="2" t="str">
        <f>Master_Data!D105</f>
        <v>WLH/KEC/SIEC/ELEC/POWER CONDUIT/8TH FL/02</v>
      </c>
      <c r="B105" s="2" t="str">
        <f>Master_Data!B105</f>
        <v>MEP</v>
      </c>
      <c r="C105" s="18">
        <f>IF(Master_Data!H105="","",Master_Data!H105 - WEEKDAY(Master_Data!H105,2) + 1)</f>
        <v>45831</v>
      </c>
      <c r="D105" s="18">
        <f>IF(Master_Data!J105="","",Master_Data!J105 - WEEKDAY(Master_Data!J105,2) + 1)</f>
        <v>45894</v>
      </c>
      <c r="E105" s="18">
        <f>IF(Master_Data!M105="","",Master_Data!M105 - WEEKDAY(Master_Data!M105,2) + 1)</f>
        <v>45852</v>
      </c>
      <c r="F105" s="18">
        <f>IF(Master_Data!N105="","",Master_Data!N105 - WEEKDAY(Master_Data!N105,2) + 1)</f>
        <v>45957</v>
      </c>
      <c r="G105" s="19">
        <f>EOMONTH(Master_Data!H105,-1)+1</f>
        <v>45809</v>
      </c>
      <c r="H105" s="19">
        <f>IF(Master_Data!J105="","",EOMONTH(Master_Data!J105,-1)+1)</f>
        <v>45870</v>
      </c>
      <c r="I105" s="19">
        <f>IF(Master_Data!M105="","",EOMONTH(Master_Data!M105,-1)+1)</f>
        <v>45839</v>
      </c>
      <c r="J105" s="19">
        <f>IF(Master_Data!N105="","",EOMONTH(Master_Data!N105,-1)+1)</f>
        <v>45931</v>
      </c>
    </row>
    <row r="106" spans="1:10" ht="29">
      <c r="A106" s="2" t="str">
        <f>Master_Data!D106</f>
        <v>WLH/KEC/SIEC/ELEC/POWER CONDUIT/8TH FL/03</v>
      </c>
      <c r="B106" s="2" t="str">
        <f>Master_Data!B106</f>
        <v>MEP</v>
      </c>
      <c r="C106" s="18">
        <f>IF(Master_Data!H106="","",Master_Data!H106 - WEEKDAY(Master_Data!H106,2) + 1)</f>
        <v>45831</v>
      </c>
      <c r="D106" s="18">
        <f>IF(Master_Data!J106="","",Master_Data!J106 - WEEKDAY(Master_Data!J106,2) + 1)</f>
        <v>45894</v>
      </c>
      <c r="E106" s="18">
        <f>IF(Master_Data!M106="","",Master_Data!M106 - WEEKDAY(Master_Data!M106,2) + 1)</f>
        <v>45852</v>
      </c>
      <c r="F106" s="18">
        <f>IF(Master_Data!N106="","",Master_Data!N106 - WEEKDAY(Master_Data!N106,2) + 1)</f>
        <v>45957</v>
      </c>
      <c r="G106" s="19">
        <f>EOMONTH(Master_Data!H106,-1)+1</f>
        <v>45809</v>
      </c>
      <c r="H106" s="19">
        <f>IF(Master_Data!J106="","",EOMONTH(Master_Data!J106,-1)+1)</f>
        <v>45870</v>
      </c>
      <c r="I106" s="19">
        <f>IF(Master_Data!M106="","",EOMONTH(Master_Data!M106,-1)+1)</f>
        <v>45839</v>
      </c>
      <c r="J106" s="19">
        <f>IF(Master_Data!N106="","",EOMONTH(Master_Data!N106,-1)+1)</f>
        <v>45931</v>
      </c>
    </row>
    <row r="107" spans="1:10" ht="29">
      <c r="A107" s="2" t="str">
        <f>Master_Data!D107</f>
        <v>WLH/KEC/SIEC/ELEC/LIGHTING CONDUIT/8TH FL/00</v>
      </c>
      <c r="B107" s="2" t="str">
        <f>Master_Data!B107</f>
        <v>MEP</v>
      </c>
      <c r="C107" s="18">
        <f>IF(Master_Data!H107="","",Master_Data!H107 - WEEKDAY(Master_Data!H107,2) + 1)</f>
        <v>45831</v>
      </c>
      <c r="D107" s="18">
        <f>IF(Master_Data!J107="","",Master_Data!J107 - WEEKDAY(Master_Data!J107,2) + 1)</f>
        <v>45894</v>
      </c>
      <c r="E107" s="18">
        <f>IF(Master_Data!M107="","",Master_Data!M107 - WEEKDAY(Master_Data!M107,2) + 1)</f>
        <v>45852</v>
      </c>
      <c r="F107" s="18">
        <f>IF(Master_Data!N107="","",Master_Data!N107 - WEEKDAY(Master_Data!N107,2) + 1)</f>
        <v>45957</v>
      </c>
      <c r="G107" s="19">
        <f>EOMONTH(Master_Data!H107,-1)+1</f>
        <v>45809</v>
      </c>
      <c r="H107" s="19">
        <f>IF(Master_Data!J107="","",EOMONTH(Master_Data!J107,-1)+1)</f>
        <v>45870</v>
      </c>
      <c r="I107" s="19">
        <f>IF(Master_Data!M107="","",EOMONTH(Master_Data!M107,-1)+1)</f>
        <v>45839</v>
      </c>
      <c r="J107" s="19">
        <f>IF(Master_Data!N107="","",EOMONTH(Master_Data!N107,-1)+1)</f>
        <v>45931</v>
      </c>
    </row>
    <row r="108" spans="1:10">
      <c r="A108" s="2" t="str">
        <f>Master_Data!D108</f>
        <v>WLH/KEC/SIEC/ELEC/8THCT/00</v>
      </c>
      <c r="B108" s="2" t="str">
        <f>Master_Data!B108</f>
        <v>MEP</v>
      </c>
      <c r="C108" s="18">
        <f>IF(Master_Data!H108="","",Master_Data!H108 - WEEKDAY(Master_Data!H108,2) + 1)</f>
        <v>45831</v>
      </c>
      <c r="D108" s="18">
        <f>IF(Master_Data!J108="","",Master_Data!J108 - WEEKDAY(Master_Data!J108,2) + 1)</f>
        <v>45894</v>
      </c>
      <c r="E108" s="18">
        <f>IF(Master_Data!M108="","",Master_Data!M108 - WEEKDAY(Master_Data!M108,2) + 1)</f>
        <v>45852</v>
      </c>
      <c r="F108" s="18">
        <f>IF(Master_Data!N108="","",Master_Data!N108 - WEEKDAY(Master_Data!N108,2) + 1)</f>
        <v>45957</v>
      </c>
      <c r="G108" s="19">
        <f>EOMONTH(Master_Data!H108,-1)+1</f>
        <v>45809</v>
      </c>
      <c r="H108" s="19">
        <f>IF(Master_Data!J108="","",EOMONTH(Master_Data!J108,-1)+1)</f>
        <v>45870</v>
      </c>
      <c r="I108" s="19">
        <f>IF(Master_Data!M108="","",EOMONTH(Master_Data!M108,-1)+1)</f>
        <v>45839</v>
      </c>
      <c r="J108" s="19">
        <f>IF(Master_Data!N108="","",EOMONTH(Master_Data!N108,-1)+1)</f>
        <v>45931</v>
      </c>
    </row>
    <row r="109" spans="1:10" ht="29">
      <c r="A109" s="2" t="str">
        <f>Master_Data!D109</f>
        <v>WLH/KEC/SIEC/ELEC/POWER CONDUIT/9TH FL/01</v>
      </c>
      <c r="B109" s="2" t="str">
        <f>Master_Data!B109</f>
        <v>MEP</v>
      </c>
      <c r="C109" s="18">
        <f>IF(Master_Data!H109="","",Master_Data!H109 - WEEKDAY(Master_Data!H109,2) + 1)</f>
        <v>45845</v>
      </c>
      <c r="D109" s="18">
        <f>IF(Master_Data!J109="","",Master_Data!J109 - WEEKDAY(Master_Data!J109,2) + 1)</f>
        <v>45824</v>
      </c>
      <c r="E109" s="18">
        <f>IF(Master_Data!M109="","",Master_Data!M109 - WEEKDAY(Master_Data!M109,2) + 1)</f>
        <v>45866</v>
      </c>
      <c r="F109" s="18">
        <f>IF(Master_Data!N109="","",Master_Data!N109 - WEEKDAY(Master_Data!N109,2) + 1)</f>
        <v>45845</v>
      </c>
      <c r="G109" s="19">
        <f>EOMONTH(Master_Data!H109,-1)+1</f>
        <v>45839</v>
      </c>
      <c r="H109" s="19">
        <f>IF(Master_Data!J109="","",EOMONTH(Master_Data!J109,-1)+1)</f>
        <v>45809</v>
      </c>
      <c r="I109" s="19">
        <f>IF(Master_Data!M109="","",EOMONTH(Master_Data!M109,-1)+1)</f>
        <v>45870</v>
      </c>
      <c r="J109" s="19">
        <f>IF(Master_Data!N109="","",EOMONTH(Master_Data!N109,-1)+1)</f>
        <v>45839</v>
      </c>
    </row>
    <row r="110" spans="1:10" ht="29">
      <c r="A110" s="2" t="str">
        <f>Master_Data!D110</f>
        <v>WLH/KEC/SIEC/ELEC/POWER CONDUIT/9TH FL/02</v>
      </c>
      <c r="B110" s="2" t="str">
        <f>Master_Data!B110</f>
        <v>MEP</v>
      </c>
      <c r="C110" s="18">
        <f>IF(Master_Data!H110="","",Master_Data!H110 - WEEKDAY(Master_Data!H110,2) + 1)</f>
        <v>45845</v>
      </c>
      <c r="D110" s="18">
        <f>IF(Master_Data!J110="","",Master_Data!J110 - WEEKDAY(Master_Data!J110,2) + 1)</f>
        <v>45824</v>
      </c>
      <c r="E110" s="18">
        <f>IF(Master_Data!M110="","",Master_Data!M110 - WEEKDAY(Master_Data!M110,2) + 1)</f>
        <v>45866</v>
      </c>
      <c r="F110" s="18">
        <f>IF(Master_Data!N110="","",Master_Data!N110 - WEEKDAY(Master_Data!N110,2) + 1)</f>
        <v>45845</v>
      </c>
      <c r="G110" s="19">
        <f>EOMONTH(Master_Data!H110,-1)+1</f>
        <v>45839</v>
      </c>
      <c r="H110" s="19">
        <f>IF(Master_Data!J110="","",EOMONTH(Master_Data!J110,-1)+1)</f>
        <v>45809</v>
      </c>
      <c r="I110" s="19">
        <f>IF(Master_Data!M110="","",EOMONTH(Master_Data!M110,-1)+1)</f>
        <v>45870</v>
      </c>
      <c r="J110" s="19">
        <f>IF(Master_Data!N110="","",EOMONTH(Master_Data!N110,-1)+1)</f>
        <v>45839</v>
      </c>
    </row>
    <row r="111" spans="1:10" ht="29">
      <c r="A111" s="2" t="str">
        <f>Master_Data!D111</f>
        <v>WLH/KEC/SIEC/ELEC/POWER CONDUIT/9TH FL/03</v>
      </c>
      <c r="B111" s="2" t="str">
        <f>Master_Data!B111</f>
        <v>MEP</v>
      </c>
      <c r="C111" s="18">
        <f>IF(Master_Data!H111="","",Master_Data!H111 - WEEKDAY(Master_Data!H111,2) + 1)</f>
        <v>45845</v>
      </c>
      <c r="D111" s="18">
        <f>IF(Master_Data!J111="","",Master_Data!J111 - WEEKDAY(Master_Data!J111,2) + 1)</f>
        <v>45824</v>
      </c>
      <c r="E111" s="18">
        <f>IF(Master_Data!M111="","",Master_Data!M111 - WEEKDAY(Master_Data!M111,2) + 1)</f>
        <v>45866</v>
      </c>
      <c r="F111" s="18">
        <f>IF(Master_Data!N111="","",Master_Data!N111 - WEEKDAY(Master_Data!N111,2) + 1)</f>
        <v>45845</v>
      </c>
      <c r="G111" s="19">
        <f>EOMONTH(Master_Data!H111,-1)+1</f>
        <v>45839</v>
      </c>
      <c r="H111" s="19">
        <f>IF(Master_Data!J111="","",EOMONTH(Master_Data!J111,-1)+1)</f>
        <v>45809</v>
      </c>
      <c r="I111" s="19">
        <f>IF(Master_Data!M111="","",EOMONTH(Master_Data!M111,-1)+1)</f>
        <v>45870</v>
      </c>
      <c r="J111" s="19">
        <f>IF(Master_Data!N111="","",EOMONTH(Master_Data!N111,-1)+1)</f>
        <v>45839</v>
      </c>
    </row>
    <row r="112" spans="1:10" ht="29">
      <c r="A112" s="2" t="str">
        <f>Master_Data!D112</f>
        <v>WLH/KEC/SIEC/ELEC/LIGHTING CONDUIT/9TH FL/00</v>
      </c>
      <c r="B112" s="2" t="str">
        <f>Master_Data!B112</f>
        <v>MEP</v>
      </c>
      <c r="C112" s="18">
        <f>IF(Master_Data!H112="","",Master_Data!H112 - WEEKDAY(Master_Data!H112,2) + 1)</f>
        <v>45845</v>
      </c>
      <c r="D112" s="18">
        <f>IF(Master_Data!J112="","",Master_Data!J112 - WEEKDAY(Master_Data!J112,2) + 1)</f>
        <v>45824</v>
      </c>
      <c r="E112" s="18">
        <f>IF(Master_Data!M112="","",Master_Data!M112 - WEEKDAY(Master_Data!M112,2) + 1)</f>
        <v>45866</v>
      </c>
      <c r="F112" s="18">
        <f>IF(Master_Data!N112="","",Master_Data!N112 - WEEKDAY(Master_Data!N112,2) + 1)</f>
        <v>45845</v>
      </c>
      <c r="G112" s="19">
        <f>EOMONTH(Master_Data!H112,-1)+1</f>
        <v>45839</v>
      </c>
      <c r="H112" s="19">
        <f>IF(Master_Data!J112="","",EOMONTH(Master_Data!J112,-1)+1)</f>
        <v>45809</v>
      </c>
      <c r="I112" s="19">
        <f>IF(Master_Data!M112="","",EOMONTH(Master_Data!M112,-1)+1)</f>
        <v>45870</v>
      </c>
      <c r="J112" s="19">
        <f>IF(Master_Data!N112="","",EOMONTH(Master_Data!N112,-1)+1)</f>
        <v>45839</v>
      </c>
    </row>
    <row r="113" spans="1:10">
      <c r="A113" s="2" t="str">
        <f>Master_Data!D113</f>
        <v>WLH/KEC/SIEC/ELEC/9TH CT/00</v>
      </c>
      <c r="B113" s="2" t="str">
        <f>Master_Data!B113</f>
        <v>MEP</v>
      </c>
      <c r="C113" s="18">
        <f>IF(Master_Data!H113="","",Master_Data!H113 - WEEKDAY(Master_Data!H113,2) + 1)</f>
        <v>45845</v>
      </c>
      <c r="D113" s="18">
        <f>IF(Master_Data!J113="","",Master_Data!J113 - WEEKDAY(Master_Data!J113,2) + 1)</f>
        <v>45824</v>
      </c>
      <c r="E113" s="18">
        <f>IF(Master_Data!M113="","",Master_Data!M113 - WEEKDAY(Master_Data!M113,2) + 1)</f>
        <v>45866</v>
      </c>
      <c r="F113" s="18">
        <f>IF(Master_Data!N113="","",Master_Data!N113 - WEEKDAY(Master_Data!N113,2) + 1)</f>
        <v>45845</v>
      </c>
      <c r="G113" s="19">
        <f>EOMONTH(Master_Data!H113,-1)+1</f>
        <v>45839</v>
      </c>
      <c r="H113" s="19">
        <f>IF(Master_Data!J113="","",EOMONTH(Master_Data!J113,-1)+1)</f>
        <v>45809</v>
      </c>
      <c r="I113" s="19">
        <f>IF(Master_Data!M113="","",EOMONTH(Master_Data!M113,-1)+1)</f>
        <v>45870</v>
      </c>
      <c r="J113" s="19">
        <f>IF(Master_Data!N113="","",EOMONTH(Master_Data!N113,-1)+1)</f>
        <v>45839</v>
      </c>
    </row>
    <row r="114" spans="1:10" ht="29">
      <c r="A114" s="2" t="str">
        <f>Master_Data!D114</f>
        <v>WLH/KEC/SIEC/ELEC/POWER CONDUIT/10TH FL/01</v>
      </c>
      <c r="B114" s="2" t="str">
        <f>Master_Data!B114</f>
        <v>MEP</v>
      </c>
      <c r="C114" s="18">
        <f>IF(Master_Data!H114="","",Master_Data!H114 - WEEKDAY(Master_Data!H114,2) + 1)</f>
        <v>45845</v>
      </c>
      <c r="D114" s="18">
        <f>IF(Master_Data!J114="","",Master_Data!J114 - WEEKDAY(Master_Data!J114,2) + 1)</f>
        <v>45908</v>
      </c>
      <c r="E114" s="18">
        <f>IF(Master_Data!M114="","",Master_Data!M114 - WEEKDAY(Master_Data!M114,2) + 1)</f>
        <v>45866</v>
      </c>
      <c r="F114" s="18">
        <f>IF(Master_Data!N114="","",Master_Data!N114 - WEEKDAY(Master_Data!N114,2) + 1)</f>
        <v>45943</v>
      </c>
      <c r="G114" s="19">
        <f>EOMONTH(Master_Data!H114,-1)+1</f>
        <v>45839</v>
      </c>
      <c r="H114" s="19">
        <f>IF(Master_Data!J114="","",EOMONTH(Master_Data!J114,-1)+1)</f>
        <v>45901</v>
      </c>
      <c r="I114" s="19">
        <f>IF(Master_Data!M114="","",EOMONTH(Master_Data!M114,-1)+1)</f>
        <v>45870</v>
      </c>
      <c r="J114" s="19">
        <f>IF(Master_Data!N114="","",EOMONTH(Master_Data!N114,-1)+1)</f>
        <v>45931</v>
      </c>
    </row>
    <row r="115" spans="1:10" ht="29">
      <c r="A115" s="2" t="str">
        <f>Master_Data!D115</f>
        <v>WLH/KEC/SIEC/ELEC/POWER CONDUIT/10TH FL/02</v>
      </c>
      <c r="B115" s="2" t="str">
        <f>Master_Data!B115</f>
        <v>MEP</v>
      </c>
      <c r="C115" s="18">
        <f>IF(Master_Data!H115="","",Master_Data!H115 - WEEKDAY(Master_Data!H115,2) + 1)</f>
        <v>45845</v>
      </c>
      <c r="D115" s="18">
        <f>IF(Master_Data!J115="","",Master_Data!J115 - WEEKDAY(Master_Data!J115,2) + 1)</f>
        <v>45908</v>
      </c>
      <c r="E115" s="18">
        <f>IF(Master_Data!M115="","",Master_Data!M115 - WEEKDAY(Master_Data!M115,2) + 1)</f>
        <v>45866</v>
      </c>
      <c r="F115" s="18">
        <f>IF(Master_Data!N115="","",Master_Data!N115 - WEEKDAY(Master_Data!N115,2) + 1)</f>
        <v>45943</v>
      </c>
      <c r="G115" s="19">
        <f>EOMONTH(Master_Data!H115,-1)+1</f>
        <v>45839</v>
      </c>
      <c r="H115" s="19">
        <f>IF(Master_Data!J115="","",EOMONTH(Master_Data!J115,-1)+1)</f>
        <v>45901</v>
      </c>
      <c r="I115" s="19">
        <f>IF(Master_Data!M115="","",EOMONTH(Master_Data!M115,-1)+1)</f>
        <v>45870</v>
      </c>
      <c r="J115" s="19">
        <f>IF(Master_Data!N115="","",EOMONTH(Master_Data!N115,-1)+1)</f>
        <v>45931</v>
      </c>
    </row>
    <row r="116" spans="1:10" ht="29">
      <c r="A116" s="2" t="str">
        <f>Master_Data!D116</f>
        <v>WLH/KEC/SIEC/ELEC/POWER CONDUIT/10TH FL/03</v>
      </c>
      <c r="B116" s="2" t="str">
        <f>Master_Data!B116</f>
        <v>MEP</v>
      </c>
      <c r="C116" s="18">
        <f>IF(Master_Data!H116="","",Master_Data!H116 - WEEKDAY(Master_Data!H116,2) + 1)</f>
        <v>45845</v>
      </c>
      <c r="D116" s="18">
        <f>IF(Master_Data!J116="","",Master_Data!J116 - WEEKDAY(Master_Data!J116,2) + 1)</f>
        <v>45908</v>
      </c>
      <c r="E116" s="18">
        <f>IF(Master_Data!M116="","",Master_Data!M116 - WEEKDAY(Master_Data!M116,2) + 1)</f>
        <v>45866</v>
      </c>
      <c r="F116" s="18">
        <f>IF(Master_Data!N116="","",Master_Data!N116 - WEEKDAY(Master_Data!N116,2) + 1)</f>
        <v>45943</v>
      </c>
      <c r="G116" s="19">
        <f>EOMONTH(Master_Data!H116,-1)+1</f>
        <v>45839</v>
      </c>
      <c r="H116" s="19">
        <f>IF(Master_Data!J116="","",EOMONTH(Master_Data!J116,-1)+1)</f>
        <v>45901</v>
      </c>
      <c r="I116" s="19">
        <f>IF(Master_Data!M116="","",EOMONTH(Master_Data!M116,-1)+1)</f>
        <v>45870</v>
      </c>
      <c r="J116" s="19">
        <f>IF(Master_Data!N116="","",EOMONTH(Master_Data!N116,-1)+1)</f>
        <v>45931</v>
      </c>
    </row>
    <row r="117" spans="1:10" ht="29">
      <c r="A117" s="2" t="str">
        <f>Master_Data!D117</f>
        <v>WLH/KEC/SIEC/ELEC/LIGHTING CONDUIT/10TH FL/00</v>
      </c>
      <c r="B117" s="2" t="str">
        <f>Master_Data!B117</f>
        <v>MEP</v>
      </c>
      <c r="C117" s="18">
        <f>IF(Master_Data!H117="","",Master_Data!H117 - WEEKDAY(Master_Data!H117,2) + 1)</f>
        <v>45845</v>
      </c>
      <c r="D117" s="18">
        <f>IF(Master_Data!J117="","",Master_Data!J117 - WEEKDAY(Master_Data!J117,2) + 1)</f>
        <v>45908</v>
      </c>
      <c r="E117" s="18">
        <f>IF(Master_Data!M117="","",Master_Data!M117 - WEEKDAY(Master_Data!M117,2) + 1)</f>
        <v>45866</v>
      </c>
      <c r="F117" s="18">
        <f>IF(Master_Data!N117="","",Master_Data!N117 - WEEKDAY(Master_Data!N117,2) + 1)</f>
        <v>45943</v>
      </c>
      <c r="G117" s="19">
        <f>EOMONTH(Master_Data!H117,-1)+1</f>
        <v>45839</v>
      </c>
      <c r="H117" s="19">
        <f>IF(Master_Data!J117="","",EOMONTH(Master_Data!J117,-1)+1)</f>
        <v>45901</v>
      </c>
      <c r="I117" s="19">
        <f>IF(Master_Data!M117="","",EOMONTH(Master_Data!M117,-1)+1)</f>
        <v>45870</v>
      </c>
      <c r="J117" s="19">
        <f>IF(Master_Data!N117="","",EOMONTH(Master_Data!N117,-1)+1)</f>
        <v>45931</v>
      </c>
    </row>
    <row r="118" spans="1:10">
      <c r="A118" s="2" t="str">
        <f>Master_Data!D118</f>
        <v>WLH/KEC/SIEC/ELEC/10THCT/00</v>
      </c>
      <c r="B118" s="2" t="str">
        <f>Master_Data!B118</f>
        <v>MEP</v>
      </c>
      <c r="C118" s="18">
        <f>IF(Master_Data!H118="","",Master_Data!H118 - WEEKDAY(Master_Data!H118,2) + 1)</f>
        <v>45845</v>
      </c>
      <c r="D118" s="18">
        <f>IF(Master_Data!J118="","",Master_Data!J118 - WEEKDAY(Master_Data!J118,2) + 1)</f>
        <v>45908</v>
      </c>
      <c r="E118" s="18">
        <f>IF(Master_Data!M118="","",Master_Data!M118 - WEEKDAY(Master_Data!M118,2) + 1)</f>
        <v>45866</v>
      </c>
      <c r="F118" s="18">
        <f>IF(Master_Data!N118="","",Master_Data!N118 - WEEKDAY(Master_Data!N118,2) + 1)</f>
        <v>45943</v>
      </c>
      <c r="G118" s="19">
        <f>EOMONTH(Master_Data!H118,-1)+1</f>
        <v>45839</v>
      </c>
      <c r="H118" s="19">
        <f>IF(Master_Data!J118="","",EOMONTH(Master_Data!J118,-1)+1)</f>
        <v>45901</v>
      </c>
      <c r="I118" s="19">
        <f>IF(Master_Data!M118="","",EOMONTH(Master_Data!M118,-1)+1)</f>
        <v>45870</v>
      </c>
      <c r="J118" s="19">
        <f>IF(Master_Data!N118="","",EOMONTH(Master_Data!N118,-1)+1)</f>
        <v>45931</v>
      </c>
    </row>
    <row r="119" spans="1:10" ht="29">
      <c r="A119" s="2" t="str">
        <f>Master_Data!D119</f>
        <v>WLH/KEC/SIEC/ELEC/POWER/TERRACE/00</v>
      </c>
      <c r="B119" s="2" t="str">
        <f>Master_Data!B119</f>
        <v>MEP</v>
      </c>
      <c r="C119" s="18">
        <f>IF(Master_Data!H119="","",Master_Data!H119 - WEEKDAY(Master_Data!H119,2) + 1)</f>
        <v>45971</v>
      </c>
      <c r="D119" s="18">
        <f>IF(Master_Data!J119="","",Master_Data!J119 - WEEKDAY(Master_Data!J119,2) + 1)</f>
        <v>45971</v>
      </c>
      <c r="E119" s="18">
        <f>IF(Master_Data!M119="","",Master_Data!M119 - WEEKDAY(Master_Data!M119,2) + 1)</f>
        <v>45880</v>
      </c>
      <c r="F119" s="18">
        <f>IF(Master_Data!N119="","",Master_Data!N119 - WEEKDAY(Master_Data!N119,2) + 1)</f>
        <v>46069</v>
      </c>
      <c r="G119" s="19">
        <f>EOMONTH(Master_Data!H119,-1)+1</f>
        <v>45962</v>
      </c>
      <c r="H119" s="19">
        <f>IF(Master_Data!J119="","",EOMONTH(Master_Data!J119,-1)+1)</f>
        <v>45962</v>
      </c>
      <c r="I119" s="19">
        <f>IF(Master_Data!M119="","",EOMONTH(Master_Data!M119,-1)+1)</f>
        <v>45870</v>
      </c>
      <c r="J119" s="19">
        <f>IF(Master_Data!N119="","",EOMONTH(Master_Data!N119,-1)+1)</f>
        <v>46054</v>
      </c>
    </row>
    <row r="120" spans="1:10" ht="29">
      <c r="A120" s="2" t="str">
        <f>Master_Data!D120</f>
        <v>WLH/KEC/SIEC/ELEC/POWER CONDUIT/TERRACE FL/00</v>
      </c>
      <c r="B120" s="2" t="str">
        <f>Master_Data!B120</f>
        <v>MEP</v>
      </c>
      <c r="C120" s="18">
        <f>IF(Master_Data!H120="","",Master_Data!H120 - WEEKDAY(Master_Data!H120,2) + 1)</f>
        <v>45971</v>
      </c>
      <c r="D120" s="18">
        <f>IF(Master_Data!J120="","",Master_Data!J120 - WEEKDAY(Master_Data!J120,2) + 1)</f>
        <v>45971</v>
      </c>
      <c r="E120" s="18">
        <f>IF(Master_Data!M120="","",Master_Data!M120 - WEEKDAY(Master_Data!M120,2) + 1)</f>
        <v>45880</v>
      </c>
      <c r="F120" s="18">
        <f>IF(Master_Data!N120="","",Master_Data!N120 - WEEKDAY(Master_Data!N120,2) + 1)</f>
        <v>46069</v>
      </c>
      <c r="G120" s="19">
        <f>EOMONTH(Master_Data!H120,-1)+1</f>
        <v>45962</v>
      </c>
      <c r="H120" s="19">
        <f>IF(Master_Data!J120="","",EOMONTH(Master_Data!J120,-1)+1)</f>
        <v>45962</v>
      </c>
      <c r="I120" s="19">
        <f>IF(Master_Data!M120="","",EOMONTH(Master_Data!M120,-1)+1)</f>
        <v>45870</v>
      </c>
      <c r="J120" s="19">
        <f>IF(Master_Data!N120="","",EOMONTH(Master_Data!N120,-1)+1)</f>
        <v>46054</v>
      </c>
    </row>
    <row r="121" spans="1:10" ht="29">
      <c r="A121" s="2" t="str">
        <f>Master_Data!D121</f>
        <v>WLH/KEC/SIEC/ELEC/LIGHTING CONDUIT/TERRACE FL/00</v>
      </c>
      <c r="B121" s="2" t="str">
        <f>Master_Data!B121</f>
        <v>MEP</v>
      </c>
      <c r="C121" s="18">
        <f>IF(Master_Data!H121="","",Master_Data!H121 - WEEKDAY(Master_Data!H121,2) + 1)</f>
        <v>45971</v>
      </c>
      <c r="D121" s="18">
        <f>IF(Master_Data!J121="","",Master_Data!J121 - WEEKDAY(Master_Data!J121,2) + 1)</f>
        <v>45971</v>
      </c>
      <c r="E121" s="18">
        <f>IF(Master_Data!M121="","",Master_Data!M121 - WEEKDAY(Master_Data!M121,2) + 1)</f>
        <v>45880</v>
      </c>
      <c r="F121" s="18">
        <f>IF(Master_Data!N121="","",Master_Data!N121 - WEEKDAY(Master_Data!N121,2) + 1)</f>
        <v>46069</v>
      </c>
      <c r="G121" s="19">
        <f>EOMONTH(Master_Data!H121,-1)+1</f>
        <v>45962</v>
      </c>
      <c r="H121" s="19">
        <f>IF(Master_Data!J121="","",EOMONTH(Master_Data!J121,-1)+1)</f>
        <v>45962</v>
      </c>
      <c r="I121" s="19">
        <f>IF(Master_Data!M121="","",EOMONTH(Master_Data!M121,-1)+1)</f>
        <v>45870</v>
      </c>
      <c r="J121" s="19">
        <f>IF(Master_Data!N121="","",EOMONTH(Master_Data!N121,-1)+1)</f>
        <v>46054</v>
      </c>
    </row>
    <row r="122" spans="1:10">
      <c r="A122" s="2" t="str">
        <f>Master_Data!D122</f>
        <v>WLH/KEC/SIEC/ELEC/TERRACECT/00</v>
      </c>
      <c r="B122" s="2" t="str">
        <f>Master_Data!B122</f>
        <v>MEP</v>
      </c>
      <c r="C122" s="18">
        <f>IF(Master_Data!H122="","",Master_Data!H122 - WEEKDAY(Master_Data!H122,2) + 1)</f>
        <v>45971</v>
      </c>
      <c r="D122" s="18">
        <f>IF(Master_Data!J122="","",Master_Data!J122 - WEEKDAY(Master_Data!J122,2) + 1)</f>
        <v>45971</v>
      </c>
      <c r="E122" s="18">
        <f>IF(Master_Data!M122="","",Master_Data!M122 - WEEKDAY(Master_Data!M122,2) + 1)</f>
        <v>45880</v>
      </c>
      <c r="F122" s="18">
        <f>IF(Master_Data!N122="","",Master_Data!N122 - WEEKDAY(Master_Data!N122,2) + 1)</f>
        <v>46069</v>
      </c>
      <c r="G122" s="19">
        <f>EOMONTH(Master_Data!H122,-1)+1</f>
        <v>45962</v>
      </c>
      <c r="H122" s="19">
        <f>IF(Master_Data!J122="","",EOMONTH(Master_Data!J122,-1)+1)</f>
        <v>45962</v>
      </c>
      <c r="I122" s="19">
        <f>IF(Master_Data!M122="","",EOMONTH(Master_Data!M122,-1)+1)</f>
        <v>45870</v>
      </c>
      <c r="J122" s="19">
        <f>IF(Master_Data!N122="","",EOMONTH(Master_Data!N122,-1)+1)</f>
        <v>46054</v>
      </c>
    </row>
    <row r="123" spans="1:10" ht="29">
      <c r="A123" s="2" t="str">
        <f>Master_Data!D123</f>
        <v>WLH/KEC/SIEC/ELEC/SCHEMATIC DIAGRAM/00</v>
      </c>
      <c r="B123" s="2" t="str">
        <f>Master_Data!B123</f>
        <v>MEP</v>
      </c>
      <c r="C123" s="18">
        <f>IF(Master_Data!H123="","",Master_Data!H123 - WEEKDAY(Master_Data!H123,2) + 1)</f>
        <v>45761</v>
      </c>
      <c r="D123" s="18">
        <f>IF(Master_Data!J123="","",Master_Data!J123 - WEEKDAY(Master_Data!J123,2) + 1)</f>
        <v>45761</v>
      </c>
      <c r="E123" s="18">
        <f>IF(Master_Data!M123="","",Master_Data!M123 - WEEKDAY(Master_Data!M123,2) + 1)</f>
        <v>45782</v>
      </c>
      <c r="F123" s="18">
        <f>IF(Master_Data!N123="","",Master_Data!N123 - WEEKDAY(Master_Data!N123,2) + 1)</f>
        <v>45803</v>
      </c>
      <c r="G123" s="19">
        <f>EOMONTH(Master_Data!H123,-1)+1</f>
        <v>45748</v>
      </c>
      <c r="H123" s="19">
        <f>IF(Master_Data!J123="","",EOMONTH(Master_Data!J123,-1)+1)</f>
        <v>45748</v>
      </c>
      <c r="I123" s="19">
        <f>IF(Master_Data!M123="","",EOMONTH(Master_Data!M123,-1)+1)</f>
        <v>45778</v>
      </c>
      <c r="J123" s="19">
        <f>IF(Master_Data!N123="","",EOMONTH(Master_Data!N123,-1)+1)</f>
        <v>45778</v>
      </c>
    </row>
    <row r="124" spans="1:10">
      <c r="A124" s="2" t="str">
        <f>Master_Data!D124</f>
        <v>WLH/KEC/SIEC/ELEC/LT ARRESTOR/00</v>
      </c>
      <c r="B124" s="2" t="str">
        <f>Master_Data!B124</f>
        <v>MEP</v>
      </c>
      <c r="C124" s="18">
        <f>IF(Master_Data!H124="","",Master_Data!H124 - WEEKDAY(Master_Data!H124,2) + 1)</f>
        <v>45859</v>
      </c>
      <c r="D124" s="18">
        <f>IF(Master_Data!J124="","",Master_Data!J124 - WEEKDAY(Master_Data!J124,2) + 1)</f>
        <v>45936</v>
      </c>
      <c r="E124" s="18">
        <f>IF(Master_Data!M124="","",Master_Data!M124 - WEEKDAY(Master_Data!M124,2) + 1)</f>
        <v>45880</v>
      </c>
      <c r="F124" s="18">
        <f>IF(Master_Data!N124="","",Master_Data!N124 - WEEKDAY(Master_Data!N124,2) + 1)</f>
        <v>46069</v>
      </c>
      <c r="G124" s="19">
        <f>EOMONTH(Master_Data!H124,-1)+1</f>
        <v>45839</v>
      </c>
      <c r="H124" s="19">
        <f>IF(Master_Data!J124="","",EOMONTH(Master_Data!J124,-1)+1)</f>
        <v>45931</v>
      </c>
      <c r="I124" s="19">
        <f>IF(Master_Data!M124="","",EOMONTH(Master_Data!M124,-1)+1)</f>
        <v>45870</v>
      </c>
      <c r="J124" s="19">
        <f>IF(Master_Data!N124="","",EOMONTH(Master_Data!N124,-1)+1)</f>
        <v>46054</v>
      </c>
    </row>
    <row r="125" spans="1:10">
      <c r="A125" s="2" t="str">
        <f>Master_Data!D125</f>
        <v>WLH/KEC/SIEC/ELEC/AVIATION/00</v>
      </c>
      <c r="B125" s="2" t="str">
        <f>Master_Data!B125</f>
        <v>MEP</v>
      </c>
      <c r="C125" s="18">
        <f>IF(Master_Data!H125="","",Master_Data!H125 - WEEKDAY(Master_Data!H125,2) + 1)</f>
        <v>45859</v>
      </c>
      <c r="D125" s="18">
        <f>IF(Master_Data!J125="","",Master_Data!J125 - WEEKDAY(Master_Data!J125,2) + 1)</f>
        <v>45936</v>
      </c>
      <c r="E125" s="18">
        <f>IF(Master_Data!M125="","",Master_Data!M125 - WEEKDAY(Master_Data!M125,2) + 1)</f>
        <v>45880</v>
      </c>
      <c r="F125" s="18">
        <f>IF(Master_Data!N125="","",Master_Data!N125 - WEEKDAY(Master_Data!N125,2) + 1)</f>
        <v>46069</v>
      </c>
      <c r="G125" s="19">
        <f>EOMONTH(Master_Data!H125,-1)+1</f>
        <v>45839</v>
      </c>
      <c r="H125" s="19">
        <f>IF(Master_Data!J125="","",EOMONTH(Master_Data!J125,-1)+1)</f>
        <v>45931</v>
      </c>
      <c r="I125" s="19">
        <f>IF(Master_Data!M125="","",EOMONTH(Master_Data!M125,-1)+1)</f>
        <v>45870</v>
      </c>
      <c r="J125" s="19">
        <f>IF(Master_Data!N125="","",EOMONTH(Master_Data!N125,-1)+1)</f>
        <v>46054</v>
      </c>
    </row>
    <row r="126" spans="1:10">
      <c r="A126" s="2" t="str">
        <f>Master_Data!D126</f>
        <v>WLH/KEC/SIEC/ELEC/EXTPOWER/00</v>
      </c>
      <c r="B126" s="2" t="str">
        <f>Master_Data!B126</f>
        <v>MEP</v>
      </c>
      <c r="C126" s="18">
        <f>IF(Master_Data!H126="","",Master_Data!H126 - WEEKDAY(Master_Data!H126,2) + 1)</f>
        <v>45859</v>
      </c>
      <c r="D126" s="18">
        <f>IF(Master_Data!J126="","",Master_Data!J126 - WEEKDAY(Master_Data!J126,2) + 1)</f>
        <v>45971</v>
      </c>
      <c r="E126" s="18">
        <f>IF(Master_Data!M126="","",Master_Data!M126 - WEEKDAY(Master_Data!M126,2) + 1)</f>
        <v>45880</v>
      </c>
      <c r="F126" s="18" t="str">
        <f>IF(Master_Data!N126="","",Master_Data!N126 - WEEKDAY(Master_Data!N126,2) + 1)</f>
        <v/>
      </c>
      <c r="G126" s="19">
        <f>EOMONTH(Master_Data!H126,-1)+1</f>
        <v>45839</v>
      </c>
      <c r="H126" s="19">
        <f>IF(Master_Data!J126="","",EOMONTH(Master_Data!J126,-1)+1)</f>
        <v>45962</v>
      </c>
      <c r="I126" s="19">
        <f>IF(Master_Data!M126="","",EOMONTH(Master_Data!M126,-1)+1)</f>
        <v>45870</v>
      </c>
      <c r="J126" s="19" t="str">
        <f>IF(Master_Data!N126="","",EOMONTH(Master_Data!N126,-1)+1)</f>
        <v/>
      </c>
    </row>
    <row r="127" spans="1:10">
      <c r="A127" s="2" t="str">
        <f>Master_Data!D127</f>
        <v>WLH/KEC/SIEC/ELV/INFRA/00</v>
      </c>
      <c r="B127" s="2" t="str">
        <f>Master_Data!B127</f>
        <v>MEP</v>
      </c>
      <c r="C127" s="18">
        <f>IF(Master_Data!H127="","",Master_Data!H127 - WEEKDAY(Master_Data!H127,2) + 1)</f>
        <v>45726</v>
      </c>
      <c r="D127" s="18">
        <f>IF(Master_Data!J127="","",Master_Data!J127 - WEEKDAY(Master_Data!J127,2) + 1)</f>
        <v>45859</v>
      </c>
      <c r="E127" s="18">
        <f>IF(Master_Data!M127="","",Master_Data!M127 - WEEKDAY(Master_Data!M127,2) + 1)</f>
        <v>45754</v>
      </c>
      <c r="F127" s="18">
        <f>IF(Master_Data!N127="","",Master_Data!N127 - WEEKDAY(Master_Data!N127,2) + 1)</f>
        <v>46132</v>
      </c>
      <c r="G127" s="19">
        <f>EOMONTH(Master_Data!H127,-1)+1</f>
        <v>45717</v>
      </c>
      <c r="H127" s="19">
        <f>IF(Master_Data!J127="","",EOMONTH(Master_Data!J127,-1)+1)</f>
        <v>45839</v>
      </c>
      <c r="I127" s="19">
        <f>IF(Master_Data!M127="","",EOMONTH(Master_Data!M127,-1)+1)</f>
        <v>45748</v>
      </c>
      <c r="J127" s="19">
        <f>IF(Master_Data!N127="","",EOMONTH(Master_Data!N127,-1)+1)</f>
        <v>46113</v>
      </c>
    </row>
    <row r="128" spans="1:10">
      <c r="A128" s="2" t="str">
        <f>Master_Data!D128</f>
        <v>WLH/KEC/SIEC/ELV/CCTV/00</v>
      </c>
      <c r="B128" s="2" t="str">
        <f>Master_Data!B128</f>
        <v>MEP</v>
      </c>
      <c r="C128" s="18">
        <f>IF(Master_Data!H128="","",Master_Data!H128 - WEEKDAY(Master_Data!H128,2) + 1)</f>
        <v>45985</v>
      </c>
      <c r="D128" s="18">
        <f>IF(Master_Data!J128="","",Master_Data!J128 - WEEKDAY(Master_Data!J128,2) + 1)</f>
        <v>45971</v>
      </c>
      <c r="E128" s="18">
        <f>IF(Master_Data!M128="","",Master_Data!M128 - WEEKDAY(Master_Data!M128,2) + 1)</f>
        <v>46013</v>
      </c>
      <c r="F128" s="18">
        <f>IF(Master_Data!N128="","",Master_Data!N128 - WEEKDAY(Master_Data!N128,2) + 1)</f>
        <v>46132</v>
      </c>
      <c r="G128" s="19">
        <f>EOMONTH(Master_Data!H128,-1)+1</f>
        <v>45962</v>
      </c>
      <c r="H128" s="19">
        <f>IF(Master_Data!J128="","",EOMONTH(Master_Data!J128,-1)+1)</f>
        <v>45962</v>
      </c>
      <c r="I128" s="19">
        <f>IF(Master_Data!M128="","",EOMONTH(Master_Data!M128,-1)+1)</f>
        <v>45992</v>
      </c>
      <c r="J128" s="19">
        <f>IF(Master_Data!N128="","",EOMONTH(Master_Data!N128,-1)+1)</f>
        <v>46113</v>
      </c>
    </row>
    <row r="129" spans="1:10">
      <c r="A129" s="2" t="str">
        <f>Master_Data!D129</f>
        <v>WLH/KEC/SIEC/ELV/DBR/00</v>
      </c>
      <c r="B129" s="2" t="str">
        <f>Master_Data!B129</f>
        <v>MEP</v>
      </c>
      <c r="C129" s="18">
        <f>IF(Master_Data!H129="","",Master_Data!H129 - WEEKDAY(Master_Data!H129,2) + 1)</f>
        <v>45747</v>
      </c>
      <c r="D129" s="18">
        <f>IF(Master_Data!J129="","",Master_Data!J129 - WEEKDAY(Master_Data!J129,2) + 1)</f>
        <v>45747</v>
      </c>
      <c r="E129" s="18">
        <f>IF(Master_Data!M129="","",Master_Data!M129 - WEEKDAY(Master_Data!M129,2) + 1)</f>
        <v>45768</v>
      </c>
      <c r="F129" s="18">
        <f>IF(Master_Data!N129="","",Master_Data!N129 - WEEKDAY(Master_Data!N129,2) + 1)</f>
        <v>45747</v>
      </c>
      <c r="G129" s="19">
        <f>EOMONTH(Master_Data!H129,-1)+1</f>
        <v>45717</v>
      </c>
      <c r="H129" s="19">
        <f>IF(Master_Data!J129="","",EOMONTH(Master_Data!J129,-1)+1)</f>
        <v>45717</v>
      </c>
      <c r="I129" s="19">
        <f>IF(Master_Data!M129="","",EOMONTH(Master_Data!M129,-1)+1)</f>
        <v>45748</v>
      </c>
      <c r="J129" s="19">
        <f>IF(Master_Data!N129="","",EOMONTH(Master_Data!N129,-1)+1)</f>
        <v>45717</v>
      </c>
    </row>
    <row r="130" spans="1:10" ht="29">
      <c r="A130" s="2" t="str">
        <f>Master_Data!D130</f>
        <v>WLH/KEC/SIEC/RODENT REPELLENT SYSTEM/ELV/GR FL/00</v>
      </c>
      <c r="B130" s="2" t="str">
        <f>Master_Data!B130</f>
        <v>MEP</v>
      </c>
      <c r="C130" s="18">
        <f>IF(Master_Data!H130="","",Master_Data!H130 - WEEKDAY(Master_Data!H130,2) + 1)</f>
        <v>45747</v>
      </c>
      <c r="D130" s="18">
        <f>IF(Master_Data!J130="","",Master_Data!J130 - WEEKDAY(Master_Data!J130,2) + 1)</f>
        <v>45747</v>
      </c>
      <c r="E130" s="18">
        <f>IF(Master_Data!M130="","",Master_Data!M130 - WEEKDAY(Master_Data!M130,2) + 1)</f>
        <v>45768</v>
      </c>
      <c r="F130" s="18">
        <f>IF(Master_Data!N130="","",Master_Data!N130 - WEEKDAY(Master_Data!N130,2) + 1)</f>
        <v>45810</v>
      </c>
      <c r="G130" s="19">
        <f>EOMONTH(Master_Data!H130,-1)+1</f>
        <v>45717</v>
      </c>
      <c r="H130" s="19">
        <f>IF(Master_Data!J130="","",EOMONTH(Master_Data!J130,-1)+1)</f>
        <v>45748</v>
      </c>
      <c r="I130" s="19">
        <f>IF(Master_Data!M130="","",EOMONTH(Master_Data!M130,-1)+1)</f>
        <v>45748</v>
      </c>
      <c r="J130" s="19">
        <f>IF(Master_Data!N130="","",EOMONTH(Master_Data!N130,-1)+1)</f>
        <v>45809</v>
      </c>
    </row>
    <row r="131" spans="1:10" ht="29">
      <c r="A131" s="2" t="str">
        <f>Master_Data!D131</f>
        <v>WLH/KEC/SIEC/RODENT REPELLENT SYSTEM/ELV/1ST FL/00</v>
      </c>
      <c r="B131" s="2" t="str">
        <f>Master_Data!B131</f>
        <v>MEP</v>
      </c>
      <c r="C131" s="18">
        <f>IF(Master_Data!H131="","",Master_Data!H131 - WEEKDAY(Master_Data!H131,2) + 1)</f>
        <v>45971</v>
      </c>
      <c r="D131" s="18">
        <f>IF(Master_Data!J131="","",Master_Data!J131 - WEEKDAY(Master_Data!J131,2) + 1)</f>
        <v>45971</v>
      </c>
      <c r="E131" s="18">
        <f>IF(Master_Data!M131="","",Master_Data!M131 - WEEKDAY(Master_Data!M131,2) + 1)</f>
        <v>45985</v>
      </c>
      <c r="F131" s="18">
        <f>IF(Master_Data!N131="","",Master_Data!N131 - WEEKDAY(Master_Data!N131,2) + 1)</f>
        <v>45992</v>
      </c>
      <c r="G131" s="19">
        <f>EOMONTH(Master_Data!H131,-1)+1</f>
        <v>45962</v>
      </c>
      <c r="H131" s="19">
        <f>IF(Master_Data!J131="","",EOMONTH(Master_Data!J131,-1)+1)</f>
        <v>45962</v>
      </c>
      <c r="I131" s="19">
        <f>IF(Master_Data!M131="","",EOMONTH(Master_Data!M131,-1)+1)</f>
        <v>45962</v>
      </c>
      <c r="J131" s="19">
        <f>IF(Master_Data!N131="","",EOMONTH(Master_Data!N131,-1)+1)</f>
        <v>45992</v>
      </c>
    </row>
    <row r="132" spans="1:10" ht="29">
      <c r="A132" s="2" t="str">
        <f>Master_Data!D132</f>
        <v>WLH/KEC/SIEC/RODENT REPELLENT SYSTEM/ELV/2ND FL/00</v>
      </c>
      <c r="B132" s="2" t="str">
        <f>Master_Data!B132</f>
        <v>MEP</v>
      </c>
      <c r="C132" s="18">
        <f>IF(Master_Data!H132="","",Master_Data!H132 - WEEKDAY(Master_Data!H132,2) + 1)</f>
        <v>45957</v>
      </c>
      <c r="D132" s="18">
        <f>IF(Master_Data!J132="","",Master_Data!J132 - WEEKDAY(Master_Data!J132,2) + 1)</f>
        <v>45964</v>
      </c>
      <c r="E132" s="18">
        <f>IF(Master_Data!M132="","",Master_Data!M132 - WEEKDAY(Master_Data!M132,2) + 1)</f>
        <v>45971</v>
      </c>
      <c r="F132" s="18">
        <f>IF(Master_Data!N132="","",Master_Data!N132 - WEEKDAY(Master_Data!N132,2) + 1)</f>
        <v>45992</v>
      </c>
      <c r="G132" s="19">
        <f>EOMONTH(Master_Data!H132,-1)+1</f>
        <v>45931</v>
      </c>
      <c r="H132" s="19">
        <f>IF(Master_Data!J132="","",EOMONTH(Master_Data!J132,-1)+1)</f>
        <v>45962</v>
      </c>
      <c r="I132" s="19">
        <f>IF(Master_Data!M132="","",EOMONTH(Master_Data!M132,-1)+1)</f>
        <v>45962</v>
      </c>
      <c r="J132" s="19">
        <f>IF(Master_Data!N132="","",EOMONTH(Master_Data!N132,-1)+1)</f>
        <v>45992</v>
      </c>
    </row>
    <row r="133" spans="1:10" ht="29">
      <c r="A133" s="2" t="str">
        <f>Master_Data!D133</f>
        <v>WLH/KEC/SIEC/RODENT REPELLENT SYSTEM/ELV/3RD FL/00</v>
      </c>
      <c r="B133" s="2" t="str">
        <f>Master_Data!B133</f>
        <v>MEP</v>
      </c>
      <c r="C133" s="18">
        <f>IF(Master_Data!H133="","",Master_Data!H133 - WEEKDAY(Master_Data!H133,2) + 1)</f>
        <v>45950</v>
      </c>
      <c r="D133" s="18">
        <f>IF(Master_Data!J133="","",Master_Data!J133 - WEEKDAY(Master_Data!J133,2) + 1)</f>
        <v>45957</v>
      </c>
      <c r="E133" s="18">
        <f>IF(Master_Data!M133="","",Master_Data!M133 - WEEKDAY(Master_Data!M133,2) + 1)</f>
        <v>45964</v>
      </c>
      <c r="F133" s="18">
        <f>IF(Master_Data!N133="","",Master_Data!N133 - WEEKDAY(Master_Data!N133,2) + 1)</f>
        <v>45992</v>
      </c>
      <c r="G133" s="19">
        <f>EOMONTH(Master_Data!H133,-1)+1</f>
        <v>45931</v>
      </c>
      <c r="H133" s="19">
        <f>IF(Master_Data!J133="","",EOMONTH(Master_Data!J133,-1)+1)</f>
        <v>45931</v>
      </c>
      <c r="I133" s="19">
        <f>IF(Master_Data!M133="","",EOMONTH(Master_Data!M133,-1)+1)</f>
        <v>45962</v>
      </c>
      <c r="J133" s="19">
        <f>IF(Master_Data!N133="","",EOMONTH(Master_Data!N133,-1)+1)</f>
        <v>45992</v>
      </c>
    </row>
    <row r="134" spans="1:10" ht="29">
      <c r="A134" s="2" t="str">
        <f>Master_Data!D134</f>
        <v>WLH/KEC/SIEC/RODENT REPELLENT SYSTEM/ELV/4TH FL/00</v>
      </c>
      <c r="B134" s="2" t="str">
        <f>Master_Data!B134</f>
        <v>MEP</v>
      </c>
      <c r="C134" s="18">
        <f>IF(Master_Data!H134="","",Master_Data!H134 - WEEKDAY(Master_Data!H134,2) + 1)</f>
        <v>45747</v>
      </c>
      <c r="D134" s="18">
        <f>IF(Master_Data!J134="","",Master_Data!J134 - WEEKDAY(Master_Data!J134,2) + 1)</f>
        <v>45796</v>
      </c>
      <c r="E134" s="18">
        <f>IF(Master_Data!M134="","",Master_Data!M134 - WEEKDAY(Master_Data!M134,2) + 1)</f>
        <v>45768</v>
      </c>
      <c r="F134" s="18">
        <f>IF(Master_Data!N134="","",Master_Data!N134 - WEEKDAY(Master_Data!N134,2) + 1)</f>
        <v>45810</v>
      </c>
      <c r="G134" s="19">
        <f>EOMONTH(Master_Data!H134,-1)+1</f>
        <v>45717</v>
      </c>
      <c r="H134" s="19">
        <f>IF(Master_Data!J134="","",EOMONTH(Master_Data!J134,-1)+1)</f>
        <v>45778</v>
      </c>
      <c r="I134" s="19">
        <f>IF(Master_Data!M134="","",EOMONTH(Master_Data!M134,-1)+1)</f>
        <v>45748</v>
      </c>
      <c r="J134" s="19">
        <f>IF(Master_Data!N134="","",EOMONTH(Master_Data!N134,-1)+1)</f>
        <v>45809</v>
      </c>
    </row>
    <row r="135" spans="1:10" ht="29">
      <c r="A135" s="2" t="str">
        <f>Master_Data!D135</f>
        <v>WLH/KEC/SIEC/RODENT REPELLENT SYSTEM/ELV/5TH FL/00</v>
      </c>
      <c r="B135" s="2" t="str">
        <f>Master_Data!B135</f>
        <v>MEP</v>
      </c>
      <c r="C135" s="18">
        <f>IF(Master_Data!H135="","",Master_Data!H135 - WEEKDAY(Master_Data!H135,2) + 1)</f>
        <v>45747</v>
      </c>
      <c r="D135" s="18">
        <f>IF(Master_Data!J135="","",Master_Data!J135 - WEEKDAY(Master_Data!J135,2) + 1)</f>
        <v>45838</v>
      </c>
      <c r="E135" s="18">
        <f>IF(Master_Data!M135="","",Master_Data!M135 - WEEKDAY(Master_Data!M135,2) + 1)</f>
        <v>45768</v>
      </c>
      <c r="F135" s="18">
        <f>IF(Master_Data!N135="","",Master_Data!N135 - WEEKDAY(Master_Data!N135,2) + 1)</f>
        <v>45943</v>
      </c>
      <c r="G135" s="19">
        <f>EOMONTH(Master_Data!H135,-1)+1</f>
        <v>45717</v>
      </c>
      <c r="H135" s="19">
        <f>IF(Master_Data!J135="","",EOMONTH(Master_Data!J135,-1)+1)</f>
        <v>45839</v>
      </c>
      <c r="I135" s="19">
        <f>IF(Master_Data!M135="","",EOMONTH(Master_Data!M135,-1)+1)</f>
        <v>45748</v>
      </c>
      <c r="J135" s="19">
        <f>IF(Master_Data!N135="","",EOMONTH(Master_Data!N135,-1)+1)</f>
        <v>45931</v>
      </c>
    </row>
    <row r="136" spans="1:10" ht="29">
      <c r="A136" s="2" t="str">
        <f>Master_Data!D136</f>
        <v>WLH/KEC/SIEC/RODENT REPELLENT SYSTEM/ELV/6TH FL/00</v>
      </c>
      <c r="B136" s="2" t="str">
        <f>Master_Data!B136</f>
        <v>MEP</v>
      </c>
      <c r="C136" s="18">
        <f>IF(Master_Data!H136="","",Master_Data!H136 - WEEKDAY(Master_Data!H136,2) + 1)</f>
        <v>45747</v>
      </c>
      <c r="D136" s="18">
        <f>IF(Master_Data!J136="","",Master_Data!J136 - WEEKDAY(Master_Data!J136,2) + 1)</f>
        <v>45845</v>
      </c>
      <c r="E136" s="18">
        <f>IF(Master_Data!M136="","",Master_Data!M136 - WEEKDAY(Master_Data!M136,2) + 1)</f>
        <v>45768</v>
      </c>
      <c r="F136" s="18">
        <f>IF(Master_Data!N136="","",Master_Data!N136 - WEEKDAY(Master_Data!N136,2) + 1)</f>
        <v>45943</v>
      </c>
      <c r="G136" s="19">
        <f>EOMONTH(Master_Data!H136,-1)+1</f>
        <v>45717</v>
      </c>
      <c r="H136" s="19">
        <f>IF(Master_Data!J136="","",EOMONTH(Master_Data!J136,-1)+1)</f>
        <v>45839</v>
      </c>
      <c r="I136" s="19">
        <f>IF(Master_Data!M136="","",EOMONTH(Master_Data!M136,-1)+1)</f>
        <v>45748</v>
      </c>
      <c r="J136" s="19">
        <f>IF(Master_Data!N136="","",EOMONTH(Master_Data!N136,-1)+1)</f>
        <v>45931</v>
      </c>
    </row>
    <row r="137" spans="1:10" ht="29">
      <c r="A137" s="2" t="str">
        <f>Master_Data!D137</f>
        <v>WLH/KEC/SIEC/RODENT REPELLENT SYSTEM/ELV/7TH FL/00</v>
      </c>
      <c r="B137" s="2" t="str">
        <f>Master_Data!B137</f>
        <v>MEP</v>
      </c>
      <c r="C137" s="18">
        <f>IF(Master_Data!H137="","",Master_Data!H137 - WEEKDAY(Master_Data!H137,2) + 1)</f>
        <v>45747</v>
      </c>
      <c r="D137" s="18">
        <f>IF(Master_Data!J137="","",Master_Data!J137 - WEEKDAY(Master_Data!J137,2) + 1)</f>
        <v>45894</v>
      </c>
      <c r="E137" s="18">
        <f>IF(Master_Data!M137="","",Master_Data!M137 - WEEKDAY(Master_Data!M137,2) + 1)</f>
        <v>45768</v>
      </c>
      <c r="F137" s="18">
        <f>IF(Master_Data!N137="","",Master_Data!N137 - WEEKDAY(Master_Data!N137,2) + 1)</f>
        <v>45943</v>
      </c>
      <c r="G137" s="19">
        <f>EOMONTH(Master_Data!H137,-1)+1</f>
        <v>45717</v>
      </c>
      <c r="H137" s="19">
        <f>IF(Master_Data!J137="","",EOMONTH(Master_Data!J137,-1)+1)</f>
        <v>45870</v>
      </c>
      <c r="I137" s="19">
        <f>IF(Master_Data!M137="","",EOMONTH(Master_Data!M137,-1)+1)</f>
        <v>45748</v>
      </c>
      <c r="J137" s="19">
        <f>IF(Master_Data!N137="","",EOMONTH(Master_Data!N137,-1)+1)</f>
        <v>45931</v>
      </c>
    </row>
    <row r="138" spans="1:10" ht="29">
      <c r="A138" s="2" t="str">
        <f>Master_Data!D138</f>
        <v>WLH/KEC/SIEC/RODENT REPELLENT SYSTEM/ELV/8TH FL/00</v>
      </c>
      <c r="B138" s="2" t="str">
        <f>Master_Data!B138</f>
        <v>MEP</v>
      </c>
      <c r="C138" s="18">
        <f>IF(Master_Data!H138="","",Master_Data!H138 - WEEKDAY(Master_Data!H138,2) + 1)</f>
        <v>45747</v>
      </c>
      <c r="D138" s="18">
        <f>IF(Master_Data!J138="","",Master_Data!J138 - WEEKDAY(Master_Data!J138,2) + 1)</f>
        <v>45894</v>
      </c>
      <c r="E138" s="18">
        <f>IF(Master_Data!M138="","",Master_Data!M138 - WEEKDAY(Master_Data!M138,2) + 1)</f>
        <v>45768</v>
      </c>
      <c r="F138" s="18">
        <f>IF(Master_Data!N138="","",Master_Data!N138 - WEEKDAY(Master_Data!N138,2) + 1)</f>
        <v>45957</v>
      </c>
      <c r="G138" s="19">
        <f>EOMONTH(Master_Data!H138,-1)+1</f>
        <v>45717</v>
      </c>
      <c r="H138" s="19">
        <f>IF(Master_Data!J138="","",EOMONTH(Master_Data!J138,-1)+1)</f>
        <v>45870</v>
      </c>
      <c r="I138" s="19">
        <f>IF(Master_Data!M138="","",EOMONTH(Master_Data!M138,-1)+1)</f>
        <v>45748</v>
      </c>
      <c r="J138" s="19">
        <f>IF(Master_Data!N138="","",EOMONTH(Master_Data!N138,-1)+1)</f>
        <v>45931</v>
      </c>
    </row>
    <row r="139" spans="1:10" ht="29">
      <c r="A139" s="2" t="str">
        <f>Master_Data!D139</f>
        <v>WLH/KEC/SIEC/RODENT REPELLENT SYSTEM/ELV/9TH FL/00</v>
      </c>
      <c r="B139" s="2" t="str">
        <f>Master_Data!B139</f>
        <v>MEP</v>
      </c>
      <c r="C139" s="18">
        <f>IF(Master_Data!H139="","",Master_Data!H139 - WEEKDAY(Master_Data!H139,2) + 1)</f>
        <v>45747</v>
      </c>
      <c r="D139" s="18">
        <f>IF(Master_Data!J139="","",Master_Data!J139 - WEEKDAY(Master_Data!J139,2) + 1)</f>
        <v>45859</v>
      </c>
      <c r="E139" s="18">
        <f>IF(Master_Data!M139="","",Master_Data!M139 - WEEKDAY(Master_Data!M139,2) + 1)</f>
        <v>45768</v>
      </c>
      <c r="F139" s="18">
        <f>IF(Master_Data!N139="","",Master_Data!N139 - WEEKDAY(Master_Data!N139,2) + 1)</f>
        <v>45845</v>
      </c>
      <c r="G139" s="19">
        <f>EOMONTH(Master_Data!H139,-1)+1</f>
        <v>45717</v>
      </c>
      <c r="H139" s="19">
        <f>IF(Master_Data!J139="","",EOMONTH(Master_Data!J139,-1)+1)</f>
        <v>45839</v>
      </c>
      <c r="I139" s="19">
        <f>IF(Master_Data!M139="","",EOMONTH(Master_Data!M139,-1)+1)</f>
        <v>45748</v>
      </c>
      <c r="J139" s="19">
        <f>IF(Master_Data!N139="","",EOMONTH(Master_Data!N139,-1)+1)</f>
        <v>45839</v>
      </c>
    </row>
    <row r="140" spans="1:10" ht="29">
      <c r="A140" s="2" t="str">
        <f>Master_Data!D140</f>
        <v>WLH/KEC/SIEC/RODENT REPELLENT SYSTEM/ELV/10TH FL/00</v>
      </c>
      <c r="B140" s="2" t="str">
        <f>Master_Data!B140</f>
        <v>MEP</v>
      </c>
      <c r="C140" s="18">
        <f>IF(Master_Data!H140="","",Master_Data!H140 - WEEKDAY(Master_Data!H140,2) + 1)</f>
        <v>45747</v>
      </c>
      <c r="D140" s="18">
        <f>IF(Master_Data!J140="","",Master_Data!J140 - WEEKDAY(Master_Data!J140,2) + 1)</f>
        <v>45908</v>
      </c>
      <c r="E140" s="18">
        <f>IF(Master_Data!M140="","",Master_Data!M140 - WEEKDAY(Master_Data!M140,2) + 1)</f>
        <v>45768</v>
      </c>
      <c r="F140" s="18">
        <f>IF(Master_Data!N140="","",Master_Data!N140 - WEEKDAY(Master_Data!N140,2) + 1)</f>
        <v>45943</v>
      </c>
      <c r="G140" s="19">
        <f>EOMONTH(Master_Data!H140,-1)+1</f>
        <v>45717</v>
      </c>
      <c r="H140" s="19">
        <f>IF(Master_Data!J140="","",EOMONTH(Master_Data!J140,-1)+1)</f>
        <v>45901</v>
      </c>
      <c r="I140" s="19">
        <f>IF(Master_Data!M140="","",EOMONTH(Master_Data!M140,-1)+1)</f>
        <v>45748</v>
      </c>
      <c r="J140" s="19">
        <f>IF(Master_Data!N140="","",EOMONTH(Master_Data!N140,-1)+1)</f>
        <v>45931</v>
      </c>
    </row>
    <row r="141" spans="1:10" ht="29">
      <c r="A141" s="2" t="str">
        <f>Master_Data!D141</f>
        <v>WLH/KEC/SIEC/RODENT REPELLENT SYSTEM/ELV/TERRACE FL/00</v>
      </c>
      <c r="B141" s="2" t="str">
        <f>Master_Data!B141</f>
        <v>MEP</v>
      </c>
      <c r="C141" s="18">
        <f>IF(Master_Data!H141="","",Master_Data!H141 - WEEKDAY(Master_Data!H141,2) + 1)</f>
        <v>45971</v>
      </c>
      <c r="D141" s="18">
        <f>IF(Master_Data!J141="","",Master_Data!J141 - WEEKDAY(Master_Data!J141,2) + 1)</f>
        <v>45971</v>
      </c>
      <c r="E141" s="18">
        <f>IF(Master_Data!M141="","",Master_Data!M141 - WEEKDAY(Master_Data!M141,2) + 1)</f>
        <v>45999</v>
      </c>
      <c r="F141" s="18">
        <f>IF(Master_Data!N141="","",Master_Data!N141 - WEEKDAY(Master_Data!N141,2) + 1)</f>
        <v>45943</v>
      </c>
      <c r="G141" s="19">
        <f>EOMONTH(Master_Data!H141,-1)+1</f>
        <v>45962</v>
      </c>
      <c r="H141" s="19">
        <f>IF(Master_Data!J141="","",EOMONTH(Master_Data!J141,-1)+1)</f>
        <v>45962</v>
      </c>
      <c r="I141" s="19">
        <f>IF(Master_Data!M141="","",EOMONTH(Master_Data!M141,-1)+1)</f>
        <v>45992</v>
      </c>
      <c r="J141" s="19">
        <f>IF(Master_Data!N141="","",EOMONTH(Master_Data!N141,-1)+1)</f>
        <v>45931</v>
      </c>
    </row>
    <row r="142" spans="1:10" ht="29">
      <c r="A142" s="2" t="str">
        <f>Master_Data!D142</f>
        <v>WLH/KEC/SIEC/RODENT REPELLENT SYSTEM SLD/ELV/00</v>
      </c>
      <c r="B142" s="2" t="str">
        <f>Master_Data!B142</f>
        <v>MEP</v>
      </c>
      <c r="C142" s="18">
        <f>IF(Master_Data!H142="","",Master_Data!H142 - WEEKDAY(Master_Data!H142,2) + 1)</f>
        <v>46006</v>
      </c>
      <c r="D142" s="18">
        <f>IF(Master_Data!J142="","",Master_Data!J142 - WEEKDAY(Master_Data!J142,2) + 1)</f>
        <v>46104</v>
      </c>
      <c r="E142" s="18">
        <f>IF(Master_Data!M142="","",Master_Data!M142 - WEEKDAY(Master_Data!M142,2) + 1)</f>
        <v>46027</v>
      </c>
      <c r="F142" s="18" t="str">
        <f>IF(Master_Data!N142="","",Master_Data!N142 - WEEKDAY(Master_Data!N142,2) + 1)</f>
        <v/>
      </c>
      <c r="G142" s="19">
        <f>EOMONTH(Master_Data!H142,-1)+1</f>
        <v>45992</v>
      </c>
      <c r="H142" s="19">
        <f>IF(Master_Data!J142="","",EOMONTH(Master_Data!J142,-1)+1)</f>
        <v>46082</v>
      </c>
      <c r="I142" s="19">
        <f>IF(Master_Data!M142="","",EOMONTH(Master_Data!M142,-1)+1)</f>
        <v>46023</v>
      </c>
      <c r="J142" s="19" t="str">
        <f>IF(Master_Data!N142="","",EOMONTH(Master_Data!N142,-1)+1)</f>
        <v/>
      </c>
    </row>
    <row r="143" spans="1:10">
      <c r="A143" s="2" t="str">
        <f>Master_Data!D143</f>
        <v>WLH/KEC/SIEC/ELV SLD/00</v>
      </c>
      <c r="B143" s="2" t="str">
        <f>Master_Data!B143</f>
        <v>MEP</v>
      </c>
      <c r="C143" s="18">
        <f>IF(Master_Data!H143="","",Master_Data!H143 - WEEKDAY(Master_Data!H143,2) + 1)</f>
        <v>45747</v>
      </c>
      <c r="D143" s="18">
        <f>IF(Master_Data!J143="","",Master_Data!J143 - WEEKDAY(Master_Data!J143,2) + 1)</f>
        <v>45747</v>
      </c>
      <c r="E143" s="18">
        <f>IF(Master_Data!M143="","",Master_Data!M143 - WEEKDAY(Master_Data!M143,2) + 1)</f>
        <v>45880</v>
      </c>
      <c r="F143" s="18" t="str">
        <f>IF(Master_Data!N143="","",Master_Data!N143 - WEEKDAY(Master_Data!N143,2) + 1)</f>
        <v/>
      </c>
      <c r="G143" s="19">
        <f>EOMONTH(Master_Data!H143,-1)+1</f>
        <v>45717</v>
      </c>
      <c r="H143" s="19">
        <f>IF(Master_Data!J143="","",EOMONTH(Master_Data!J143,-1)+1)</f>
        <v>45717</v>
      </c>
      <c r="I143" s="19">
        <f>IF(Master_Data!M143="","",EOMONTH(Master_Data!M143,-1)+1)</f>
        <v>45870</v>
      </c>
      <c r="J143" s="19" t="str">
        <f>IF(Master_Data!N143="","",EOMONTH(Master_Data!N143,-1)+1)</f>
        <v/>
      </c>
    </row>
    <row r="144" spans="1:10" ht="29">
      <c r="A144" s="2" t="str">
        <f>Master_Data!D144</f>
        <v>WLH/KEC/SIEC/ELV/NURSE CALLING SLD/00</v>
      </c>
      <c r="B144" s="2" t="str">
        <f>Master_Data!B144</f>
        <v>MEP</v>
      </c>
      <c r="C144" s="18">
        <f>IF(Master_Data!H144="","",Master_Data!H144 - WEEKDAY(Master_Data!H144,2) + 1)</f>
        <v>45747</v>
      </c>
      <c r="D144" s="18">
        <f>IF(Master_Data!J144="","",Master_Data!J144 - WEEKDAY(Master_Data!J144,2) + 1)</f>
        <v>45747</v>
      </c>
      <c r="E144" s="18">
        <f>IF(Master_Data!M144="","",Master_Data!M144 - WEEKDAY(Master_Data!M144,2) + 1)</f>
        <v>45880</v>
      </c>
      <c r="F144" s="18" t="str">
        <f>IF(Master_Data!N144="","",Master_Data!N144 - WEEKDAY(Master_Data!N144,2) + 1)</f>
        <v/>
      </c>
      <c r="G144" s="19">
        <f>EOMONTH(Master_Data!H144,-1)+1</f>
        <v>45717</v>
      </c>
      <c r="H144" s="19">
        <f>IF(Master_Data!J144="","",EOMONTH(Master_Data!J144,-1)+1)</f>
        <v>45717</v>
      </c>
      <c r="I144" s="19">
        <f>IF(Master_Data!M144="","",EOMONTH(Master_Data!M144,-1)+1)</f>
        <v>45870</v>
      </c>
      <c r="J144" s="19" t="str">
        <f>IF(Master_Data!N144="","",EOMONTH(Master_Data!N144,-1)+1)</f>
        <v/>
      </c>
    </row>
    <row r="145" spans="1:10" ht="29">
      <c r="A145" s="2" t="str">
        <f>Master_Data!D145</f>
        <v>WLH/KEC/SIEC/ELV/OPD CALLING SLD/00</v>
      </c>
      <c r="B145" s="2" t="str">
        <f>Master_Data!B145</f>
        <v>MEP</v>
      </c>
      <c r="C145" s="18">
        <f>IF(Master_Data!H145="","",Master_Data!H145 - WEEKDAY(Master_Data!H145,2) + 1)</f>
        <v>45747</v>
      </c>
      <c r="D145" s="18">
        <f>IF(Master_Data!J145="","",Master_Data!J145 - WEEKDAY(Master_Data!J145,2) + 1)</f>
        <v>45747</v>
      </c>
      <c r="E145" s="18">
        <f>IF(Master_Data!M145="","",Master_Data!M145 - WEEKDAY(Master_Data!M145,2) + 1)</f>
        <v>45880</v>
      </c>
      <c r="F145" s="18">
        <f>IF(Master_Data!N145="","",Master_Data!N145 - WEEKDAY(Master_Data!N145,2) + 1)</f>
        <v>46132</v>
      </c>
      <c r="G145" s="19">
        <f>EOMONTH(Master_Data!H145,-1)+1</f>
        <v>45717</v>
      </c>
      <c r="H145" s="19">
        <f>IF(Master_Data!J145="","",EOMONTH(Master_Data!J145,-1)+1)</f>
        <v>45717</v>
      </c>
      <c r="I145" s="19">
        <f>IF(Master_Data!M145="","",EOMONTH(Master_Data!M145,-1)+1)</f>
        <v>45870</v>
      </c>
      <c r="J145" s="19">
        <f>IF(Master_Data!N145="","",EOMONTH(Master_Data!N145,-1)+1)</f>
        <v>46113</v>
      </c>
    </row>
    <row r="146" spans="1:10" ht="29">
      <c r="A146" s="2" t="str">
        <f>Master_Data!D146</f>
        <v>WLH/KEC/SIEC/ELV/BMS IO SUMMARY &amp; SLD/00</v>
      </c>
      <c r="B146" s="2" t="str">
        <f>Master_Data!B146</f>
        <v>MEP</v>
      </c>
      <c r="C146" s="18">
        <f>IF(Master_Data!H146="","",Master_Data!H146 - WEEKDAY(Master_Data!H146,2) + 1)</f>
        <v>45747</v>
      </c>
      <c r="D146" s="18">
        <f>IF(Master_Data!J146="","",Master_Data!J146 - WEEKDAY(Master_Data!J146,2) + 1)</f>
        <v>45747</v>
      </c>
      <c r="E146" s="18">
        <f>IF(Master_Data!M146="","",Master_Data!M146 - WEEKDAY(Master_Data!M146,2) + 1)</f>
        <v>45880</v>
      </c>
      <c r="F146" s="18" t="str">
        <f>IF(Master_Data!N146="","",Master_Data!N146 - WEEKDAY(Master_Data!N146,2) + 1)</f>
        <v/>
      </c>
      <c r="G146" s="19">
        <f>EOMONTH(Master_Data!H146,-1)+1</f>
        <v>45717</v>
      </c>
      <c r="H146" s="19">
        <f>IF(Master_Data!J146="","",EOMONTH(Master_Data!J146,-1)+1)</f>
        <v>45717</v>
      </c>
      <c r="I146" s="19">
        <f>IF(Master_Data!M146="","",EOMONTH(Master_Data!M146,-1)+1)</f>
        <v>45870</v>
      </c>
      <c r="J146" s="19" t="str">
        <f>IF(Master_Data!N146="","",EOMONTH(Master_Data!N146,-1)+1)</f>
        <v/>
      </c>
    </row>
    <row r="147" spans="1:10">
      <c r="A147" s="2" t="str">
        <f>Master_Data!D147</f>
        <v>WLH/KEC/SIEC/ELV/CCTV SLD/00</v>
      </c>
      <c r="B147" s="2" t="str">
        <f>Master_Data!B147</f>
        <v>MEP</v>
      </c>
      <c r="C147" s="18">
        <f>IF(Master_Data!H147="","",Master_Data!H147 - WEEKDAY(Master_Data!H147,2) + 1)</f>
        <v>45747</v>
      </c>
      <c r="D147" s="18">
        <f>IF(Master_Data!J147="","",Master_Data!J147 - WEEKDAY(Master_Data!J147,2) + 1)</f>
        <v>45747</v>
      </c>
      <c r="E147" s="18">
        <f>IF(Master_Data!M147="","",Master_Data!M147 - WEEKDAY(Master_Data!M147,2) + 1)</f>
        <v>45880</v>
      </c>
      <c r="F147" s="18" t="str">
        <f>IF(Master_Data!N147="","",Master_Data!N147 - WEEKDAY(Master_Data!N147,2) + 1)</f>
        <v/>
      </c>
      <c r="G147" s="19">
        <f>EOMONTH(Master_Data!H147,-1)+1</f>
        <v>45717</v>
      </c>
      <c r="H147" s="19">
        <f>IF(Master_Data!J147="","",EOMONTH(Master_Data!J147,-1)+1)</f>
        <v>45717</v>
      </c>
      <c r="I147" s="19">
        <f>IF(Master_Data!M147="","",EOMONTH(Master_Data!M147,-1)+1)</f>
        <v>45870</v>
      </c>
      <c r="J147" s="19" t="str">
        <f>IF(Master_Data!N147="","",EOMONTH(Master_Data!N147,-1)+1)</f>
        <v/>
      </c>
    </row>
    <row r="148" spans="1:10" ht="29">
      <c r="A148" s="2" t="str">
        <f>Master_Data!D148</f>
        <v>WLH/KEC/SIEC/ACCESS CONTROL SCHEMATIC/ELV/BASEMENT/00</v>
      </c>
      <c r="B148" s="2" t="str">
        <f>Master_Data!B148</f>
        <v>MEP</v>
      </c>
      <c r="C148" s="18">
        <f>IF(Master_Data!H148="","",Master_Data!H148 - WEEKDAY(Master_Data!H148,2) + 1)</f>
        <v>45747</v>
      </c>
      <c r="D148" s="18">
        <f>IF(Master_Data!J148="","",Master_Data!J148 - WEEKDAY(Master_Data!J148,2) + 1)</f>
        <v>45747</v>
      </c>
      <c r="E148" s="18">
        <f>IF(Master_Data!M148="","",Master_Data!M148 - WEEKDAY(Master_Data!M148,2) + 1)</f>
        <v>45761</v>
      </c>
      <c r="F148" s="18">
        <f>IF(Master_Data!N148="","",Master_Data!N148 - WEEKDAY(Master_Data!N148,2) + 1)</f>
        <v>46132</v>
      </c>
      <c r="G148" s="19">
        <f>EOMONTH(Master_Data!H148,-1)+1</f>
        <v>45717</v>
      </c>
      <c r="H148" s="19">
        <f>IF(Master_Data!J148="","",EOMONTH(Master_Data!J148,-1)+1)</f>
        <v>45717</v>
      </c>
      <c r="I148" s="19">
        <f>IF(Master_Data!M148="","",EOMONTH(Master_Data!M148,-1)+1)</f>
        <v>45748</v>
      </c>
      <c r="J148" s="19">
        <f>IF(Master_Data!N148="","",EOMONTH(Master_Data!N148,-1)+1)</f>
        <v>46113</v>
      </c>
    </row>
    <row r="149" spans="1:10">
      <c r="A149" s="2" t="str">
        <f>Master_Data!D149</f>
        <v>WLH/KEC/SIEC/ELV/BASEMENT/00</v>
      </c>
      <c r="B149" s="2" t="str">
        <f>Master_Data!B149</f>
        <v>MEP</v>
      </c>
      <c r="C149" s="18">
        <f>IF(Master_Data!H149="","",Master_Data!H149 - WEEKDAY(Master_Data!H149,2) + 1)</f>
        <v>45747</v>
      </c>
      <c r="D149" s="18">
        <f>IF(Master_Data!J149="","",Master_Data!J149 - WEEKDAY(Master_Data!J149,2) + 1)</f>
        <v>45747</v>
      </c>
      <c r="E149" s="18">
        <f>IF(Master_Data!M149="","",Master_Data!M149 - WEEKDAY(Master_Data!M149,2) + 1)</f>
        <v>45761</v>
      </c>
      <c r="F149" s="18">
        <f>IF(Master_Data!N149="","",Master_Data!N149 - WEEKDAY(Master_Data!N149,2) + 1)</f>
        <v>45803</v>
      </c>
      <c r="G149" s="19">
        <f>EOMONTH(Master_Data!H149,-1)+1</f>
        <v>45717</v>
      </c>
      <c r="H149" s="19">
        <f>IF(Master_Data!J149="","",EOMONTH(Master_Data!J149,-1)+1)</f>
        <v>45748</v>
      </c>
      <c r="I149" s="19">
        <f>IF(Master_Data!M149="","",EOMONTH(Master_Data!M149,-1)+1)</f>
        <v>45748</v>
      </c>
      <c r="J149" s="19">
        <f>IF(Master_Data!N149="","",EOMONTH(Master_Data!N149,-1)+1)</f>
        <v>45778</v>
      </c>
    </row>
    <row r="150" spans="1:10" ht="29">
      <c r="A150" s="2" t="str">
        <f>Master_Data!D150</f>
        <v>WLH/KEC/SIEC/BMS SYSTEM/ELV/BASEMENT/00</v>
      </c>
      <c r="B150" s="2" t="str">
        <f>Master_Data!B150</f>
        <v>MEP</v>
      </c>
      <c r="C150" s="18">
        <f>IF(Master_Data!H150="","",Master_Data!H150 - WEEKDAY(Master_Data!H150,2) + 1)</f>
        <v>45747</v>
      </c>
      <c r="D150" s="18">
        <f>IF(Master_Data!J150="","",Master_Data!J150 - WEEKDAY(Master_Data!J150,2) + 1)</f>
        <v>45747</v>
      </c>
      <c r="E150" s="18">
        <f>IF(Master_Data!M150="","",Master_Data!M150 - WEEKDAY(Master_Data!M150,2) + 1)</f>
        <v>45761</v>
      </c>
      <c r="F150" s="18">
        <f>IF(Master_Data!N150="","",Master_Data!N150 - WEEKDAY(Master_Data!N150,2) + 1)</f>
        <v>45803</v>
      </c>
      <c r="G150" s="19">
        <f>EOMONTH(Master_Data!H150,-1)+1</f>
        <v>45717</v>
      </c>
      <c r="H150" s="19">
        <f>IF(Master_Data!J150="","",EOMONTH(Master_Data!J150,-1)+1)</f>
        <v>45748</v>
      </c>
      <c r="I150" s="19">
        <f>IF(Master_Data!M150="","",EOMONTH(Master_Data!M150,-1)+1)</f>
        <v>45748</v>
      </c>
      <c r="J150" s="19">
        <f>IF(Master_Data!N150="","",EOMONTH(Master_Data!N150,-1)+1)</f>
        <v>45778</v>
      </c>
    </row>
    <row r="151" spans="1:10" ht="29">
      <c r="A151" s="2" t="str">
        <f>Master_Data!D151</f>
        <v>WLH/KEC/SIEC/Heat map/ELV/BASEMENT/00</v>
      </c>
      <c r="B151" s="2" t="str">
        <f>Master_Data!B151</f>
        <v>MEP</v>
      </c>
      <c r="C151" s="18">
        <f>IF(Master_Data!H151="","",Master_Data!H151 - WEEKDAY(Master_Data!H151,2) + 1)</f>
        <v>45747</v>
      </c>
      <c r="D151" s="18">
        <f>IF(Master_Data!J151="","",Master_Data!J151 - WEEKDAY(Master_Data!J151,2) + 1)</f>
        <v>45747</v>
      </c>
      <c r="E151" s="18">
        <f>IF(Master_Data!M151="","",Master_Data!M151 - WEEKDAY(Master_Data!M151,2) + 1)</f>
        <v>45761</v>
      </c>
      <c r="F151" s="18">
        <f>IF(Master_Data!N151="","",Master_Data!N151 - WEEKDAY(Master_Data!N151,2) + 1)</f>
        <v>45803</v>
      </c>
      <c r="G151" s="19">
        <f>EOMONTH(Master_Data!H151,-1)+1</f>
        <v>45717</v>
      </c>
      <c r="H151" s="19">
        <f>IF(Master_Data!J151="","",EOMONTH(Master_Data!J151,-1)+1)</f>
        <v>45748</v>
      </c>
      <c r="I151" s="19">
        <f>IF(Master_Data!M151="","",EOMONTH(Master_Data!M151,-1)+1)</f>
        <v>45748</v>
      </c>
      <c r="J151" s="19">
        <f>IF(Master_Data!N151="","",EOMONTH(Master_Data!N151,-1)+1)</f>
        <v>45778</v>
      </c>
    </row>
    <row r="152" spans="1:10">
      <c r="A152" s="2" t="str">
        <f>Master_Data!D152</f>
        <v>WLH/KEC/SIEC/ELV/GF FL/00</v>
      </c>
      <c r="B152" s="2" t="str">
        <f>Master_Data!B152</f>
        <v>MEP</v>
      </c>
      <c r="C152" s="18">
        <f>IF(Master_Data!H152="","",Master_Data!H152 - WEEKDAY(Master_Data!H152,2) + 1)</f>
        <v>45747</v>
      </c>
      <c r="D152" s="18">
        <f>IF(Master_Data!J152="","",Master_Data!J152 - WEEKDAY(Master_Data!J152,2) + 1)</f>
        <v>45754</v>
      </c>
      <c r="E152" s="18">
        <f>IF(Master_Data!M152="","",Master_Data!M152 - WEEKDAY(Master_Data!M152,2) + 1)</f>
        <v>45761</v>
      </c>
      <c r="F152" s="18">
        <f>IF(Master_Data!N152="","",Master_Data!N152 - WEEKDAY(Master_Data!N152,2) + 1)</f>
        <v>45810</v>
      </c>
      <c r="G152" s="19">
        <f>EOMONTH(Master_Data!H152,-1)+1</f>
        <v>45717</v>
      </c>
      <c r="H152" s="19">
        <f>IF(Master_Data!J152="","",EOMONTH(Master_Data!J152,-1)+1)</f>
        <v>45748</v>
      </c>
      <c r="I152" s="19">
        <f>IF(Master_Data!M152="","",EOMONTH(Master_Data!M152,-1)+1)</f>
        <v>45748</v>
      </c>
      <c r="J152" s="19">
        <f>IF(Master_Data!N152="","",EOMONTH(Master_Data!N152,-1)+1)</f>
        <v>45809</v>
      </c>
    </row>
    <row r="153" spans="1:10" ht="29">
      <c r="A153" s="2" t="str">
        <f>Master_Data!D153</f>
        <v>WLH/KEC/SIEC/Heat map/ELV/GF FL/00</v>
      </c>
      <c r="B153" s="2" t="str">
        <f>Master_Data!B153</f>
        <v>MEP</v>
      </c>
      <c r="C153" s="18">
        <f>IF(Master_Data!H153="","",Master_Data!H153 - WEEKDAY(Master_Data!H153,2) + 1)</f>
        <v>45747</v>
      </c>
      <c r="D153" s="18">
        <f>IF(Master_Data!J153="","",Master_Data!J153 - WEEKDAY(Master_Data!J153,2) + 1)</f>
        <v>45754</v>
      </c>
      <c r="E153" s="18">
        <f>IF(Master_Data!M153="","",Master_Data!M153 - WEEKDAY(Master_Data!M153,2) + 1)</f>
        <v>45761</v>
      </c>
      <c r="F153" s="18">
        <f>IF(Master_Data!N153="","",Master_Data!N153 - WEEKDAY(Master_Data!N153,2) + 1)</f>
        <v>45810</v>
      </c>
      <c r="G153" s="19">
        <f>EOMONTH(Master_Data!H153,-1)+1</f>
        <v>45717</v>
      </c>
      <c r="H153" s="19">
        <f>IF(Master_Data!J153="","",EOMONTH(Master_Data!J153,-1)+1)</f>
        <v>45748</v>
      </c>
      <c r="I153" s="19">
        <f>IF(Master_Data!M153="","",EOMONTH(Master_Data!M153,-1)+1)</f>
        <v>45748</v>
      </c>
      <c r="J153" s="19">
        <f>IF(Master_Data!N153="","",EOMONTH(Master_Data!N153,-1)+1)</f>
        <v>45809</v>
      </c>
    </row>
    <row r="154" spans="1:10" ht="29">
      <c r="A154" s="2" t="str">
        <f>Master_Data!D154</f>
        <v>WLH/KEC/SIEC/BMS SYSTEM/ELV/GF FL/00</v>
      </c>
      <c r="B154" s="2" t="str">
        <f>Master_Data!B154</f>
        <v>MEP</v>
      </c>
      <c r="C154" s="18">
        <f>IF(Master_Data!H154="","",Master_Data!H154 - WEEKDAY(Master_Data!H154,2) + 1)</f>
        <v>45747</v>
      </c>
      <c r="D154" s="18">
        <f>IF(Master_Data!J154="","",Master_Data!J154 - WEEKDAY(Master_Data!J154,2) + 1)</f>
        <v>45754</v>
      </c>
      <c r="E154" s="18">
        <f>IF(Master_Data!M154="","",Master_Data!M154 - WEEKDAY(Master_Data!M154,2) + 1)</f>
        <v>45761</v>
      </c>
      <c r="F154" s="18">
        <f>IF(Master_Data!N154="","",Master_Data!N154 - WEEKDAY(Master_Data!N154,2) + 1)</f>
        <v>45810</v>
      </c>
      <c r="G154" s="19">
        <f>EOMONTH(Master_Data!H154,-1)+1</f>
        <v>45717</v>
      </c>
      <c r="H154" s="19">
        <f>IF(Master_Data!J154="","",EOMONTH(Master_Data!J154,-1)+1)</f>
        <v>45748</v>
      </c>
      <c r="I154" s="19">
        <f>IF(Master_Data!M154="","",EOMONTH(Master_Data!M154,-1)+1)</f>
        <v>45748</v>
      </c>
      <c r="J154" s="19">
        <f>IF(Master_Data!N154="","",EOMONTH(Master_Data!N154,-1)+1)</f>
        <v>45809</v>
      </c>
    </row>
    <row r="155" spans="1:10">
      <c r="A155" s="2" t="str">
        <f>Master_Data!D155</f>
        <v>WLH/KEC/SIEC/ELV/1ST FL/00</v>
      </c>
      <c r="B155" s="2" t="str">
        <f>Master_Data!B155</f>
        <v>MEP</v>
      </c>
      <c r="C155" s="18">
        <f>IF(Master_Data!H155="","",Master_Data!H155 - WEEKDAY(Master_Data!H155,2) + 1)</f>
        <v>45971</v>
      </c>
      <c r="D155" s="18">
        <f>IF(Master_Data!J155="","",Master_Data!J155 - WEEKDAY(Master_Data!J155,2) + 1)</f>
        <v>45971</v>
      </c>
      <c r="E155" s="18">
        <f>IF(Master_Data!M155="","",Master_Data!M155 - WEEKDAY(Master_Data!M155,2) + 1)</f>
        <v>45985</v>
      </c>
      <c r="F155" s="18">
        <f>IF(Master_Data!N155="","",Master_Data!N155 - WEEKDAY(Master_Data!N155,2) + 1)</f>
        <v>45992</v>
      </c>
      <c r="G155" s="19">
        <f>EOMONTH(Master_Data!H155,-1)+1</f>
        <v>45962</v>
      </c>
      <c r="H155" s="19">
        <f>IF(Master_Data!J155="","",EOMONTH(Master_Data!J155,-1)+1)</f>
        <v>45962</v>
      </c>
      <c r="I155" s="19">
        <f>IF(Master_Data!M155="","",EOMONTH(Master_Data!M155,-1)+1)</f>
        <v>45962</v>
      </c>
      <c r="J155" s="19">
        <f>IF(Master_Data!N155="","",EOMONTH(Master_Data!N155,-1)+1)</f>
        <v>45992</v>
      </c>
    </row>
    <row r="156" spans="1:10" ht="29">
      <c r="A156" s="2" t="str">
        <f>Master_Data!D156</f>
        <v>WLH/KEC/SIEC/Heat map/ELV/1ST FL/00</v>
      </c>
      <c r="B156" s="2" t="str">
        <f>Master_Data!B156</f>
        <v>MEP</v>
      </c>
      <c r="C156" s="18">
        <f>IF(Master_Data!H156="","",Master_Data!H156 - WEEKDAY(Master_Data!H156,2) + 1)</f>
        <v>45971</v>
      </c>
      <c r="D156" s="18">
        <f>IF(Master_Data!J156="","",Master_Data!J156 - WEEKDAY(Master_Data!J156,2) + 1)</f>
        <v>45971</v>
      </c>
      <c r="E156" s="18">
        <f>IF(Master_Data!M156="","",Master_Data!M156 - WEEKDAY(Master_Data!M156,2) + 1)</f>
        <v>45985</v>
      </c>
      <c r="F156" s="18">
        <f>IF(Master_Data!N156="","",Master_Data!N156 - WEEKDAY(Master_Data!N156,2) + 1)</f>
        <v>45992</v>
      </c>
      <c r="G156" s="19">
        <f>EOMONTH(Master_Data!H156,-1)+1</f>
        <v>45962</v>
      </c>
      <c r="H156" s="19">
        <f>IF(Master_Data!J156="","",EOMONTH(Master_Data!J156,-1)+1)</f>
        <v>45962</v>
      </c>
      <c r="I156" s="19">
        <f>IF(Master_Data!M156="","",EOMONTH(Master_Data!M156,-1)+1)</f>
        <v>45962</v>
      </c>
      <c r="J156" s="19">
        <f>IF(Master_Data!N156="","",EOMONTH(Master_Data!N156,-1)+1)</f>
        <v>45992</v>
      </c>
    </row>
    <row r="157" spans="1:10" ht="29">
      <c r="A157" s="2" t="str">
        <f>Master_Data!D157</f>
        <v>WLH/KEC/SIEC/BMS SYSTEM/ELV/1ST FL/00</v>
      </c>
      <c r="B157" s="2" t="str">
        <f>Master_Data!B157</f>
        <v>MEP</v>
      </c>
      <c r="C157" s="18">
        <f>IF(Master_Data!H157="","",Master_Data!H157 - WEEKDAY(Master_Data!H157,2) + 1)</f>
        <v>45971</v>
      </c>
      <c r="D157" s="18">
        <f>IF(Master_Data!J157="","",Master_Data!J157 - WEEKDAY(Master_Data!J157,2) + 1)</f>
        <v>45971</v>
      </c>
      <c r="E157" s="18">
        <f>IF(Master_Data!M157="","",Master_Data!M157 - WEEKDAY(Master_Data!M157,2) + 1)</f>
        <v>45985</v>
      </c>
      <c r="F157" s="18">
        <f>IF(Master_Data!N157="","",Master_Data!N157 - WEEKDAY(Master_Data!N157,2) + 1)</f>
        <v>45992</v>
      </c>
      <c r="G157" s="19">
        <f>EOMONTH(Master_Data!H157,-1)+1</f>
        <v>45962</v>
      </c>
      <c r="H157" s="19">
        <f>IF(Master_Data!J157="","",EOMONTH(Master_Data!J157,-1)+1)</f>
        <v>45962</v>
      </c>
      <c r="I157" s="19">
        <f>IF(Master_Data!M157="","",EOMONTH(Master_Data!M157,-1)+1)</f>
        <v>45962</v>
      </c>
      <c r="J157" s="19">
        <f>IF(Master_Data!N157="","",EOMONTH(Master_Data!N157,-1)+1)</f>
        <v>45992</v>
      </c>
    </row>
    <row r="158" spans="1:10">
      <c r="A158" s="2" t="str">
        <f>Master_Data!D158</f>
        <v>WLH/KEC/SIEC/ELV/2ND FL/00</v>
      </c>
      <c r="B158" s="2" t="str">
        <f>Master_Data!B158</f>
        <v>MEP</v>
      </c>
      <c r="C158" s="18">
        <f>IF(Master_Data!H158="","",Master_Data!H158 - WEEKDAY(Master_Data!H158,2) + 1)</f>
        <v>45957</v>
      </c>
      <c r="D158" s="18">
        <f>IF(Master_Data!J158="","",Master_Data!J158 - WEEKDAY(Master_Data!J158,2) + 1)</f>
        <v>45964</v>
      </c>
      <c r="E158" s="18">
        <f>IF(Master_Data!M158="","",Master_Data!M158 - WEEKDAY(Master_Data!M158,2) + 1)</f>
        <v>45971</v>
      </c>
      <c r="F158" s="18">
        <f>IF(Master_Data!N158="","",Master_Data!N158 - WEEKDAY(Master_Data!N158,2) + 1)</f>
        <v>45992</v>
      </c>
      <c r="G158" s="19">
        <f>EOMONTH(Master_Data!H158,-1)+1</f>
        <v>45931</v>
      </c>
      <c r="H158" s="19">
        <f>IF(Master_Data!J158="","",EOMONTH(Master_Data!J158,-1)+1)</f>
        <v>45962</v>
      </c>
      <c r="I158" s="19">
        <f>IF(Master_Data!M158="","",EOMONTH(Master_Data!M158,-1)+1)</f>
        <v>45962</v>
      </c>
      <c r="J158" s="19">
        <f>IF(Master_Data!N158="","",EOMONTH(Master_Data!N158,-1)+1)</f>
        <v>45992</v>
      </c>
    </row>
    <row r="159" spans="1:10" ht="29">
      <c r="A159" s="2" t="str">
        <f>Master_Data!D159</f>
        <v>WLH/KEC/SIEC/Heat map/ELV/2ND FL/00</v>
      </c>
      <c r="B159" s="2" t="str">
        <f>Master_Data!B159</f>
        <v>MEP</v>
      </c>
      <c r="C159" s="18">
        <f>IF(Master_Data!H159="","",Master_Data!H159 - WEEKDAY(Master_Data!H159,2) + 1)</f>
        <v>45957</v>
      </c>
      <c r="D159" s="18">
        <f>IF(Master_Data!J159="","",Master_Data!J159 - WEEKDAY(Master_Data!J159,2) + 1)</f>
        <v>45964</v>
      </c>
      <c r="E159" s="18">
        <f>IF(Master_Data!M159="","",Master_Data!M159 - WEEKDAY(Master_Data!M159,2) + 1)</f>
        <v>45971</v>
      </c>
      <c r="F159" s="18">
        <f>IF(Master_Data!N159="","",Master_Data!N159 - WEEKDAY(Master_Data!N159,2) + 1)</f>
        <v>45992</v>
      </c>
      <c r="G159" s="19">
        <f>EOMONTH(Master_Data!H159,-1)+1</f>
        <v>45931</v>
      </c>
      <c r="H159" s="19">
        <f>IF(Master_Data!J159="","",EOMONTH(Master_Data!J159,-1)+1)</f>
        <v>45962</v>
      </c>
      <c r="I159" s="19">
        <f>IF(Master_Data!M159="","",EOMONTH(Master_Data!M159,-1)+1)</f>
        <v>45962</v>
      </c>
      <c r="J159" s="19">
        <f>IF(Master_Data!N159="","",EOMONTH(Master_Data!N159,-1)+1)</f>
        <v>45992</v>
      </c>
    </row>
    <row r="160" spans="1:10" ht="29">
      <c r="A160" s="2" t="str">
        <f>Master_Data!D160</f>
        <v>WLH/KEC/SIEC/BMS SYSTEM/ELV/2ND FL/00</v>
      </c>
      <c r="B160" s="2" t="str">
        <f>Master_Data!B160</f>
        <v>MEP</v>
      </c>
      <c r="C160" s="18">
        <f>IF(Master_Data!H160="","",Master_Data!H160 - WEEKDAY(Master_Data!H160,2) + 1)</f>
        <v>45957</v>
      </c>
      <c r="D160" s="18">
        <f>IF(Master_Data!J160="","",Master_Data!J160 - WEEKDAY(Master_Data!J160,2) + 1)</f>
        <v>45964</v>
      </c>
      <c r="E160" s="18">
        <f>IF(Master_Data!M160="","",Master_Data!M160 - WEEKDAY(Master_Data!M160,2) + 1)</f>
        <v>45971</v>
      </c>
      <c r="F160" s="18">
        <f>IF(Master_Data!N160="","",Master_Data!N160 - WEEKDAY(Master_Data!N160,2) + 1)</f>
        <v>45992</v>
      </c>
      <c r="G160" s="19">
        <f>EOMONTH(Master_Data!H160,-1)+1</f>
        <v>45931</v>
      </c>
      <c r="H160" s="19">
        <f>IF(Master_Data!J160="","",EOMONTH(Master_Data!J160,-1)+1)</f>
        <v>45962</v>
      </c>
      <c r="I160" s="19">
        <f>IF(Master_Data!M160="","",EOMONTH(Master_Data!M160,-1)+1)</f>
        <v>45962</v>
      </c>
      <c r="J160" s="19">
        <f>IF(Master_Data!N160="","",EOMONTH(Master_Data!N160,-1)+1)</f>
        <v>45992</v>
      </c>
    </row>
    <row r="161" spans="1:10">
      <c r="A161" s="2" t="str">
        <f>Master_Data!D161</f>
        <v>WLH/KEC/SIEC/ELV/3RD FL/00</v>
      </c>
      <c r="B161" s="2" t="str">
        <f>Master_Data!B161</f>
        <v>MEP</v>
      </c>
      <c r="C161" s="18">
        <f>IF(Master_Data!H161="","",Master_Data!H161 - WEEKDAY(Master_Data!H161,2) + 1)</f>
        <v>45950</v>
      </c>
      <c r="D161" s="18">
        <f>IF(Master_Data!J161="","",Master_Data!J161 - WEEKDAY(Master_Data!J161,2) + 1)</f>
        <v>45957</v>
      </c>
      <c r="E161" s="18">
        <f>IF(Master_Data!M161="","",Master_Data!M161 - WEEKDAY(Master_Data!M161,2) + 1)</f>
        <v>45964</v>
      </c>
      <c r="F161" s="18">
        <f>IF(Master_Data!N161="","",Master_Data!N161 - WEEKDAY(Master_Data!N161,2) + 1)</f>
        <v>45992</v>
      </c>
      <c r="G161" s="19">
        <f>EOMONTH(Master_Data!H161,-1)+1</f>
        <v>45931</v>
      </c>
      <c r="H161" s="19">
        <f>IF(Master_Data!J161="","",EOMONTH(Master_Data!J161,-1)+1)</f>
        <v>45931</v>
      </c>
      <c r="I161" s="19">
        <f>IF(Master_Data!M161="","",EOMONTH(Master_Data!M161,-1)+1)</f>
        <v>45962</v>
      </c>
      <c r="J161" s="19">
        <f>IF(Master_Data!N161="","",EOMONTH(Master_Data!N161,-1)+1)</f>
        <v>45992</v>
      </c>
    </row>
    <row r="162" spans="1:10" ht="29">
      <c r="A162" s="2" t="str">
        <f>Master_Data!D162</f>
        <v>WLH/KEC/SIEC/Heat map/ELV/3RD FL/00</v>
      </c>
      <c r="B162" s="2" t="str">
        <f>Master_Data!B162</f>
        <v>MEP</v>
      </c>
      <c r="C162" s="18">
        <f>IF(Master_Data!H162="","",Master_Data!H162 - WEEKDAY(Master_Data!H162,2) + 1)</f>
        <v>45950</v>
      </c>
      <c r="D162" s="18">
        <f>IF(Master_Data!J162="","",Master_Data!J162 - WEEKDAY(Master_Data!J162,2) + 1)</f>
        <v>45957</v>
      </c>
      <c r="E162" s="18">
        <f>IF(Master_Data!M162="","",Master_Data!M162 - WEEKDAY(Master_Data!M162,2) + 1)</f>
        <v>45964</v>
      </c>
      <c r="F162" s="18">
        <f>IF(Master_Data!N162="","",Master_Data!N162 - WEEKDAY(Master_Data!N162,2) + 1)</f>
        <v>45992</v>
      </c>
      <c r="G162" s="19">
        <f>EOMONTH(Master_Data!H162,-1)+1</f>
        <v>45931</v>
      </c>
      <c r="H162" s="19">
        <f>IF(Master_Data!J162="","",EOMONTH(Master_Data!J162,-1)+1)</f>
        <v>45931</v>
      </c>
      <c r="I162" s="19">
        <f>IF(Master_Data!M162="","",EOMONTH(Master_Data!M162,-1)+1)</f>
        <v>45962</v>
      </c>
      <c r="J162" s="19">
        <f>IF(Master_Data!N162="","",EOMONTH(Master_Data!N162,-1)+1)</f>
        <v>45992</v>
      </c>
    </row>
    <row r="163" spans="1:10" ht="29">
      <c r="A163" s="2" t="str">
        <f>Master_Data!D163</f>
        <v>WLH/KEC/SIEC/BMS SYSTEM/ELV/3RD FL/00</v>
      </c>
      <c r="B163" s="2" t="str">
        <f>Master_Data!B163</f>
        <v>MEP</v>
      </c>
      <c r="C163" s="18">
        <f>IF(Master_Data!H163="","",Master_Data!H163 - WEEKDAY(Master_Data!H163,2) + 1)</f>
        <v>45950</v>
      </c>
      <c r="D163" s="18">
        <f>IF(Master_Data!J163="","",Master_Data!J163 - WEEKDAY(Master_Data!J163,2) + 1)</f>
        <v>45957</v>
      </c>
      <c r="E163" s="18">
        <f>IF(Master_Data!M163="","",Master_Data!M163 - WEEKDAY(Master_Data!M163,2) + 1)</f>
        <v>45964</v>
      </c>
      <c r="F163" s="18">
        <f>IF(Master_Data!N163="","",Master_Data!N163 - WEEKDAY(Master_Data!N163,2) + 1)</f>
        <v>45992</v>
      </c>
      <c r="G163" s="19">
        <f>EOMONTH(Master_Data!H163,-1)+1</f>
        <v>45931</v>
      </c>
      <c r="H163" s="19">
        <f>IF(Master_Data!J163="","",EOMONTH(Master_Data!J163,-1)+1)</f>
        <v>45931</v>
      </c>
      <c r="I163" s="19">
        <f>IF(Master_Data!M163="","",EOMONTH(Master_Data!M163,-1)+1)</f>
        <v>45962</v>
      </c>
      <c r="J163" s="19">
        <f>IF(Master_Data!N163="","",EOMONTH(Master_Data!N163,-1)+1)</f>
        <v>45992</v>
      </c>
    </row>
    <row r="164" spans="1:10">
      <c r="A164" s="2" t="str">
        <f>Master_Data!D164</f>
        <v>WLH/KEC/SIEC/ELV/4TH FL/00</v>
      </c>
      <c r="B164" s="2" t="str">
        <f>Master_Data!B164</f>
        <v>MEP</v>
      </c>
      <c r="C164" s="18">
        <f>IF(Master_Data!H164="","",Master_Data!H164 - WEEKDAY(Master_Data!H164,2) + 1)</f>
        <v>45775</v>
      </c>
      <c r="D164" s="18">
        <f>IF(Master_Data!J164="","",Master_Data!J164 - WEEKDAY(Master_Data!J164,2) + 1)</f>
        <v>45796</v>
      </c>
      <c r="E164" s="18">
        <f>IF(Master_Data!M164="","",Master_Data!M164 - WEEKDAY(Master_Data!M164,2) + 1)</f>
        <v>45803</v>
      </c>
      <c r="F164" s="18">
        <f>IF(Master_Data!N164="","",Master_Data!N164 - WEEKDAY(Master_Data!N164,2) + 1)</f>
        <v>45810</v>
      </c>
      <c r="G164" s="19">
        <f>EOMONTH(Master_Data!H164,-1)+1</f>
        <v>45748</v>
      </c>
      <c r="H164" s="19">
        <f>IF(Master_Data!J164="","",EOMONTH(Master_Data!J164,-1)+1)</f>
        <v>45778</v>
      </c>
      <c r="I164" s="19">
        <f>IF(Master_Data!M164="","",EOMONTH(Master_Data!M164,-1)+1)</f>
        <v>45809</v>
      </c>
      <c r="J164" s="19">
        <f>IF(Master_Data!N164="","",EOMONTH(Master_Data!N164,-1)+1)</f>
        <v>45809</v>
      </c>
    </row>
    <row r="165" spans="1:10" ht="29">
      <c r="A165" s="2" t="str">
        <f>Master_Data!D165</f>
        <v>WLH/KEC/SIEC/Heat map/ELV/4TH FL/00</v>
      </c>
      <c r="B165" s="2" t="str">
        <f>Master_Data!B165</f>
        <v>MEP</v>
      </c>
      <c r="C165" s="18">
        <f>IF(Master_Data!H165="","",Master_Data!H165 - WEEKDAY(Master_Data!H165,2) + 1)</f>
        <v>45789</v>
      </c>
      <c r="D165" s="18">
        <f>IF(Master_Data!J165="","",Master_Data!J165 - WEEKDAY(Master_Data!J165,2) + 1)</f>
        <v>45796</v>
      </c>
      <c r="E165" s="18">
        <f>IF(Master_Data!M165="","",Master_Data!M165 - WEEKDAY(Master_Data!M165,2) + 1)</f>
        <v>45803</v>
      </c>
      <c r="F165" s="18">
        <f>IF(Master_Data!N165="","",Master_Data!N165 - WEEKDAY(Master_Data!N165,2) + 1)</f>
        <v>45810</v>
      </c>
      <c r="G165" s="19">
        <f>EOMONTH(Master_Data!H165,-1)+1</f>
        <v>45778</v>
      </c>
      <c r="H165" s="19">
        <f>IF(Master_Data!J165="","",EOMONTH(Master_Data!J165,-1)+1)</f>
        <v>45778</v>
      </c>
      <c r="I165" s="19">
        <f>IF(Master_Data!M165="","",EOMONTH(Master_Data!M165,-1)+1)</f>
        <v>45809</v>
      </c>
      <c r="J165" s="19">
        <f>IF(Master_Data!N165="","",EOMONTH(Master_Data!N165,-1)+1)</f>
        <v>45809</v>
      </c>
    </row>
    <row r="166" spans="1:10" ht="29">
      <c r="A166" s="2" t="str">
        <f>Master_Data!D166</f>
        <v>WLH/KEC/SIEC/BMS SYSTEM/ELV/4TH FL/00</v>
      </c>
      <c r="B166" s="2" t="str">
        <f>Master_Data!B166</f>
        <v>MEP</v>
      </c>
      <c r="C166" s="18">
        <f>IF(Master_Data!H166="","",Master_Data!H166 - WEEKDAY(Master_Data!H166,2) + 1)</f>
        <v>45789</v>
      </c>
      <c r="D166" s="18">
        <f>IF(Master_Data!J166="","",Master_Data!J166 - WEEKDAY(Master_Data!J166,2) + 1)</f>
        <v>45796</v>
      </c>
      <c r="E166" s="18">
        <f>IF(Master_Data!M166="","",Master_Data!M166 - WEEKDAY(Master_Data!M166,2) + 1)</f>
        <v>45803</v>
      </c>
      <c r="F166" s="18">
        <f>IF(Master_Data!N166="","",Master_Data!N166 - WEEKDAY(Master_Data!N166,2) + 1)</f>
        <v>45810</v>
      </c>
      <c r="G166" s="19">
        <f>EOMONTH(Master_Data!H166,-1)+1</f>
        <v>45778</v>
      </c>
      <c r="H166" s="19">
        <f>IF(Master_Data!J166="","",EOMONTH(Master_Data!J166,-1)+1)</f>
        <v>45778</v>
      </c>
      <c r="I166" s="19">
        <f>IF(Master_Data!M166="","",EOMONTH(Master_Data!M166,-1)+1)</f>
        <v>45809</v>
      </c>
      <c r="J166" s="19">
        <f>IF(Master_Data!N166="","",EOMONTH(Master_Data!N166,-1)+1)</f>
        <v>45809</v>
      </c>
    </row>
    <row r="167" spans="1:10">
      <c r="A167" s="2" t="str">
        <f>Master_Data!D167</f>
        <v>WLH/KEC/SIEC/ELV/5TH FL/00</v>
      </c>
      <c r="B167" s="2" t="str">
        <f>Master_Data!B167</f>
        <v>MEP</v>
      </c>
      <c r="C167" s="18">
        <f>IF(Master_Data!H167="","",Master_Data!H167 - WEEKDAY(Master_Data!H167,2) + 1)</f>
        <v>45789</v>
      </c>
      <c r="D167" s="18">
        <f>IF(Master_Data!J167="","",Master_Data!J167 - WEEKDAY(Master_Data!J167,2) + 1)</f>
        <v>45838</v>
      </c>
      <c r="E167" s="18">
        <f>IF(Master_Data!M167="","",Master_Data!M167 - WEEKDAY(Master_Data!M167,2) + 1)</f>
        <v>45817</v>
      </c>
      <c r="F167" s="18">
        <f>IF(Master_Data!N167="","",Master_Data!N167 - WEEKDAY(Master_Data!N167,2) + 1)</f>
        <v>45943</v>
      </c>
      <c r="G167" s="19">
        <f>EOMONTH(Master_Data!H167,-1)+1</f>
        <v>45778</v>
      </c>
      <c r="H167" s="19">
        <f>IF(Master_Data!J167="","",EOMONTH(Master_Data!J167,-1)+1)</f>
        <v>45839</v>
      </c>
      <c r="I167" s="19">
        <f>IF(Master_Data!M167="","",EOMONTH(Master_Data!M167,-1)+1)</f>
        <v>45809</v>
      </c>
      <c r="J167" s="19">
        <f>IF(Master_Data!N167="","",EOMONTH(Master_Data!N167,-1)+1)</f>
        <v>45931</v>
      </c>
    </row>
    <row r="168" spans="1:10" ht="29">
      <c r="A168" s="2" t="str">
        <f>Master_Data!D168</f>
        <v>WLH/KEC/SIEC/Heat map/ELV/5TH FL/00</v>
      </c>
      <c r="B168" s="2" t="str">
        <f>Master_Data!B168</f>
        <v>MEP</v>
      </c>
      <c r="C168" s="18">
        <f>IF(Master_Data!H168="","",Master_Data!H168 - WEEKDAY(Master_Data!H168,2) + 1)</f>
        <v>45789</v>
      </c>
      <c r="D168" s="18">
        <f>IF(Master_Data!J168="","",Master_Data!J168 - WEEKDAY(Master_Data!J168,2) + 1)</f>
        <v>45838</v>
      </c>
      <c r="E168" s="18">
        <f>IF(Master_Data!M168="","",Master_Data!M168 - WEEKDAY(Master_Data!M168,2) + 1)</f>
        <v>45817</v>
      </c>
      <c r="F168" s="18">
        <f>IF(Master_Data!N168="","",Master_Data!N168 - WEEKDAY(Master_Data!N168,2) + 1)</f>
        <v>45943</v>
      </c>
      <c r="G168" s="19">
        <f>EOMONTH(Master_Data!H168,-1)+1</f>
        <v>45778</v>
      </c>
      <c r="H168" s="19">
        <f>IF(Master_Data!J168="","",EOMONTH(Master_Data!J168,-1)+1)</f>
        <v>45839</v>
      </c>
      <c r="I168" s="19">
        <f>IF(Master_Data!M168="","",EOMONTH(Master_Data!M168,-1)+1)</f>
        <v>45809</v>
      </c>
      <c r="J168" s="19">
        <f>IF(Master_Data!N168="","",EOMONTH(Master_Data!N168,-1)+1)</f>
        <v>45931</v>
      </c>
    </row>
    <row r="169" spans="1:10" ht="29">
      <c r="A169" s="2" t="str">
        <f>Master_Data!D169</f>
        <v>WLH/KEC/SIEC/BMS SYSTEM/ELV/5TH FL/00</v>
      </c>
      <c r="B169" s="2" t="str">
        <f>Master_Data!B169</f>
        <v>MEP</v>
      </c>
      <c r="C169" s="18">
        <f>IF(Master_Data!H169="","",Master_Data!H169 - WEEKDAY(Master_Data!H169,2) + 1)</f>
        <v>45789</v>
      </c>
      <c r="D169" s="18">
        <f>IF(Master_Data!J169="","",Master_Data!J169 - WEEKDAY(Master_Data!J169,2) + 1)</f>
        <v>45838</v>
      </c>
      <c r="E169" s="18">
        <f>IF(Master_Data!M169="","",Master_Data!M169 - WEEKDAY(Master_Data!M169,2) + 1)</f>
        <v>45817</v>
      </c>
      <c r="F169" s="18">
        <f>IF(Master_Data!N169="","",Master_Data!N169 - WEEKDAY(Master_Data!N169,2) + 1)</f>
        <v>45943</v>
      </c>
      <c r="G169" s="19">
        <f>EOMONTH(Master_Data!H169,-1)+1</f>
        <v>45778</v>
      </c>
      <c r="H169" s="19">
        <f>IF(Master_Data!J169="","",EOMONTH(Master_Data!J169,-1)+1)</f>
        <v>45839</v>
      </c>
      <c r="I169" s="19">
        <f>IF(Master_Data!M169="","",EOMONTH(Master_Data!M169,-1)+1)</f>
        <v>45809</v>
      </c>
      <c r="J169" s="19">
        <f>IF(Master_Data!N169="","",EOMONTH(Master_Data!N169,-1)+1)</f>
        <v>45931</v>
      </c>
    </row>
    <row r="170" spans="1:10">
      <c r="A170" s="2" t="str">
        <f>Master_Data!D170</f>
        <v>WLH/KEC/SIEC/ELV/6TH FL/00</v>
      </c>
      <c r="B170" s="2" t="str">
        <f>Master_Data!B170</f>
        <v>MEP</v>
      </c>
      <c r="C170" s="18">
        <f>IF(Master_Data!H170="","",Master_Data!H170 - WEEKDAY(Master_Data!H170,2) + 1)</f>
        <v>45803</v>
      </c>
      <c r="D170" s="18">
        <f>IF(Master_Data!J170="","",Master_Data!J170 - WEEKDAY(Master_Data!J170,2) + 1)</f>
        <v>45845</v>
      </c>
      <c r="E170" s="18">
        <f>IF(Master_Data!M170="","",Master_Data!M170 - WEEKDAY(Master_Data!M170,2) + 1)</f>
        <v>45838</v>
      </c>
      <c r="F170" s="18">
        <f>IF(Master_Data!N170="","",Master_Data!N170 - WEEKDAY(Master_Data!N170,2) + 1)</f>
        <v>45943</v>
      </c>
      <c r="G170" s="19">
        <f>EOMONTH(Master_Data!H170,-1)+1</f>
        <v>45778</v>
      </c>
      <c r="H170" s="19">
        <f>IF(Master_Data!J170="","",EOMONTH(Master_Data!J170,-1)+1)</f>
        <v>45839</v>
      </c>
      <c r="I170" s="19">
        <f>IF(Master_Data!M170="","",EOMONTH(Master_Data!M170,-1)+1)</f>
        <v>45839</v>
      </c>
      <c r="J170" s="19">
        <f>IF(Master_Data!N170="","",EOMONTH(Master_Data!N170,-1)+1)</f>
        <v>45931</v>
      </c>
    </row>
    <row r="171" spans="1:10" ht="29">
      <c r="A171" s="2" t="str">
        <f>Master_Data!D171</f>
        <v>WLH/KEC/SIEC/Heat map/ELV/6TH FL/00</v>
      </c>
      <c r="B171" s="2" t="str">
        <f>Master_Data!B171</f>
        <v>MEP</v>
      </c>
      <c r="C171" s="18">
        <f>IF(Master_Data!H171="","",Master_Data!H171 - WEEKDAY(Master_Data!H171,2) + 1)</f>
        <v>45803</v>
      </c>
      <c r="D171" s="18">
        <f>IF(Master_Data!J171="","",Master_Data!J171 - WEEKDAY(Master_Data!J171,2) + 1)</f>
        <v>45845</v>
      </c>
      <c r="E171" s="18">
        <f>IF(Master_Data!M171="","",Master_Data!M171 - WEEKDAY(Master_Data!M171,2) + 1)</f>
        <v>45838</v>
      </c>
      <c r="F171" s="18">
        <f>IF(Master_Data!N171="","",Master_Data!N171 - WEEKDAY(Master_Data!N171,2) + 1)</f>
        <v>45943</v>
      </c>
      <c r="G171" s="19">
        <f>EOMONTH(Master_Data!H171,-1)+1</f>
        <v>45778</v>
      </c>
      <c r="H171" s="19">
        <f>IF(Master_Data!J171="","",EOMONTH(Master_Data!J171,-1)+1)</f>
        <v>45839</v>
      </c>
      <c r="I171" s="19">
        <f>IF(Master_Data!M171="","",EOMONTH(Master_Data!M171,-1)+1)</f>
        <v>45839</v>
      </c>
      <c r="J171" s="19">
        <f>IF(Master_Data!N171="","",EOMONTH(Master_Data!N171,-1)+1)</f>
        <v>45931</v>
      </c>
    </row>
    <row r="172" spans="1:10" ht="29">
      <c r="A172" s="2" t="str">
        <f>Master_Data!D172</f>
        <v>WLH/KEC/SIEC/BMS SYSTEM/ELV/6TH FL/00</v>
      </c>
      <c r="B172" s="2" t="str">
        <f>Master_Data!B172</f>
        <v>MEP</v>
      </c>
      <c r="C172" s="18">
        <f>IF(Master_Data!H172="","",Master_Data!H172 - WEEKDAY(Master_Data!H172,2) + 1)</f>
        <v>45803</v>
      </c>
      <c r="D172" s="18">
        <f>IF(Master_Data!J172="","",Master_Data!J172 - WEEKDAY(Master_Data!J172,2) + 1)</f>
        <v>45845</v>
      </c>
      <c r="E172" s="18">
        <f>IF(Master_Data!M172="","",Master_Data!M172 - WEEKDAY(Master_Data!M172,2) + 1)</f>
        <v>45838</v>
      </c>
      <c r="F172" s="18">
        <f>IF(Master_Data!N172="","",Master_Data!N172 - WEEKDAY(Master_Data!N172,2) + 1)</f>
        <v>45943</v>
      </c>
      <c r="G172" s="19">
        <f>EOMONTH(Master_Data!H172,-1)+1</f>
        <v>45778</v>
      </c>
      <c r="H172" s="19">
        <f>IF(Master_Data!J172="","",EOMONTH(Master_Data!J172,-1)+1)</f>
        <v>45839</v>
      </c>
      <c r="I172" s="19">
        <f>IF(Master_Data!M172="","",EOMONTH(Master_Data!M172,-1)+1)</f>
        <v>45839</v>
      </c>
      <c r="J172" s="19">
        <f>IF(Master_Data!N172="","",EOMONTH(Master_Data!N172,-1)+1)</f>
        <v>45931</v>
      </c>
    </row>
    <row r="173" spans="1:10">
      <c r="A173" s="2" t="str">
        <f>Master_Data!D173</f>
        <v>WLH/KEC/SIEC/ELV/7TH FL/00</v>
      </c>
      <c r="B173" s="2" t="str">
        <f>Master_Data!B173</f>
        <v>MEP</v>
      </c>
      <c r="C173" s="18">
        <f>IF(Master_Data!H173="","",Master_Data!H173 - WEEKDAY(Master_Data!H173,2) + 1)</f>
        <v>45817</v>
      </c>
      <c r="D173" s="18">
        <f>IF(Master_Data!J173="","",Master_Data!J173 - WEEKDAY(Master_Data!J173,2) + 1)</f>
        <v>45894</v>
      </c>
      <c r="E173" s="18">
        <f>IF(Master_Data!M173="","",Master_Data!M173 - WEEKDAY(Master_Data!M173,2) + 1)</f>
        <v>45852</v>
      </c>
      <c r="F173" s="18">
        <f>IF(Master_Data!N173="","",Master_Data!N173 - WEEKDAY(Master_Data!N173,2) + 1)</f>
        <v>45943</v>
      </c>
      <c r="G173" s="19">
        <f>EOMONTH(Master_Data!H173,-1)+1</f>
        <v>45809</v>
      </c>
      <c r="H173" s="19">
        <f>IF(Master_Data!J173="","",EOMONTH(Master_Data!J173,-1)+1)</f>
        <v>45870</v>
      </c>
      <c r="I173" s="19">
        <f>IF(Master_Data!M173="","",EOMONTH(Master_Data!M173,-1)+1)</f>
        <v>45839</v>
      </c>
      <c r="J173" s="19">
        <f>IF(Master_Data!N173="","",EOMONTH(Master_Data!N173,-1)+1)</f>
        <v>45931</v>
      </c>
    </row>
    <row r="174" spans="1:10" ht="29">
      <c r="A174" s="2" t="str">
        <f>Master_Data!D174</f>
        <v>WLH/KEC/SIEC/Heat map/ELV/7TH FL/00</v>
      </c>
      <c r="B174" s="2" t="str">
        <f>Master_Data!B174</f>
        <v>MEP</v>
      </c>
      <c r="C174" s="18">
        <f>IF(Master_Data!H174="","",Master_Data!H174 - WEEKDAY(Master_Data!H174,2) + 1)</f>
        <v>45817</v>
      </c>
      <c r="D174" s="18">
        <f>IF(Master_Data!J174="","",Master_Data!J174 - WEEKDAY(Master_Data!J174,2) + 1)</f>
        <v>45894</v>
      </c>
      <c r="E174" s="18">
        <f>IF(Master_Data!M174="","",Master_Data!M174 - WEEKDAY(Master_Data!M174,2) + 1)</f>
        <v>45852</v>
      </c>
      <c r="F174" s="18">
        <f>IF(Master_Data!N174="","",Master_Data!N174 - WEEKDAY(Master_Data!N174,2) + 1)</f>
        <v>45943</v>
      </c>
      <c r="G174" s="19">
        <f>EOMONTH(Master_Data!H174,-1)+1</f>
        <v>45809</v>
      </c>
      <c r="H174" s="19">
        <f>IF(Master_Data!J174="","",EOMONTH(Master_Data!J174,-1)+1)</f>
        <v>45870</v>
      </c>
      <c r="I174" s="19">
        <f>IF(Master_Data!M174="","",EOMONTH(Master_Data!M174,-1)+1)</f>
        <v>45839</v>
      </c>
      <c r="J174" s="19">
        <f>IF(Master_Data!N174="","",EOMONTH(Master_Data!N174,-1)+1)</f>
        <v>45931</v>
      </c>
    </row>
    <row r="175" spans="1:10" ht="29">
      <c r="A175" s="2" t="str">
        <f>Master_Data!D175</f>
        <v>WLH/KEC/SIEC/BMS SYSTEM/ELV/7TH FL/00</v>
      </c>
      <c r="B175" s="2" t="str">
        <f>Master_Data!B175</f>
        <v>MEP</v>
      </c>
      <c r="C175" s="18">
        <f>IF(Master_Data!H175="","",Master_Data!H175 - WEEKDAY(Master_Data!H175,2) + 1)</f>
        <v>45817</v>
      </c>
      <c r="D175" s="18">
        <f>IF(Master_Data!J175="","",Master_Data!J175 - WEEKDAY(Master_Data!J175,2) + 1)</f>
        <v>45894</v>
      </c>
      <c r="E175" s="18">
        <f>IF(Master_Data!M175="","",Master_Data!M175 - WEEKDAY(Master_Data!M175,2) + 1)</f>
        <v>45852</v>
      </c>
      <c r="F175" s="18">
        <f>IF(Master_Data!N175="","",Master_Data!N175 - WEEKDAY(Master_Data!N175,2) + 1)</f>
        <v>45943</v>
      </c>
      <c r="G175" s="19">
        <f>EOMONTH(Master_Data!H175,-1)+1</f>
        <v>45809</v>
      </c>
      <c r="H175" s="19">
        <f>IF(Master_Data!J175="","",EOMONTH(Master_Data!J175,-1)+1)</f>
        <v>45870</v>
      </c>
      <c r="I175" s="19">
        <f>IF(Master_Data!M175="","",EOMONTH(Master_Data!M175,-1)+1)</f>
        <v>45839</v>
      </c>
      <c r="J175" s="19">
        <f>IF(Master_Data!N175="","",EOMONTH(Master_Data!N175,-1)+1)</f>
        <v>45931</v>
      </c>
    </row>
    <row r="176" spans="1:10" ht="29">
      <c r="A176" s="2" t="str">
        <f>Master_Data!D176</f>
        <v>WLH/KEC/SIEC/AV SYSTEM/ELV/7TH FL/00</v>
      </c>
      <c r="B176" s="2" t="str">
        <f>Master_Data!B176</f>
        <v>MEP</v>
      </c>
      <c r="C176" s="18">
        <f>IF(Master_Data!H176="","",Master_Data!H176 - WEEKDAY(Master_Data!H176,2) + 1)</f>
        <v>45817</v>
      </c>
      <c r="D176" s="18">
        <f>IF(Master_Data!J176="","",Master_Data!J176 - WEEKDAY(Master_Data!J176,2) + 1)</f>
        <v>46083</v>
      </c>
      <c r="E176" s="18">
        <f>IF(Master_Data!M176="","",Master_Data!M176 - WEEKDAY(Master_Data!M176,2) + 1)</f>
        <v>45852</v>
      </c>
      <c r="F176" s="18" t="str">
        <f>IF(Master_Data!N176="","",Master_Data!N176 - WEEKDAY(Master_Data!N176,2) + 1)</f>
        <v/>
      </c>
      <c r="G176" s="19">
        <f>EOMONTH(Master_Data!H176,-1)+1</f>
        <v>45809</v>
      </c>
      <c r="H176" s="19">
        <f>IF(Master_Data!J176="","",EOMONTH(Master_Data!J176,-1)+1)</f>
        <v>46082</v>
      </c>
      <c r="I176" s="19">
        <f>IF(Master_Data!M176="","",EOMONTH(Master_Data!M176,-1)+1)</f>
        <v>45839</v>
      </c>
      <c r="J176" s="19" t="str">
        <f>IF(Master_Data!N176="","",EOMONTH(Master_Data!N176,-1)+1)</f>
        <v/>
      </c>
    </row>
    <row r="177" spans="1:10">
      <c r="A177" s="2" t="str">
        <f>Master_Data!D177</f>
        <v>WLH/KEC/SIEC/ELV/8TH FL/00</v>
      </c>
      <c r="B177" s="2" t="str">
        <f>Master_Data!B177</f>
        <v>MEP</v>
      </c>
      <c r="C177" s="18">
        <f>IF(Master_Data!H177="","",Master_Data!H177 - WEEKDAY(Master_Data!H177,2) + 1)</f>
        <v>45817</v>
      </c>
      <c r="D177" s="18">
        <f>IF(Master_Data!J177="","",Master_Data!J177 - WEEKDAY(Master_Data!J177,2) + 1)</f>
        <v>45894</v>
      </c>
      <c r="E177" s="18">
        <f>IF(Master_Data!M177="","",Master_Data!M177 - WEEKDAY(Master_Data!M177,2) + 1)</f>
        <v>45852</v>
      </c>
      <c r="F177" s="18">
        <f>IF(Master_Data!N177="","",Master_Data!N177 - WEEKDAY(Master_Data!N177,2) + 1)</f>
        <v>45957</v>
      </c>
      <c r="G177" s="19">
        <f>EOMONTH(Master_Data!H177,-1)+1</f>
        <v>45809</v>
      </c>
      <c r="H177" s="19">
        <f>IF(Master_Data!J177="","",EOMONTH(Master_Data!J177,-1)+1)</f>
        <v>45870</v>
      </c>
      <c r="I177" s="19">
        <f>IF(Master_Data!M177="","",EOMONTH(Master_Data!M177,-1)+1)</f>
        <v>45839</v>
      </c>
      <c r="J177" s="19">
        <f>IF(Master_Data!N177="","",EOMONTH(Master_Data!N177,-1)+1)</f>
        <v>45931</v>
      </c>
    </row>
    <row r="178" spans="1:10" ht="29">
      <c r="A178" s="2" t="str">
        <f>Master_Data!D178</f>
        <v>WLH/KEC/SIEC/Heat map/ELV/8TH FL/00</v>
      </c>
      <c r="B178" s="2" t="str">
        <f>Master_Data!B178</f>
        <v>MEP</v>
      </c>
      <c r="C178" s="18">
        <f>IF(Master_Data!H178="","",Master_Data!H178 - WEEKDAY(Master_Data!H178,2) + 1)</f>
        <v>45831</v>
      </c>
      <c r="D178" s="18">
        <f>IF(Master_Data!J178="","",Master_Data!J178 - WEEKDAY(Master_Data!J178,2) + 1)</f>
        <v>45894</v>
      </c>
      <c r="E178" s="18">
        <f>IF(Master_Data!M178="","",Master_Data!M178 - WEEKDAY(Master_Data!M178,2) + 1)</f>
        <v>45852</v>
      </c>
      <c r="F178" s="18">
        <f>IF(Master_Data!N178="","",Master_Data!N178 - WEEKDAY(Master_Data!N178,2) + 1)</f>
        <v>45957</v>
      </c>
      <c r="G178" s="19">
        <f>EOMONTH(Master_Data!H178,-1)+1</f>
        <v>45809</v>
      </c>
      <c r="H178" s="19">
        <f>IF(Master_Data!J178="","",EOMONTH(Master_Data!J178,-1)+1)</f>
        <v>45870</v>
      </c>
      <c r="I178" s="19">
        <f>IF(Master_Data!M178="","",EOMONTH(Master_Data!M178,-1)+1)</f>
        <v>45839</v>
      </c>
      <c r="J178" s="19">
        <f>IF(Master_Data!N178="","",EOMONTH(Master_Data!N178,-1)+1)</f>
        <v>45931</v>
      </c>
    </row>
    <row r="179" spans="1:10" ht="29">
      <c r="A179" s="2" t="str">
        <f>Master_Data!D179</f>
        <v>WLH/KEC/SIEC/BMS SYSTEM/ELV/8TH FL/00</v>
      </c>
      <c r="B179" s="2" t="str">
        <f>Master_Data!B179</f>
        <v>MEP</v>
      </c>
      <c r="C179" s="18">
        <f>IF(Master_Data!H179="","",Master_Data!H179 - WEEKDAY(Master_Data!H179,2) + 1)</f>
        <v>45831</v>
      </c>
      <c r="D179" s="18">
        <f>IF(Master_Data!J179="","",Master_Data!J179 - WEEKDAY(Master_Data!J179,2) + 1)</f>
        <v>45894</v>
      </c>
      <c r="E179" s="18">
        <f>IF(Master_Data!M179="","",Master_Data!M179 - WEEKDAY(Master_Data!M179,2) + 1)</f>
        <v>45852</v>
      </c>
      <c r="F179" s="18">
        <f>IF(Master_Data!N179="","",Master_Data!N179 - WEEKDAY(Master_Data!N179,2) + 1)</f>
        <v>45957</v>
      </c>
      <c r="G179" s="19">
        <f>EOMONTH(Master_Data!H179,-1)+1</f>
        <v>45809</v>
      </c>
      <c r="H179" s="19">
        <f>IF(Master_Data!J179="","",EOMONTH(Master_Data!J179,-1)+1)</f>
        <v>45870</v>
      </c>
      <c r="I179" s="19">
        <f>IF(Master_Data!M179="","",EOMONTH(Master_Data!M179,-1)+1)</f>
        <v>45839</v>
      </c>
      <c r="J179" s="19">
        <f>IF(Master_Data!N179="","",EOMONTH(Master_Data!N179,-1)+1)</f>
        <v>45931</v>
      </c>
    </row>
    <row r="180" spans="1:10">
      <c r="A180" s="2" t="str">
        <f>Master_Data!D180</f>
        <v>WLH/KEC/SIEC/ELV/9TH FL/00</v>
      </c>
      <c r="B180" s="2" t="str">
        <f>Master_Data!B180</f>
        <v>MEP</v>
      </c>
      <c r="C180" s="18">
        <f>IF(Master_Data!H180="","",Master_Data!H180 - WEEKDAY(Master_Data!H180,2) + 1)</f>
        <v>45831</v>
      </c>
      <c r="D180" s="18">
        <f>IF(Master_Data!J180="","",Master_Data!J180 - WEEKDAY(Master_Data!J180,2) + 1)</f>
        <v>45824</v>
      </c>
      <c r="E180" s="18">
        <f>IF(Master_Data!M180="","",Master_Data!M180 - WEEKDAY(Master_Data!M180,2) + 1)</f>
        <v>45866</v>
      </c>
      <c r="F180" s="18">
        <f>IF(Master_Data!N180="","",Master_Data!N180 - WEEKDAY(Master_Data!N180,2) + 1)</f>
        <v>45845</v>
      </c>
      <c r="G180" s="19">
        <f>EOMONTH(Master_Data!H180,-1)+1</f>
        <v>45809</v>
      </c>
      <c r="H180" s="19">
        <f>IF(Master_Data!J180="","",EOMONTH(Master_Data!J180,-1)+1)</f>
        <v>45809</v>
      </c>
      <c r="I180" s="19">
        <f>IF(Master_Data!M180="","",EOMONTH(Master_Data!M180,-1)+1)</f>
        <v>45870</v>
      </c>
      <c r="J180" s="19">
        <f>IF(Master_Data!N180="","",EOMONTH(Master_Data!N180,-1)+1)</f>
        <v>45839</v>
      </c>
    </row>
    <row r="181" spans="1:10" ht="29">
      <c r="A181" s="2" t="str">
        <f>Master_Data!D181</f>
        <v>WLH/KEC/SIEC/Heat map/ELV/9TH FL/00</v>
      </c>
      <c r="B181" s="2" t="str">
        <f>Master_Data!B181</f>
        <v>MEP</v>
      </c>
      <c r="C181" s="18">
        <f>IF(Master_Data!H181="","",Master_Data!H181 - WEEKDAY(Master_Data!H181,2) + 1)</f>
        <v>45831</v>
      </c>
      <c r="D181" s="18">
        <f>IF(Master_Data!J181="","",Master_Data!J181 - WEEKDAY(Master_Data!J181,2) + 1)</f>
        <v>45824</v>
      </c>
      <c r="E181" s="18">
        <f>IF(Master_Data!M181="","",Master_Data!M181 - WEEKDAY(Master_Data!M181,2) + 1)</f>
        <v>45866</v>
      </c>
      <c r="F181" s="18">
        <f>IF(Master_Data!N181="","",Master_Data!N181 - WEEKDAY(Master_Data!N181,2) + 1)</f>
        <v>45845</v>
      </c>
      <c r="G181" s="19">
        <f>EOMONTH(Master_Data!H181,-1)+1</f>
        <v>45809</v>
      </c>
      <c r="H181" s="19">
        <f>IF(Master_Data!J181="","",EOMONTH(Master_Data!J181,-1)+1)</f>
        <v>45809</v>
      </c>
      <c r="I181" s="19">
        <f>IF(Master_Data!M181="","",EOMONTH(Master_Data!M181,-1)+1)</f>
        <v>45870</v>
      </c>
      <c r="J181" s="19">
        <f>IF(Master_Data!N181="","",EOMONTH(Master_Data!N181,-1)+1)</f>
        <v>45839</v>
      </c>
    </row>
    <row r="182" spans="1:10" ht="29">
      <c r="A182" s="2" t="str">
        <f>Master_Data!D182</f>
        <v>WLH/KEC/SIEC/BMS SYSTEM/ELV/9TH FL/00</v>
      </c>
      <c r="B182" s="2" t="str">
        <f>Master_Data!B182</f>
        <v>MEP</v>
      </c>
      <c r="C182" s="18">
        <f>IF(Master_Data!H182="","",Master_Data!H182 - WEEKDAY(Master_Data!H182,2) + 1)</f>
        <v>45831</v>
      </c>
      <c r="D182" s="18">
        <f>IF(Master_Data!J182="","",Master_Data!J182 - WEEKDAY(Master_Data!J182,2) + 1)</f>
        <v>45824</v>
      </c>
      <c r="E182" s="18">
        <f>IF(Master_Data!M182="","",Master_Data!M182 - WEEKDAY(Master_Data!M182,2) + 1)</f>
        <v>45866</v>
      </c>
      <c r="F182" s="18">
        <f>IF(Master_Data!N182="","",Master_Data!N182 - WEEKDAY(Master_Data!N182,2) + 1)</f>
        <v>45845</v>
      </c>
      <c r="G182" s="19">
        <f>EOMONTH(Master_Data!H182,-1)+1</f>
        <v>45809</v>
      </c>
      <c r="H182" s="19">
        <f>IF(Master_Data!J182="","",EOMONTH(Master_Data!J182,-1)+1)</f>
        <v>45809</v>
      </c>
      <c r="I182" s="19">
        <f>IF(Master_Data!M182="","",EOMONTH(Master_Data!M182,-1)+1)</f>
        <v>45870</v>
      </c>
      <c r="J182" s="19">
        <f>IF(Master_Data!N182="","",EOMONTH(Master_Data!N182,-1)+1)</f>
        <v>45839</v>
      </c>
    </row>
    <row r="183" spans="1:10">
      <c r="A183" s="2" t="str">
        <f>Master_Data!D183</f>
        <v>WLH/KEC/SIEC/ELV/10TH FL/00</v>
      </c>
      <c r="B183" s="2" t="str">
        <f>Master_Data!B183</f>
        <v>MEP</v>
      </c>
      <c r="C183" s="18">
        <f>IF(Master_Data!H183="","",Master_Data!H183 - WEEKDAY(Master_Data!H183,2) + 1)</f>
        <v>45831</v>
      </c>
      <c r="D183" s="18">
        <f>IF(Master_Data!J183="","",Master_Data!J183 - WEEKDAY(Master_Data!J183,2) + 1)</f>
        <v>45908</v>
      </c>
      <c r="E183" s="18">
        <f>IF(Master_Data!M183="","",Master_Data!M183 - WEEKDAY(Master_Data!M183,2) + 1)</f>
        <v>45866</v>
      </c>
      <c r="F183" s="18">
        <f>IF(Master_Data!N183="","",Master_Data!N183 - WEEKDAY(Master_Data!N183,2) + 1)</f>
        <v>45943</v>
      </c>
      <c r="G183" s="19">
        <f>EOMONTH(Master_Data!H183,-1)+1</f>
        <v>45809</v>
      </c>
      <c r="H183" s="19">
        <f>IF(Master_Data!J183="","",EOMONTH(Master_Data!J183,-1)+1)</f>
        <v>45901</v>
      </c>
      <c r="I183" s="19">
        <f>IF(Master_Data!M183="","",EOMONTH(Master_Data!M183,-1)+1)</f>
        <v>45870</v>
      </c>
      <c r="J183" s="19">
        <f>IF(Master_Data!N183="","",EOMONTH(Master_Data!N183,-1)+1)</f>
        <v>45931</v>
      </c>
    </row>
    <row r="184" spans="1:10" ht="29">
      <c r="A184" s="2" t="str">
        <f>Master_Data!D184</f>
        <v>WLH/KEC/SIEC/Heat map/ELV/10TH FL/00</v>
      </c>
      <c r="B184" s="2" t="str">
        <f>Master_Data!B184</f>
        <v>MEP</v>
      </c>
      <c r="C184" s="18">
        <f>IF(Master_Data!H184="","",Master_Data!H184 - WEEKDAY(Master_Data!H184,2) + 1)</f>
        <v>45831</v>
      </c>
      <c r="D184" s="18">
        <f>IF(Master_Data!J184="","",Master_Data!J184 - WEEKDAY(Master_Data!J184,2) + 1)</f>
        <v>45908</v>
      </c>
      <c r="E184" s="18">
        <f>IF(Master_Data!M184="","",Master_Data!M184 - WEEKDAY(Master_Data!M184,2) + 1)</f>
        <v>45866</v>
      </c>
      <c r="F184" s="18">
        <f>IF(Master_Data!N184="","",Master_Data!N184 - WEEKDAY(Master_Data!N184,2) + 1)</f>
        <v>45943</v>
      </c>
      <c r="G184" s="19">
        <f>EOMONTH(Master_Data!H184,-1)+1</f>
        <v>45809</v>
      </c>
      <c r="H184" s="19">
        <f>IF(Master_Data!J184="","",EOMONTH(Master_Data!J184,-1)+1)</f>
        <v>45901</v>
      </c>
      <c r="I184" s="19">
        <f>IF(Master_Data!M184="","",EOMONTH(Master_Data!M184,-1)+1)</f>
        <v>45870</v>
      </c>
      <c r="J184" s="19">
        <f>IF(Master_Data!N184="","",EOMONTH(Master_Data!N184,-1)+1)</f>
        <v>45931</v>
      </c>
    </row>
    <row r="185" spans="1:10" ht="29">
      <c r="A185" s="2" t="str">
        <f>Master_Data!D185</f>
        <v>WLH/KEC/SIEC/BMS SYSTEM/ELV/10TH FL/00</v>
      </c>
      <c r="B185" s="2" t="str">
        <f>Master_Data!B185</f>
        <v>MEP</v>
      </c>
      <c r="C185" s="18">
        <f>IF(Master_Data!H185="","",Master_Data!H185 - WEEKDAY(Master_Data!H185,2) + 1)</f>
        <v>45831</v>
      </c>
      <c r="D185" s="18">
        <f>IF(Master_Data!J185="","",Master_Data!J185 - WEEKDAY(Master_Data!J185,2) + 1)</f>
        <v>45908</v>
      </c>
      <c r="E185" s="18">
        <f>IF(Master_Data!M185="","",Master_Data!M185 - WEEKDAY(Master_Data!M185,2) + 1)</f>
        <v>45866</v>
      </c>
      <c r="F185" s="18">
        <f>IF(Master_Data!N185="","",Master_Data!N185 - WEEKDAY(Master_Data!N185,2) + 1)</f>
        <v>45943</v>
      </c>
      <c r="G185" s="19">
        <f>EOMONTH(Master_Data!H185,-1)+1</f>
        <v>45809</v>
      </c>
      <c r="H185" s="19">
        <f>IF(Master_Data!J185="","",EOMONTH(Master_Data!J185,-1)+1)</f>
        <v>45901</v>
      </c>
      <c r="I185" s="19">
        <f>IF(Master_Data!M185="","",EOMONTH(Master_Data!M185,-1)+1)</f>
        <v>45870</v>
      </c>
      <c r="J185" s="19">
        <f>IF(Master_Data!N185="","",EOMONTH(Master_Data!N185,-1)+1)</f>
        <v>45931</v>
      </c>
    </row>
    <row r="186" spans="1:10" ht="29">
      <c r="A186" s="2" t="str">
        <f>Master_Data!D186</f>
        <v>WLH/KEC/SIEC/AV SYSTEM/ELV/10TH FL/00</v>
      </c>
      <c r="B186" s="2" t="str">
        <f>Master_Data!B186</f>
        <v>MEP</v>
      </c>
      <c r="C186" s="18">
        <f>IF(Master_Data!H186="","",Master_Data!H186 - WEEKDAY(Master_Data!H186,2) + 1)</f>
        <v>45845</v>
      </c>
      <c r="D186" s="18">
        <f>IF(Master_Data!J186="","",Master_Data!J186 - WEEKDAY(Master_Data!J186,2) + 1)</f>
        <v>46083</v>
      </c>
      <c r="E186" s="18">
        <f>IF(Master_Data!M186="","",Master_Data!M186 - WEEKDAY(Master_Data!M186,2) + 1)</f>
        <v>45866</v>
      </c>
      <c r="F186" s="18" t="str">
        <f>IF(Master_Data!N186="","",Master_Data!N186 - WEEKDAY(Master_Data!N186,2) + 1)</f>
        <v/>
      </c>
      <c r="G186" s="19">
        <f>EOMONTH(Master_Data!H186,-1)+1</f>
        <v>45839</v>
      </c>
      <c r="H186" s="19">
        <f>IF(Master_Data!J186="","",EOMONTH(Master_Data!J186,-1)+1)</f>
        <v>46082</v>
      </c>
      <c r="I186" s="19">
        <f>IF(Master_Data!M186="","",EOMONTH(Master_Data!M186,-1)+1)</f>
        <v>45870</v>
      </c>
      <c r="J186" s="19" t="str">
        <f>IF(Master_Data!N186="","",EOMONTH(Master_Data!N186,-1)+1)</f>
        <v/>
      </c>
    </row>
    <row r="187" spans="1:10" ht="29">
      <c r="A187" s="2" t="str">
        <f>Master_Data!D187</f>
        <v>WLH/KEC/SIEC/Heat map/ELV/TERRACE/00</v>
      </c>
      <c r="B187" s="2" t="str">
        <f>Master_Data!B187</f>
        <v>MEP</v>
      </c>
      <c r="C187" s="18">
        <f>IF(Master_Data!H187="","",Master_Data!H187 - WEEKDAY(Master_Data!H187,2) + 1)</f>
        <v>45971</v>
      </c>
      <c r="D187" s="18">
        <f>IF(Master_Data!J187="","",Master_Data!J187 - WEEKDAY(Master_Data!J187,2) + 1)</f>
        <v>45971</v>
      </c>
      <c r="E187" s="18">
        <f>IF(Master_Data!M187="","",Master_Data!M187 - WEEKDAY(Master_Data!M187,2) + 1)</f>
        <v>45880</v>
      </c>
      <c r="F187" s="18">
        <f>IF(Master_Data!N187="","",Master_Data!N187 - WEEKDAY(Master_Data!N187,2) + 1)</f>
        <v>46069</v>
      </c>
      <c r="G187" s="19">
        <f>EOMONTH(Master_Data!H187,-1)+1</f>
        <v>45962</v>
      </c>
      <c r="H187" s="19">
        <f>IF(Master_Data!J187="","",EOMONTH(Master_Data!J187,-1)+1)</f>
        <v>45962</v>
      </c>
      <c r="I187" s="19">
        <f>IF(Master_Data!M187="","",EOMONTH(Master_Data!M187,-1)+1)</f>
        <v>45870</v>
      </c>
      <c r="J187" s="19">
        <f>IF(Master_Data!N187="","",EOMONTH(Master_Data!N187,-1)+1)</f>
        <v>46054</v>
      </c>
    </row>
    <row r="188" spans="1:10">
      <c r="A188" s="2" t="str">
        <f>Master_Data!D188</f>
        <v>WLH/KEC/SIEC/ELV/TERRACE/00</v>
      </c>
      <c r="B188" s="2" t="str">
        <f>Master_Data!B188</f>
        <v>MEP</v>
      </c>
      <c r="C188" s="18">
        <f>IF(Master_Data!H188="","",Master_Data!H188 - WEEKDAY(Master_Data!H188,2) + 1)</f>
        <v>45971</v>
      </c>
      <c r="D188" s="18">
        <f>IF(Master_Data!J188="","",Master_Data!J188 - WEEKDAY(Master_Data!J188,2) + 1)</f>
        <v>45971</v>
      </c>
      <c r="E188" s="18">
        <f>IF(Master_Data!M188="","",Master_Data!M188 - WEEKDAY(Master_Data!M188,2) + 1)</f>
        <v>45880</v>
      </c>
      <c r="F188" s="18">
        <f>IF(Master_Data!N188="","",Master_Data!N188 - WEEKDAY(Master_Data!N188,2) + 1)</f>
        <v>46069</v>
      </c>
      <c r="G188" s="19">
        <f>EOMONTH(Master_Data!H188,-1)+1</f>
        <v>45962</v>
      </c>
      <c r="H188" s="19">
        <f>IF(Master_Data!J188="","",EOMONTH(Master_Data!J188,-1)+1)</f>
        <v>45962</v>
      </c>
      <c r="I188" s="19">
        <f>IF(Master_Data!M188="","",EOMONTH(Master_Data!M188,-1)+1)</f>
        <v>45870</v>
      </c>
      <c r="J188" s="19">
        <f>IF(Master_Data!N188="","",EOMONTH(Master_Data!N188,-1)+1)</f>
        <v>46054</v>
      </c>
    </row>
    <row r="189" spans="1:10" ht="29">
      <c r="A189" s="2" t="str">
        <f>Master_Data!D189</f>
        <v>WLH/KEC/SIEC/BMS SYSTEM/ELV/ABOVE TERRACE/00</v>
      </c>
      <c r="B189" s="2" t="str">
        <f>Master_Data!B189</f>
        <v>MEP</v>
      </c>
      <c r="C189" s="18">
        <f>IF(Master_Data!H189="","",Master_Data!H189 - WEEKDAY(Master_Data!H189,2) + 1)</f>
        <v>45971</v>
      </c>
      <c r="D189" s="18">
        <f>IF(Master_Data!J189="","",Master_Data!J189 - WEEKDAY(Master_Data!J189,2) + 1)</f>
        <v>45971</v>
      </c>
      <c r="E189" s="18">
        <f>IF(Master_Data!M189="","",Master_Data!M189 - WEEKDAY(Master_Data!M189,2) + 1)</f>
        <v>45880</v>
      </c>
      <c r="F189" s="18">
        <f>IF(Master_Data!N189="","",Master_Data!N189 - WEEKDAY(Master_Data!N189,2) + 1)</f>
        <v>46069</v>
      </c>
      <c r="G189" s="19">
        <f>EOMONTH(Master_Data!H189,-1)+1</f>
        <v>45962</v>
      </c>
      <c r="H189" s="19">
        <f>IF(Master_Data!J189="","",EOMONTH(Master_Data!J189,-1)+1)</f>
        <v>45962</v>
      </c>
      <c r="I189" s="19">
        <f>IF(Master_Data!M189="","",EOMONTH(Master_Data!M189,-1)+1)</f>
        <v>45870</v>
      </c>
      <c r="J189" s="19">
        <f>IF(Master_Data!N189="","",EOMONTH(Master_Data!N189,-1)+1)</f>
        <v>46054</v>
      </c>
    </row>
    <row r="190" spans="1:10" ht="29">
      <c r="A190" s="2" t="str">
        <f>Master_Data!D190</f>
        <v>WLH/KEC/SIEC/WATER LEAK DETECTION/ELV/00</v>
      </c>
      <c r="B190" s="2" t="str">
        <f>Master_Data!B190</f>
        <v>MEP</v>
      </c>
      <c r="C190" s="18">
        <f>IF(Master_Data!H190="","",Master_Data!H190 - WEEKDAY(Master_Data!H190,2) + 1)</f>
        <v>46006</v>
      </c>
      <c r="D190" s="18">
        <f>IF(Master_Data!J190="","",Master_Data!J190 - WEEKDAY(Master_Data!J190,2) + 1)</f>
        <v>46104</v>
      </c>
      <c r="E190" s="18">
        <f>IF(Master_Data!M190="","",Master_Data!M190 - WEEKDAY(Master_Data!M190,2) + 1)</f>
        <v>45880</v>
      </c>
      <c r="F190" s="18" t="str">
        <f>IF(Master_Data!N190="","",Master_Data!N190 - WEEKDAY(Master_Data!N190,2) + 1)</f>
        <v/>
      </c>
      <c r="G190" s="19">
        <f>EOMONTH(Master_Data!H190,-1)+1</f>
        <v>45992</v>
      </c>
      <c r="H190" s="19">
        <f>IF(Master_Data!J190="","",EOMONTH(Master_Data!J190,-1)+1)</f>
        <v>46082</v>
      </c>
      <c r="I190" s="19">
        <f>IF(Master_Data!M190="","",EOMONTH(Master_Data!M190,-1)+1)</f>
        <v>45870</v>
      </c>
      <c r="J190" s="19" t="str">
        <f>IF(Master_Data!N190="","",EOMONTH(Master_Data!N190,-1)+1)</f>
        <v/>
      </c>
    </row>
    <row r="191" spans="1:10" ht="29">
      <c r="A191" s="2" t="str">
        <f>Master_Data!D191</f>
        <v>WLH/KEC/SIEC/ELV/BMS ROOM/MISC/00</v>
      </c>
      <c r="B191" s="2" t="str">
        <f>Master_Data!B191</f>
        <v>MEP</v>
      </c>
      <c r="C191" s="18">
        <f>IF(Master_Data!H191="","",Master_Data!H191 - WEEKDAY(Master_Data!H191,2) + 1)</f>
        <v>46020</v>
      </c>
      <c r="D191" s="18">
        <f>IF(Master_Data!J191="","",Master_Data!J191 - WEEKDAY(Master_Data!J191,2) + 1)</f>
        <v>46125</v>
      </c>
      <c r="E191" s="18">
        <f>IF(Master_Data!M191="","",Master_Data!M191 - WEEKDAY(Master_Data!M191,2) + 1)</f>
        <v>45803</v>
      </c>
      <c r="F191" s="18" t="str">
        <f>IF(Master_Data!N191="","",Master_Data!N191 - WEEKDAY(Master_Data!N191,2) + 1)</f>
        <v/>
      </c>
      <c r="G191" s="19">
        <f>EOMONTH(Master_Data!H191,-1)+1</f>
        <v>45992</v>
      </c>
      <c r="H191" s="19">
        <f>IF(Master_Data!J191="","",EOMONTH(Master_Data!J191,-1)+1)</f>
        <v>46113</v>
      </c>
      <c r="I191" s="19">
        <f>IF(Master_Data!M191="","",EOMONTH(Master_Data!M191,-1)+1)</f>
        <v>45778</v>
      </c>
      <c r="J191" s="19" t="str">
        <f>IF(Master_Data!N191="","",EOMONTH(Master_Data!N191,-1)+1)</f>
        <v/>
      </c>
    </row>
    <row r="192" spans="1:10">
      <c r="A192" s="2" t="str">
        <f>Master_Data!D192</f>
        <v>WLH/KEC/SIEC/FDA/BASEMENT/00</v>
      </c>
      <c r="B192" s="2" t="str">
        <f>Master_Data!B192</f>
        <v>MEP</v>
      </c>
      <c r="C192" s="18">
        <f>IF(Master_Data!H192="","",Master_Data!H192 - WEEKDAY(Master_Data!H192,2) + 1)</f>
        <v>45747</v>
      </c>
      <c r="D192" s="18">
        <f>IF(Master_Data!J192="","",Master_Data!J192 - WEEKDAY(Master_Data!J192,2) + 1)</f>
        <v>45747</v>
      </c>
      <c r="E192" s="18">
        <f>IF(Master_Data!M192="","",Master_Data!M192 - WEEKDAY(Master_Data!M192,2) + 1)</f>
        <v>45761</v>
      </c>
      <c r="F192" s="18">
        <f>IF(Master_Data!N192="","",Master_Data!N192 - WEEKDAY(Master_Data!N192,2) + 1)</f>
        <v>45803</v>
      </c>
      <c r="G192" s="19">
        <f>EOMONTH(Master_Data!H192,-1)+1</f>
        <v>45717</v>
      </c>
      <c r="H192" s="19">
        <f>IF(Master_Data!J192="","",EOMONTH(Master_Data!J192,-1)+1)</f>
        <v>45748</v>
      </c>
      <c r="I192" s="19">
        <f>IF(Master_Data!M192="","",EOMONTH(Master_Data!M192,-1)+1)</f>
        <v>45748</v>
      </c>
      <c r="J192" s="19">
        <f>IF(Master_Data!N192="","",EOMONTH(Master_Data!N192,-1)+1)</f>
        <v>45778</v>
      </c>
    </row>
    <row r="193" spans="1:10">
      <c r="A193" s="2" t="str">
        <f>Master_Data!D193</f>
        <v>WLH/KEC/SIEC/FPS/BASEMENT/00</v>
      </c>
      <c r="B193" s="2" t="str">
        <f>Master_Data!B193</f>
        <v>MEP</v>
      </c>
      <c r="C193" s="18">
        <f>IF(Master_Data!H193="","",Master_Data!H193 - WEEKDAY(Master_Data!H193,2) + 1)</f>
        <v>45747</v>
      </c>
      <c r="D193" s="18">
        <f>IF(Master_Data!J193="","",Master_Data!J193 - WEEKDAY(Master_Data!J193,2) + 1)</f>
        <v>45747</v>
      </c>
      <c r="E193" s="18">
        <f>IF(Master_Data!M193="","",Master_Data!M193 - WEEKDAY(Master_Data!M193,2) + 1)</f>
        <v>45747</v>
      </c>
      <c r="F193" s="18">
        <f>IF(Master_Data!N193="","",Master_Data!N193 - WEEKDAY(Master_Data!N193,2) + 1)</f>
        <v>45803</v>
      </c>
      <c r="G193" s="19">
        <f>EOMONTH(Master_Data!H193,-1)+1</f>
        <v>45717</v>
      </c>
      <c r="H193" s="19">
        <f>IF(Master_Data!J193="","",EOMONTH(Master_Data!J193,-1)+1)</f>
        <v>45748</v>
      </c>
      <c r="I193" s="19">
        <f>IF(Master_Data!M193="","",EOMONTH(Master_Data!M193,-1)+1)</f>
        <v>45748</v>
      </c>
      <c r="J193" s="19">
        <f>IF(Master_Data!N193="","",EOMONTH(Master_Data!N193,-1)+1)</f>
        <v>45778</v>
      </c>
    </row>
    <row r="194" spans="1:10" ht="29">
      <c r="A194" s="2" t="str">
        <f>Master_Data!D194</f>
        <v>WLH/KEC/SIEC/SIGNAGE &amp; EXTINGUISHER /BASEMENT/00</v>
      </c>
      <c r="B194" s="2" t="str">
        <f>Master_Data!B194</f>
        <v>MEP</v>
      </c>
      <c r="C194" s="18">
        <f>IF(Master_Data!H194="","",Master_Data!H194 - WEEKDAY(Master_Data!H194,2) + 1)</f>
        <v>45747</v>
      </c>
      <c r="D194" s="18">
        <f>IF(Master_Data!J194="","",Master_Data!J194 - WEEKDAY(Master_Data!J194,2) + 1)</f>
        <v>45747</v>
      </c>
      <c r="E194" s="18">
        <f>IF(Master_Data!M194="","",Master_Data!M194 - WEEKDAY(Master_Data!M194,2) + 1)</f>
        <v>45761</v>
      </c>
      <c r="F194" s="18">
        <f>IF(Master_Data!N194="","",Master_Data!N194 - WEEKDAY(Master_Data!N194,2) + 1)</f>
        <v>45803</v>
      </c>
      <c r="G194" s="19">
        <f>EOMONTH(Master_Data!H194,-1)+1</f>
        <v>45717</v>
      </c>
      <c r="H194" s="19">
        <f>IF(Master_Data!J194="","",EOMONTH(Master_Data!J194,-1)+1)</f>
        <v>45748</v>
      </c>
      <c r="I194" s="19">
        <f>IF(Master_Data!M194="","",EOMONTH(Master_Data!M194,-1)+1)</f>
        <v>45748</v>
      </c>
      <c r="J194" s="19">
        <f>IF(Master_Data!N194="","",EOMONTH(Master_Data!N194,-1)+1)</f>
        <v>45778</v>
      </c>
    </row>
    <row r="195" spans="1:10">
      <c r="A195" s="2" t="str">
        <f>Master_Data!D195</f>
        <v>WLH/KEC/SIEC/FDA &amp; PA/GR FL/00</v>
      </c>
      <c r="B195" s="2" t="str">
        <f>Master_Data!B195</f>
        <v>MEP</v>
      </c>
      <c r="C195" s="18">
        <f>IF(Master_Data!H195="","",Master_Data!H195 - WEEKDAY(Master_Data!H195,2) + 1)</f>
        <v>45747</v>
      </c>
      <c r="D195" s="18">
        <f>IF(Master_Data!J195="","",Master_Data!J195 - WEEKDAY(Master_Data!J195,2) + 1)</f>
        <v>45754</v>
      </c>
      <c r="E195" s="18">
        <f>IF(Master_Data!M195="","",Master_Data!M195 - WEEKDAY(Master_Data!M195,2) + 1)</f>
        <v>45761</v>
      </c>
      <c r="F195" s="18">
        <f>IF(Master_Data!N195="","",Master_Data!N195 - WEEKDAY(Master_Data!N195,2) + 1)</f>
        <v>45810</v>
      </c>
      <c r="G195" s="19">
        <f>EOMONTH(Master_Data!H195,-1)+1</f>
        <v>45717</v>
      </c>
      <c r="H195" s="19">
        <f>IF(Master_Data!J195="","",EOMONTH(Master_Data!J195,-1)+1)</f>
        <v>45748</v>
      </c>
      <c r="I195" s="19">
        <f>IF(Master_Data!M195="","",EOMONTH(Master_Data!M195,-1)+1)</f>
        <v>45748</v>
      </c>
      <c r="J195" s="19">
        <f>IF(Master_Data!N195="","",EOMONTH(Master_Data!N195,-1)+1)</f>
        <v>45809</v>
      </c>
    </row>
    <row r="196" spans="1:10">
      <c r="A196" s="2" t="str">
        <f>Master_Data!D196</f>
        <v>WLH/KEC/SIEC/FPS/GR FL/00</v>
      </c>
      <c r="B196" s="2" t="str">
        <f>Master_Data!B196</f>
        <v>MEP</v>
      </c>
      <c r="C196" s="18">
        <f>IF(Master_Data!H196="","",Master_Data!H196 - WEEKDAY(Master_Data!H196,2) + 1)</f>
        <v>45747</v>
      </c>
      <c r="D196" s="18">
        <f>IF(Master_Data!J196="","",Master_Data!J196 - WEEKDAY(Master_Data!J196,2) + 1)</f>
        <v>45754</v>
      </c>
      <c r="E196" s="18">
        <f>IF(Master_Data!M196="","",Master_Data!M196 - WEEKDAY(Master_Data!M196,2) + 1)</f>
        <v>45761</v>
      </c>
      <c r="F196" s="18">
        <f>IF(Master_Data!N196="","",Master_Data!N196 - WEEKDAY(Master_Data!N196,2) + 1)</f>
        <v>45810</v>
      </c>
      <c r="G196" s="19">
        <f>EOMONTH(Master_Data!H196,-1)+1</f>
        <v>45717</v>
      </c>
      <c r="H196" s="19">
        <f>IF(Master_Data!J196="","",EOMONTH(Master_Data!J196,-1)+1)</f>
        <v>45748</v>
      </c>
      <c r="I196" s="19">
        <f>IF(Master_Data!M196="","",EOMONTH(Master_Data!M196,-1)+1)</f>
        <v>45748</v>
      </c>
      <c r="J196" s="19">
        <f>IF(Master_Data!N196="","",EOMONTH(Master_Data!N196,-1)+1)</f>
        <v>45809</v>
      </c>
    </row>
    <row r="197" spans="1:10" ht="29">
      <c r="A197" s="2" t="str">
        <f>Master_Data!D197</f>
        <v>WLH/KEC/SIEC/SIGNAGE &amp; EXTINGUISHER /GR FL/01</v>
      </c>
      <c r="B197" s="2" t="str">
        <f>Master_Data!B197</f>
        <v>MEP</v>
      </c>
      <c r="C197" s="18">
        <f>IF(Master_Data!H197="","",Master_Data!H197 - WEEKDAY(Master_Data!H197,2) + 1)</f>
        <v>45747</v>
      </c>
      <c r="D197" s="18">
        <f>IF(Master_Data!J197="","",Master_Data!J197 - WEEKDAY(Master_Data!J197,2) + 1)</f>
        <v>45754</v>
      </c>
      <c r="E197" s="18">
        <f>IF(Master_Data!M197="","",Master_Data!M197 - WEEKDAY(Master_Data!M197,2) + 1)</f>
        <v>45761</v>
      </c>
      <c r="F197" s="18">
        <f>IF(Master_Data!N197="","",Master_Data!N197 - WEEKDAY(Master_Data!N197,2) + 1)</f>
        <v>45810</v>
      </c>
      <c r="G197" s="19">
        <f>EOMONTH(Master_Data!H197,-1)+1</f>
        <v>45717</v>
      </c>
      <c r="H197" s="19">
        <f>IF(Master_Data!J197="","",EOMONTH(Master_Data!J197,-1)+1)</f>
        <v>45748</v>
      </c>
      <c r="I197" s="19">
        <f>IF(Master_Data!M197="","",EOMONTH(Master_Data!M197,-1)+1)</f>
        <v>45748</v>
      </c>
      <c r="J197" s="19">
        <f>IF(Master_Data!N197="","",EOMONTH(Master_Data!N197,-1)+1)</f>
        <v>45809</v>
      </c>
    </row>
    <row r="198" spans="1:10" ht="29">
      <c r="A198" s="2" t="str">
        <f>Master_Data!D198</f>
        <v>WLH/KEC/SIEC/SIGNAGE &amp; EXTINGUISHER /1ST FL/00</v>
      </c>
      <c r="B198" s="2" t="str">
        <f>Master_Data!B198</f>
        <v>MEP</v>
      </c>
      <c r="C198" s="18">
        <f>IF(Master_Data!H198="","",Master_Data!H198 - WEEKDAY(Master_Data!H198,2) + 1)</f>
        <v>45971</v>
      </c>
      <c r="D198" s="18">
        <f>IF(Master_Data!J198="","",Master_Data!J198 - WEEKDAY(Master_Data!J198,2) + 1)</f>
        <v>45971</v>
      </c>
      <c r="E198" s="18">
        <f>IF(Master_Data!M198="","",Master_Data!M198 - WEEKDAY(Master_Data!M198,2) + 1)</f>
        <v>45985</v>
      </c>
      <c r="F198" s="18">
        <f>IF(Master_Data!N198="","",Master_Data!N198 - WEEKDAY(Master_Data!N198,2) + 1)</f>
        <v>45992</v>
      </c>
      <c r="G198" s="19">
        <f>EOMONTH(Master_Data!H198,-1)+1</f>
        <v>45962</v>
      </c>
      <c r="H198" s="19">
        <f>IF(Master_Data!J198="","",EOMONTH(Master_Data!J198,-1)+1)</f>
        <v>45962</v>
      </c>
      <c r="I198" s="19">
        <f>IF(Master_Data!M198="","",EOMONTH(Master_Data!M198,-1)+1)</f>
        <v>45962</v>
      </c>
      <c r="J198" s="19">
        <f>IF(Master_Data!N198="","",EOMONTH(Master_Data!N198,-1)+1)</f>
        <v>45992</v>
      </c>
    </row>
    <row r="199" spans="1:10">
      <c r="A199" s="2" t="str">
        <f>Master_Data!D199</f>
        <v>WLH/KEC/SIEC/FDA&amp; PA/1ST FL/00</v>
      </c>
      <c r="B199" s="2" t="str">
        <f>Master_Data!B199</f>
        <v>MEP</v>
      </c>
      <c r="C199" s="18">
        <f>IF(Master_Data!H199="","",Master_Data!H199 - WEEKDAY(Master_Data!H199,2) + 1)</f>
        <v>45971</v>
      </c>
      <c r="D199" s="18">
        <f>IF(Master_Data!J199="","",Master_Data!J199 - WEEKDAY(Master_Data!J199,2) + 1)</f>
        <v>45971</v>
      </c>
      <c r="E199" s="18">
        <f>IF(Master_Data!M199="","",Master_Data!M199 - WEEKDAY(Master_Data!M199,2) + 1)</f>
        <v>45985</v>
      </c>
      <c r="F199" s="18">
        <f>IF(Master_Data!N199="","",Master_Data!N199 - WEEKDAY(Master_Data!N199,2) + 1)</f>
        <v>45992</v>
      </c>
      <c r="G199" s="19">
        <f>EOMONTH(Master_Data!H199,-1)+1</f>
        <v>45962</v>
      </c>
      <c r="H199" s="19">
        <f>IF(Master_Data!J199="","",EOMONTH(Master_Data!J199,-1)+1)</f>
        <v>45962</v>
      </c>
      <c r="I199" s="19">
        <f>IF(Master_Data!M199="","",EOMONTH(Master_Data!M199,-1)+1)</f>
        <v>45962</v>
      </c>
      <c r="J199" s="19">
        <f>IF(Master_Data!N199="","",EOMONTH(Master_Data!N199,-1)+1)</f>
        <v>45992</v>
      </c>
    </row>
    <row r="200" spans="1:10">
      <c r="A200" s="2" t="str">
        <f>Master_Data!D200</f>
        <v>WLH/KEC/SIEC/FPS/1ST FL/00</v>
      </c>
      <c r="B200" s="2" t="str">
        <f>Master_Data!B200</f>
        <v>MEP</v>
      </c>
      <c r="C200" s="18">
        <f>IF(Master_Data!H200="","",Master_Data!H200 - WEEKDAY(Master_Data!H200,2) + 1)</f>
        <v>45971</v>
      </c>
      <c r="D200" s="18">
        <f>IF(Master_Data!J200="","",Master_Data!J200 - WEEKDAY(Master_Data!J200,2) + 1)</f>
        <v>45971</v>
      </c>
      <c r="E200" s="18">
        <f>IF(Master_Data!M200="","",Master_Data!M200 - WEEKDAY(Master_Data!M200,2) + 1)</f>
        <v>45985</v>
      </c>
      <c r="F200" s="18">
        <f>IF(Master_Data!N200="","",Master_Data!N200 - WEEKDAY(Master_Data!N200,2) + 1)</f>
        <v>45992</v>
      </c>
      <c r="G200" s="19">
        <f>EOMONTH(Master_Data!H200,-1)+1</f>
        <v>45962</v>
      </c>
      <c r="H200" s="19">
        <f>IF(Master_Data!J200="","",EOMONTH(Master_Data!J200,-1)+1)</f>
        <v>45962</v>
      </c>
      <c r="I200" s="19">
        <f>IF(Master_Data!M200="","",EOMONTH(Master_Data!M200,-1)+1)</f>
        <v>45962</v>
      </c>
      <c r="J200" s="19">
        <f>IF(Master_Data!N200="","",EOMONTH(Master_Data!N200,-1)+1)</f>
        <v>45992</v>
      </c>
    </row>
    <row r="201" spans="1:10" ht="29">
      <c r="A201" s="2" t="str">
        <f>Master_Data!D201</f>
        <v>WLH/KEC/SIEC/SIGNAGE &amp; EXTINGUISHER /2ND FL/00</v>
      </c>
      <c r="B201" s="2" t="str">
        <f>Master_Data!B201</f>
        <v>MEP</v>
      </c>
      <c r="C201" s="18">
        <f>IF(Master_Data!H201="","",Master_Data!H201 - WEEKDAY(Master_Data!H201,2) + 1)</f>
        <v>45957</v>
      </c>
      <c r="D201" s="18">
        <f>IF(Master_Data!J201="","",Master_Data!J201 - WEEKDAY(Master_Data!J201,2) + 1)</f>
        <v>45964</v>
      </c>
      <c r="E201" s="18">
        <f>IF(Master_Data!M201="","",Master_Data!M201 - WEEKDAY(Master_Data!M201,2) + 1)</f>
        <v>45971</v>
      </c>
      <c r="F201" s="18">
        <f>IF(Master_Data!N201="","",Master_Data!N201 - WEEKDAY(Master_Data!N201,2) + 1)</f>
        <v>45992</v>
      </c>
      <c r="G201" s="19">
        <f>EOMONTH(Master_Data!H201,-1)+1</f>
        <v>45931</v>
      </c>
      <c r="H201" s="19">
        <f>IF(Master_Data!J201="","",EOMONTH(Master_Data!J201,-1)+1)</f>
        <v>45962</v>
      </c>
      <c r="I201" s="19">
        <f>IF(Master_Data!M201="","",EOMONTH(Master_Data!M201,-1)+1)</f>
        <v>45962</v>
      </c>
      <c r="J201" s="19">
        <f>IF(Master_Data!N201="","",EOMONTH(Master_Data!N201,-1)+1)</f>
        <v>45992</v>
      </c>
    </row>
    <row r="202" spans="1:10">
      <c r="A202" s="2" t="str">
        <f>Master_Data!D202</f>
        <v>WLH/KEC/SIEC/FDA &amp; PA/2ND FL/00</v>
      </c>
      <c r="B202" s="2" t="str">
        <f>Master_Data!B202</f>
        <v>MEP</v>
      </c>
      <c r="C202" s="18">
        <f>IF(Master_Data!H202="","",Master_Data!H202 - WEEKDAY(Master_Data!H202,2) + 1)</f>
        <v>45957</v>
      </c>
      <c r="D202" s="18">
        <f>IF(Master_Data!J202="","",Master_Data!J202 - WEEKDAY(Master_Data!J202,2) + 1)</f>
        <v>45964</v>
      </c>
      <c r="E202" s="18">
        <f>IF(Master_Data!M202="","",Master_Data!M202 - WEEKDAY(Master_Data!M202,2) + 1)</f>
        <v>45971</v>
      </c>
      <c r="F202" s="18">
        <f>IF(Master_Data!N202="","",Master_Data!N202 - WEEKDAY(Master_Data!N202,2) + 1)</f>
        <v>45992</v>
      </c>
      <c r="G202" s="19">
        <f>EOMONTH(Master_Data!H202,-1)+1</f>
        <v>45931</v>
      </c>
      <c r="H202" s="19">
        <f>IF(Master_Data!J202="","",EOMONTH(Master_Data!J202,-1)+1)</f>
        <v>45962</v>
      </c>
      <c r="I202" s="19">
        <f>IF(Master_Data!M202="","",EOMONTH(Master_Data!M202,-1)+1)</f>
        <v>45962</v>
      </c>
      <c r="J202" s="19">
        <f>IF(Master_Data!N202="","",EOMONTH(Master_Data!N202,-1)+1)</f>
        <v>45992</v>
      </c>
    </row>
    <row r="203" spans="1:10">
      <c r="A203" s="2" t="str">
        <f>Master_Data!D203</f>
        <v>WLH/KEC/SIEC/FPS/2ND FL/00</v>
      </c>
      <c r="B203" s="2" t="str">
        <f>Master_Data!B203</f>
        <v>MEP</v>
      </c>
      <c r="C203" s="18">
        <f>IF(Master_Data!H203="","",Master_Data!H203 - WEEKDAY(Master_Data!H203,2) + 1)</f>
        <v>45957</v>
      </c>
      <c r="D203" s="18">
        <f>IF(Master_Data!J203="","",Master_Data!J203 - WEEKDAY(Master_Data!J203,2) + 1)</f>
        <v>45964</v>
      </c>
      <c r="E203" s="18">
        <f>IF(Master_Data!M203="","",Master_Data!M203 - WEEKDAY(Master_Data!M203,2) + 1)</f>
        <v>45971</v>
      </c>
      <c r="F203" s="18">
        <f>IF(Master_Data!N203="","",Master_Data!N203 - WEEKDAY(Master_Data!N203,2) + 1)</f>
        <v>45992</v>
      </c>
      <c r="G203" s="19">
        <f>EOMONTH(Master_Data!H203,-1)+1</f>
        <v>45931</v>
      </c>
      <c r="H203" s="19">
        <f>IF(Master_Data!J203="","",EOMONTH(Master_Data!J203,-1)+1)</f>
        <v>45962</v>
      </c>
      <c r="I203" s="19">
        <f>IF(Master_Data!M203="","",EOMONTH(Master_Data!M203,-1)+1)</f>
        <v>45962</v>
      </c>
      <c r="J203" s="19">
        <f>IF(Master_Data!N203="","",EOMONTH(Master_Data!N203,-1)+1)</f>
        <v>45992</v>
      </c>
    </row>
    <row r="204" spans="1:10" ht="29">
      <c r="A204" s="2" t="str">
        <f>Master_Data!D204</f>
        <v>WLH/KEC/SIEC/SIGNAGE &amp; EXTINGUISHER /3RD FL/00</v>
      </c>
      <c r="B204" s="2" t="str">
        <f>Master_Data!B204</f>
        <v>MEP</v>
      </c>
      <c r="C204" s="18">
        <f>IF(Master_Data!H204="","",Master_Data!H204 - WEEKDAY(Master_Data!H204,2) + 1)</f>
        <v>45950</v>
      </c>
      <c r="D204" s="18">
        <f>IF(Master_Data!J204="","",Master_Data!J204 - WEEKDAY(Master_Data!J204,2) + 1)</f>
        <v>45957</v>
      </c>
      <c r="E204" s="18">
        <f>IF(Master_Data!M204="","",Master_Data!M204 - WEEKDAY(Master_Data!M204,2) + 1)</f>
        <v>45964</v>
      </c>
      <c r="F204" s="18">
        <f>IF(Master_Data!N204="","",Master_Data!N204 - WEEKDAY(Master_Data!N204,2) + 1)</f>
        <v>45992</v>
      </c>
      <c r="G204" s="19">
        <f>EOMONTH(Master_Data!H204,-1)+1</f>
        <v>45931</v>
      </c>
      <c r="H204" s="19">
        <f>IF(Master_Data!J204="","",EOMONTH(Master_Data!J204,-1)+1)</f>
        <v>45931</v>
      </c>
      <c r="I204" s="19">
        <f>IF(Master_Data!M204="","",EOMONTH(Master_Data!M204,-1)+1)</f>
        <v>45962</v>
      </c>
      <c r="J204" s="19">
        <f>IF(Master_Data!N204="","",EOMONTH(Master_Data!N204,-1)+1)</f>
        <v>45992</v>
      </c>
    </row>
    <row r="205" spans="1:10">
      <c r="A205" s="2" t="str">
        <f>Master_Data!D205</f>
        <v>WLH/KEC/SIEC/FDA &amp; PA/3RD FL/00</v>
      </c>
      <c r="B205" s="2" t="str">
        <f>Master_Data!B205</f>
        <v>MEP</v>
      </c>
      <c r="C205" s="18">
        <f>IF(Master_Data!H205="","",Master_Data!H205 - WEEKDAY(Master_Data!H205,2) + 1)</f>
        <v>45950</v>
      </c>
      <c r="D205" s="18">
        <f>IF(Master_Data!J205="","",Master_Data!J205 - WEEKDAY(Master_Data!J205,2) + 1)</f>
        <v>45957</v>
      </c>
      <c r="E205" s="18">
        <f>IF(Master_Data!M205="","",Master_Data!M205 - WEEKDAY(Master_Data!M205,2) + 1)</f>
        <v>45964</v>
      </c>
      <c r="F205" s="18">
        <f>IF(Master_Data!N205="","",Master_Data!N205 - WEEKDAY(Master_Data!N205,2) + 1)</f>
        <v>45992</v>
      </c>
      <c r="G205" s="19">
        <f>EOMONTH(Master_Data!H205,-1)+1</f>
        <v>45931</v>
      </c>
      <c r="H205" s="19">
        <f>IF(Master_Data!J205="","",EOMONTH(Master_Data!J205,-1)+1)</f>
        <v>45931</v>
      </c>
      <c r="I205" s="19">
        <f>IF(Master_Data!M205="","",EOMONTH(Master_Data!M205,-1)+1)</f>
        <v>45962</v>
      </c>
      <c r="J205" s="19">
        <f>IF(Master_Data!N205="","",EOMONTH(Master_Data!N205,-1)+1)</f>
        <v>45992</v>
      </c>
    </row>
    <row r="206" spans="1:10">
      <c r="A206" s="2" t="str">
        <f>Master_Data!D206</f>
        <v>WLH/KEC/SIEC/FPS/3RD FL/00</v>
      </c>
      <c r="B206" s="2" t="str">
        <f>Master_Data!B206</f>
        <v>MEP</v>
      </c>
      <c r="C206" s="18">
        <f>IF(Master_Data!H206="","",Master_Data!H206 - WEEKDAY(Master_Data!H206,2) + 1)</f>
        <v>45950</v>
      </c>
      <c r="D206" s="18">
        <f>IF(Master_Data!J206="","",Master_Data!J206 - WEEKDAY(Master_Data!J206,2) + 1)</f>
        <v>45957</v>
      </c>
      <c r="E206" s="18">
        <f>IF(Master_Data!M206="","",Master_Data!M206 - WEEKDAY(Master_Data!M206,2) + 1)</f>
        <v>45964</v>
      </c>
      <c r="F206" s="18">
        <f>IF(Master_Data!N206="","",Master_Data!N206 - WEEKDAY(Master_Data!N206,2) + 1)</f>
        <v>45992</v>
      </c>
      <c r="G206" s="19">
        <f>EOMONTH(Master_Data!H206,-1)+1</f>
        <v>45931</v>
      </c>
      <c r="H206" s="19">
        <f>IF(Master_Data!J206="","",EOMONTH(Master_Data!J206,-1)+1)</f>
        <v>45931</v>
      </c>
      <c r="I206" s="19">
        <f>IF(Master_Data!M206="","",EOMONTH(Master_Data!M206,-1)+1)</f>
        <v>45962</v>
      </c>
      <c r="J206" s="19">
        <f>IF(Master_Data!N206="","",EOMONTH(Master_Data!N206,-1)+1)</f>
        <v>45992</v>
      </c>
    </row>
    <row r="207" spans="1:10" ht="29">
      <c r="A207" s="2" t="str">
        <f>Master_Data!D207</f>
        <v>WLH/KEC/SIEC/SIGNAGE &amp; EXTINGUISHER /4TH FL/00</v>
      </c>
      <c r="B207" s="2" t="str">
        <f>Master_Data!B207</f>
        <v>MEP</v>
      </c>
      <c r="C207" s="18">
        <f>IF(Master_Data!H207="","",Master_Data!H207 - WEEKDAY(Master_Data!H207,2) + 1)</f>
        <v>45789</v>
      </c>
      <c r="D207" s="18">
        <f>IF(Master_Data!J207="","",Master_Data!J207 - WEEKDAY(Master_Data!J207,2) + 1)</f>
        <v>45796</v>
      </c>
      <c r="E207" s="18">
        <f>IF(Master_Data!M207="","",Master_Data!M207 - WEEKDAY(Master_Data!M207,2) + 1)</f>
        <v>45803</v>
      </c>
      <c r="F207" s="18">
        <f>IF(Master_Data!N207="","",Master_Data!N207 - WEEKDAY(Master_Data!N207,2) + 1)</f>
        <v>45810</v>
      </c>
      <c r="G207" s="19">
        <f>EOMONTH(Master_Data!H207,-1)+1</f>
        <v>45778</v>
      </c>
      <c r="H207" s="19">
        <f>IF(Master_Data!J207="","",EOMONTH(Master_Data!J207,-1)+1)</f>
        <v>45778</v>
      </c>
      <c r="I207" s="19">
        <f>IF(Master_Data!M207="","",EOMONTH(Master_Data!M207,-1)+1)</f>
        <v>45809</v>
      </c>
      <c r="J207" s="19">
        <f>IF(Master_Data!N207="","",EOMONTH(Master_Data!N207,-1)+1)</f>
        <v>45809</v>
      </c>
    </row>
    <row r="208" spans="1:10">
      <c r="A208" s="2" t="str">
        <f>Master_Data!D208</f>
        <v>WLH/KEC/SIEC/FDA &amp; PA/4TH FL/00</v>
      </c>
      <c r="B208" s="2" t="str">
        <f>Master_Data!B208</f>
        <v>MEP</v>
      </c>
      <c r="C208" s="18">
        <f>IF(Master_Data!H208="","",Master_Data!H208 - WEEKDAY(Master_Data!H208,2) + 1)</f>
        <v>45789</v>
      </c>
      <c r="D208" s="18">
        <f>IF(Master_Data!J208="","",Master_Data!J208 - WEEKDAY(Master_Data!J208,2) + 1)</f>
        <v>45796</v>
      </c>
      <c r="E208" s="18">
        <f>IF(Master_Data!M208="","",Master_Data!M208 - WEEKDAY(Master_Data!M208,2) + 1)</f>
        <v>45803</v>
      </c>
      <c r="F208" s="18">
        <f>IF(Master_Data!N208="","",Master_Data!N208 - WEEKDAY(Master_Data!N208,2) + 1)</f>
        <v>45810</v>
      </c>
      <c r="G208" s="19">
        <f>EOMONTH(Master_Data!H208,-1)+1</f>
        <v>45778</v>
      </c>
      <c r="H208" s="19">
        <f>IF(Master_Data!J208="","",EOMONTH(Master_Data!J208,-1)+1)</f>
        <v>45778</v>
      </c>
      <c r="I208" s="19">
        <f>IF(Master_Data!M208="","",EOMONTH(Master_Data!M208,-1)+1)</f>
        <v>45809</v>
      </c>
      <c r="J208" s="19">
        <f>IF(Master_Data!N208="","",EOMONTH(Master_Data!N208,-1)+1)</f>
        <v>45809</v>
      </c>
    </row>
    <row r="209" spans="1:10">
      <c r="A209" s="2" t="str">
        <f>Master_Data!D209</f>
        <v>WLH/KEC/SIEC/FPS/4TH FL/00</v>
      </c>
      <c r="B209" s="2" t="str">
        <f>Master_Data!B209</f>
        <v>MEP</v>
      </c>
      <c r="C209" s="18">
        <f>IF(Master_Data!H209="","",Master_Data!H209 - WEEKDAY(Master_Data!H209,2) + 1)</f>
        <v>45789</v>
      </c>
      <c r="D209" s="18">
        <f>IF(Master_Data!J209="","",Master_Data!J209 - WEEKDAY(Master_Data!J209,2) + 1)</f>
        <v>45796</v>
      </c>
      <c r="E209" s="18">
        <f>IF(Master_Data!M209="","",Master_Data!M209 - WEEKDAY(Master_Data!M209,2) + 1)</f>
        <v>45803</v>
      </c>
      <c r="F209" s="18">
        <f>IF(Master_Data!N209="","",Master_Data!N209 - WEEKDAY(Master_Data!N209,2) + 1)</f>
        <v>45810</v>
      </c>
      <c r="G209" s="19">
        <f>EOMONTH(Master_Data!H209,-1)+1</f>
        <v>45778</v>
      </c>
      <c r="H209" s="19">
        <f>IF(Master_Data!J209="","",EOMONTH(Master_Data!J209,-1)+1)</f>
        <v>45778</v>
      </c>
      <c r="I209" s="19">
        <f>IF(Master_Data!M209="","",EOMONTH(Master_Data!M209,-1)+1)</f>
        <v>45809</v>
      </c>
      <c r="J209" s="19">
        <f>IF(Master_Data!N209="","",EOMONTH(Master_Data!N209,-1)+1)</f>
        <v>45809</v>
      </c>
    </row>
    <row r="210" spans="1:10" ht="29">
      <c r="A210" s="2" t="str">
        <f>Master_Data!D210</f>
        <v>WLH/KEC/SIEC/SIGNAGE &amp; EXTINGUISHER /5TH FL/00</v>
      </c>
      <c r="B210" s="2" t="str">
        <f>Master_Data!B210</f>
        <v>MEP</v>
      </c>
      <c r="C210" s="18">
        <f>IF(Master_Data!H210="","",Master_Data!H210 - WEEKDAY(Master_Data!H210,2) + 1)</f>
        <v>45803</v>
      </c>
      <c r="D210" s="18">
        <f>IF(Master_Data!J210="","",Master_Data!J210 - WEEKDAY(Master_Data!J210,2) + 1)</f>
        <v>45838</v>
      </c>
      <c r="E210" s="18">
        <f>IF(Master_Data!M210="","",Master_Data!M210 - WEEKDAY(Master_Data!M210,2) + 1)</f>
        <v>45817</v>
      </c>
      <c r="F210" s="18">
        <f>IF(Master_Data!N210="","",Master_Data!N210 - WEEKDAY(Master_Data!N210,2) + 1)</f>
        <v>45943</v>
      </c>
      <c r="G210" s="19">
        <f>EOMONTH(Master_Data!H210,-1)+1</f>
        <v>45778</v>
      </c>
      <c r="H210" s="19">
        <f>IF(Master_Data!J210="","",EOMONTH(Master_Data!J210,-1)+1)</f>
        <v>45839</v>
      </c>
      <c r="I210" s="19">
        <f>IF(Master_Data!M210="","",EOMONTH(Master_Data!M210,-1)+1)</f>
        <v>45809</v>
      </c>
      <c r="J210" s="19">
        <f>IF(Master_Data!N210="","",EOMONTH(Master_Data!N210,-1)+1)</f>
        <v>45931</v>
      </c>
    </row>
    <row r="211" spans="1:10">
      <c r="A211" s="2" t="str">
        <f>Master_Data!D211</f>
        <v>WLH/KEC/SIEC/FDA &amp; PA/5TH FL/00</v>
      </c>
      <c r="B211" s="2" t="str">
        <f>Master_Data!B211</f>
        <v>MEP</v>
      </c>
      <c r="C211" s="18">
        <f>IF(Master_Data!H211="","",Master_Data!H211 - WEEKDAY(Master_Data!H211,2) + 1)</f>
        <v>45803</v>
      </c>
      <c r="D211" s="18">
        <f>IF(Master_Data!J211="","",Master_Data!J211 - WEEKDAY(Master_Data!J211,2) + 1)</f>
        <v>45838</v>
      </c>
      <c r="E211" s="18">
        <f>IF(Master_Data!M211="","",Master_Data!M211 - WEEKDAY(Master_Data!M211,2) + 1)</f>
        <v>45817</v>
      </c>
      <c r="F211" s="18">
        <f>IF(Master_Data!N211="","",Master_Data!N211 - WEEKDAY(Master_Data!N211,2) + 1)</f>
        <v>45943</v>
      </c>
      <c r="G211" s="19">
        <f>EOMONTH(Master_Data!H211,-1)+1</f>
        <v>45778</v>
      </c>
      <c r="H211" s="19">
        <f>IF(Master_Data!J211="","",EOMONTH(Master_Data!J211,-1)+1)</f>
        <v>45839</v>
      </c>
      <c r="I211" s="19">
        <f>IF(Master_Data!M211="","",EOMONTH(Master_Data!M211,-1)+1)</f>
        <v>45809</v>
      </c>
      <c r="J211" s="19">
        <f>IF(Master_Data!N211="","",EOMONTH(Master_Data!N211,-1)+1)</f>
        <v>45931</v>
      </c>
    </row>
    <row r="212" spans="1:10">
      <c r="A212" s="2" t="str">
        <f>Master_Data!D212</f>
        <v>WLH/KEC/SIEC/FPS/5TH FL/00</v>
      </c>
      <c r="B212" s="2" t="str">
        <f>Master_Data!B212</f>
        <v>MEP</v>
      </c>
      <c r="C212" s="18">
        <f>IF(Master_Data!H212="","",Master_Data!H212 - WEEKDAY(Master_Data!H212,2) + 1)</f>
        <v>45803</v>
      </c>
      <c r="D212" s="18">
        <f>IF(Master_Data!J212="","",Master_Data!J212 - WEEKDAY(Master_Data!J212,2) + 1)</f>
        <v>45838</v>
      </c>
      <c r="E212" s="18">
        <f>IF(Master_Data!M212="","",Master_Data!M212 - WEEKDAY(Master_Data!M212,2) + 1)</f>
        <v>45817</v>
      </c>
      <c r="F212" s="18">
        <f>IF(Master_Data!N212="","",Master_Data!N212 - WEEKDAY(Master_Data!N212,2) + 1)</f>
        <v>45943</v>
      </c>
      <c r="G212" s="19">
        <f>EOMONTH(Master_Data!H212,-1)+1</f>
        <v>45778</v>
      </c>
      <c r="H212" s="19">
        <f>IF(Master_Data!J212="","",EOMONTH(Master_Data!J212,-1)+1)</f>
        <v>45839</v>
      </c>
      <c r="I212" s="19">
        <f>IF(Master_Data!M212="","",EOMONTH(Master_Data!M212,-1)+1)</f>
        <v>45809</v>
      </c>
      <c r="J212" s="19">
        <f>IF(Master_Data!N212="","",EOMONTH(Master_Data!N212,-1)+1)</f>
        <v>45931</v>
      </c>
    </row>
    <row r="213" spans="1:10" ht="29">
      <c r="A213" s="2" t="str">
        <f>Master_Data!D213</f>
        <v>WLH/KEC/SIEC/SIGNAGE &amp; EXTINGUISHER /6TH FL/00</v>
      </c>
      <c r="B213" s="2" t="str">
        <f>Master_Data!B213</f>
        <v>MEP</v>
      </c>
      <c r="C213" s="18">
        <f>IF(Master_Data!H213="","",Master_Data!H213 - WEEKDAY(Master_Data!H213,2) + 1)</f>
        <v>45817</v>
      </c>
      <c r="D213" s="18">
        <f>IF(Master_Data!J213="","",Master_Data!J213 - WEEKDAY(Master_Data!J213,2) + 1)</f>
        <v>45845</v>
      </c>
      <c r="E213" s="18">
        <f>IF(Master_Data!M213="","",Master_Data!M213 - WEEKDAY(Master_Data!M213,2) + 1)</f>
        <v>45838</v>
      </c>
      <c r="F213" s="18">
        <f>IF(Master_Data!N213="","",Master_Data!N213 - WEEKDAY(Master_Data!N213,2) + 1)</f>
        <v>45943</v>
      </c>
      <c r="G213" s="19">
        <f>EOMONTH(Master_Data!H213,-1)+1</f>
        <v>45809</v>
      </c>
      <c r="H213" s="19">
        <f>IF(Master_Data!J213="","",EOMONTH(Master_Data!J213,-1)+1)</f>
        <v>45839</v>
      </c>
      <c r="I213" s="19">
        <f>IF(Master_Data!M213="","",EOMONTH(Master_Data!M213,-1)+1)</f>
        <v>45839</v>
      </c>
      <c r="J213" s="19">
        <f>IF(Master_Data!N213="","",EOMONTH(Master_Data!N213,-1)+1)</f>
        <v>45931</v>
      </c>
    </row>
    <row r="214" spans="1:10">
      <c r="A214" s="2" t="str">
        <f>Master_Data!D214</f>
        <v>WLH/KEC/SIEC/FDA &amp; PA/6TH FL/00</v>
      </c>
      <c r="B214" s="2" t="str">
        <f>Master_Data!B214</f>
        <v>MEP</v>
      </c>
      <c r="C214" s="18">
        <f>IF(Master_Data!H214="","",Master_Data!H214 - WEEKDAY(Master_Data!H214,2) + 1)</f>
        <v>45817</v>
      </c>
      <c r="D214" s="18">
        <f>IF(Master_Data!J214="","",Master_Data!J214 - WEEKDAY(Master_Data!J214,2) + 1)</f>
        <v>45845</v>
      </c>
      <c r="E214" s="18">
        <f>IF(Master_Data!M214="","",Master_Data!M214 - WEEKDAY(Master_Data!M214,2) + 1)</f>
        <v>45838</v>
      </c>
      <c r="F214" s="18">
        <f>IF(Master_Data!N214="","",Master_Data!N214 - WEEKDAY(Master_Data!N214,2) + 1)</f>
        <v>45943</v>
      </c>
      <c r="G214" s="19">
        <f>EOMONTH(Master_Data!H214,-1)+1</f>
        <v>45809</v>
      </c>
      <c r="H214" s="19">
        <f>IF(Master_Data!J214="","",EOMONTH(Master_Data!J214,-1)+1)</f>
        <v>45839</v>
      </c>
      <c r="I214" s="19">
        <f>IF(Master_Data!M214="","",EOMONTH(Master_Data!M214,-1)+1)</f>
        <v>45839</v>
      </c>
      <c r="J214" s="19">
        <f>IF(Master_Data!N214="","",EOMONTH(Master_Data!N214,-1)+1)</f>
        <v>45931</v>
      </c>
    </row>
    <row r="215" spans="1:10">
      <c r="A215" s="2" t="str">
        <f>Master_Data!D215</f>
        <v>WLH/KEC/SIEC/FPS/6TH FL/00</v>
      </c>
      <c r="B215" s="2" t="str">
        <f>Master_Data!B215</f>
        <v>MEP</v>
      </c>
      <c r="C215" s="18">
        <f>IF(Master_Data!H215="","",Master_Data!H215 - WEEKDAY(Master_Data!H215,2) + 1)</f>
        <v>45817</v>
      </c>
      <c r="D215" s="18">
        <f>IF(Master_Data!J215="","",Master_Data!J215 - WEEKDAY(Master_Data!J215,2) + 1)</f>
        <v>45845</v>
      </c>
      <c r="E215" s="18">
        <f>IF(Master_Data!M215="","",Master_Data!M215 - WEEKDAY(Master_Data!M215,2) + 1)</f>
        <v>45838</v>
      </c>
      <c r="F215" s="18">
        <f>IF(Master_Data!N215="","",Master_Data!N215 - WEEKDAY(Master_Data!N215,2) + 1)</f>
        <v>45943</v>
      </c>
      <c r="G215" s="19">
        <f>EOMONTH(Master_Data!H215,-1)+1</f>
        <v>45809</v>
      </c>
      <c r="H215" s="19">
        <f>IF(Master_Data!J215="","",EOMONTH(Master_Data!J215,-1)+1)</f>
        <v>45839</v>
      </c>
      <c r="I215" s="19">
        <f>IF(Master_Data!M215="","",EOMONTH(Master_Data!M215,-1)+1)</f>
        <v>45839</v>
      </c>
      <c r="J215" s="19">
        <f>IF(Master_Data!N215="","",EOMONTH(Master_Data!N215,-1)+1)</f>
        <v>45931</v>
      </c>
    </row>
    <row r="216" spans="1:10" ht="29">
      <c r="A216" s="2" t="str">
        <f>Master_Data!D216</f>
        <v>WLH/KEC/SIEC/SIGNAGE &amp; EXTINGUISHER /7TH FL/00</v>
      </c>
      <c r="B216" s="2" t="str">
        <f>Master_Data!B216</f>
        <v>MEP</v>
      </c>
      <c r="C216" s="18">
        <f>IF(Master_Data!H216="","",Master_Data!H216 - WEEKDAY(Master_Data!H216,2) + 1)</f>
        <v>45831</v>
      </c>
      <c r="D216" s="18">
        <f>IF(Master_Data!J216="","",Master_Data!J216 - WEEKDAY(Master_Data!J216,2) + 1)</f>
        <v>45894</v>
      </c>
      <c r="E216" s="18">
        <f>IF(Master_Data!M216="","",Master_Data!M216 - WEEKDAY(Master_Data!M216,2) + 1)</f>
        <v>45852</v>
      </c>
      <c r="F216" s="18">
        <f>IF(Master_Data!N216="","",Master_Data!N216 - WEEKDAY(Master_Data!N216,2) + 1)</f>
        <v>45943</v>
      </c>
      <c r="G216" s="19">
        <f>EOMONTH(Master_Data!H216,-1)+1</f>
        <v>45809</v>
      </c>
      <c r="H216" s="19">
        <f>IF(Master_Data!J216="","",EOMONTH(Master_Data!J216,-1)+1)</f>
        <v>45870</v>
      </c>
      <c r="I216" s="19">
        <f>IF(Master_Data!M216="","",EOMONTH(Master_Data!M216,-1)+1)</f>
        <v>45839</v>
      </c>
      <c r="J216" s="19">
        <f>IF(Master_Data!N216="","",EOMONTH(Master_Data!N216,-1)+1)</f>
        <v>45931</v>
      </c>
    </row>
    <row r="217" spans="1:10">
      <c r="A217" s="2" t="str">
        <f>Master_Data!D217</f>
        <v>WLH/KEC/SIEC/FDA &amp; PA/7TH FL/00</v>
      </c>
      <c r="B217" s="2" t="str">
        <f>Master_Data!B217</f>
        <v>MEP</v>
      </c>
      <c r="C217" s="18">
        <f>IF(Master_Data!H217="","",Master_Data!H217 - WEEKDAY(Master_Data!H217,2) + 1)</f>
        <v>45831</v>
      </c>
      <c r="D217" s="18">
        <f>IF(Master_Data!J217="","",Master_Data!J217 - WEEKDAY(Master_Data!J217,2) + 1)</f>
        <v>45894</v>
      </c>
      <c r="E217" s="18">
        <f>IF(Master_Data!M217="","",Master_Data!M217 - WEEKDAY(Master_Data!M217,2) + 1)</f>
        <v>45852</v>
      </c>
      <c r="F217" s="18">
        <f>IF(Master_Data!N217="","",Master_Data!N217 - WEEKDAY(Master_Data!N217,2) + 1)</f>
        <v>45943</v>
      </c>
      <c r="G217" s="19">
        <f>EOMONTH(Master_Data!H217,-1)+1</f>
        <v>45809</v>
      </c>
      <c r="H217" s="19">
        <f>IF(Master_Data!J217="","",EOMONTH(Master_Data!J217,-1)+1)</f>
        <v>45870</v>
      </c>
      <c r="I217" s="19">
        <f>IF(Master_Data!M217="","",EOMONTH(Master_Data!M217,-1)+1)</f>
        <v>45839</v>
      </c>
      <c r="J217" s="19">
        <f>IF(Master_Data!N217="","",EOMONTH(Master_Data!N217,-1)+1)</f>
        <v>45931</v>
      </c>
    </row>
    <row r="218" spans="1:10">
      <c r="A218" s="2" t="str">
        <f>Master_Data!D218</f>
        <v>WLH/KEC/SIEC/FPS/7TH FL/00</v>
      </c>
      <c r="B218" s="2" t="str">
        <f>Master_Data!B218</f>
        <v>MEP</v>
      </c>
      <c r="C218" s="18">
        <f>IF(Master_Data!H218="","",Master_Data!H218 - WEEKDAY(Master_Data!H218,2) + 1)</f>
        <v>45831</v>
      </c>
      <c r="D218" s="18">
        <f>IF(Master_Data!J218="","",Master_Data!J218 - WEEKDAY(Master_Data!J218,2) + 1)</f>
        <v>45894</v>
      </c>
      <c r="E218" s="18">
        <f>IF(Master_Data!M218="","",Master_Data!M218 - WEEKDAY(Master_Data!M218,2) + 1)</f>
        <v>45852</v>
      </c>
      <c r="F218" s="18">
        <f>IF(Master_Data!N218="","",Master_Data!N218 - WEEKDAY(Master_Data!N218,2) + 1)</f>
        <v>45943</v>
      </c>
      <c r="G218" s="19">
        <f>EOMONTH(Master_Data!H218,-1)+1</f>
        <v>45809</v>
      </c>
      <c r="H218" s="19">
        <f>IF(Master_Data!J218="","",EOMONTH(Master_Data!J218,-1)+1)</f>
        <v>45870</v>
      </c>
      <c r="I218" s="19">
        <f>IF(Master_Data!M218="","",EOMONTH(Master_Data!M218,-1)+1)</f>
        <v>45839</v>
      </c>
      <c r="J218" s="19">
        <f>IF(Master_Data!N218="","",EOMONTH(Master_Data!N218,-1)+1)</f>
        <v>45931</v>
      </c>
    </row>
    <row r="219" spans="1:10" ht="29">
      <c r="A219" s="2" t="str">
        <f>Master_Data!D219</f>
        <v>WLH/KEC/SIEC/SIGNAGE &amp; EXTINGUISHER /8TH FL/00</v>
      </c>
      <c r="B219" s="2" t="str">
        <f>Master_Data!B219</f>
        <v>MEP</v>
      </c>
      <c r="C219" s="18">
        <f>IF(Master_Data!H219="","",Master_Data!H219 - WEEKDAY(Master_Data!H219,2) + 1)</f>
        <v>45831</v>
      </c>
      <c r="D219" s="18">
        <f>IF(Master_Data!J219="","",Master_Data!J219 - WEEKDAY(Master_Data!J219,2) + 1)</f>
        <v>45894</v>
      </c>
      <c r="E219" s="18">
        <f>IF(Master_Data!M219="","",Master_Data!M219 - WEEKDAY(Master_Data!M219,2) + 1)</f>
        <v>45852</v>
      </c>
      <c r="F219" s="18">
        <f>IF(Master_Data!N219="","",Master_Data!N219 - WEEKDAY(Master_Data!N219,2) + 1)</f>
        <v>45957</v>
      </c>
      <c r="G219" s="19">
        <f>EOMONTH(Master_Data!H219,-1)+1</f>
        <v>45809</v>
      </c>
      <c r="H219" s="19">
        <f>IF(Master_Data!J219="","",EOMONTH(Master_Data!J219,-1)+1)</f>
        <v>45870</v>
      </c>
      <c r="I219" s="19">
        <f>IF(Master_Data!M219="","",EOMONTH(Master_Data!M219,-1)+1)</f>
        <v>45839</v>
      </c>
      <c r="J219" s="19">
        <f>IF(Master_Data!N219="","",EOMONTH(Master_Data!N219,-1)+1)</f>
        <v>45931</v>
      </c>
    </row>
    <row r="220" spans="1:10">
      <c r="A220" s="2" t="str">
        <f>Master_Data!D220</f>
        <v>WLH/KEC/SIEC/FDA &amp; PA/8TH FL/00</v>
      </c>
      <c r="B220" s="2" t="str">
        <f>Master_Data!B220</f>
        <v>MEP</v>
      </c>
      <c r="C220" s="18">
        <f>IF(Master_Data!H220="","",Master_Data!H220 - WEEKDAY(Master_Data!H220,2) + 1)</f>
        <v>45831</v>
      </c>
      <c r="D220" s="18">
        <f>IF(Master_Data!J220="","",Master_Data!J220 - WEEKDAY(Master_Data!J220,2) + 1)</f>
        <v>45894</v>
      </c>
      <c r="E220" s="18">
        <f>IF(Master_Data!M220="","",Master_Data!M220 - WEEKDAY(Master_Data!M220,2) + 1)</f>
        <v>45852</v>
      </c>
      <c r="F220" s="18">
        <f>IF(Master_Data!N220="","",Master_Data!N220 - WEEKDAY(Master_Data!N220,2) + 1)</f>
        <v>45957</v>
      </c>
      <c r="G220" s="19">
        <f>EOMONTH(Master_Data!H220,-1)+1</f>
        <v>45809</v>
      </c>
      <c r="H220" s="19">
        <f>IF(Master_Data!J220="","",EOMONTH(Master_Data!J220,-1)+1)</f>
        <v>45870</v>
      </c>
      <c r="I220" s="19">
        <f>IF(Master_Data!M220="","",EOMONTH(Master_Data!M220,-1)+1)</f>
        <v>45839</v>
      </c>
      <c r="J220" s="19">
        <f>IF(Master_Data!N220="","",EOMONTH(Master_Data!N220,-1)+1)</f>
        <v>45931</v>
      </c>
    </row>
    <row r="221" spans="1:10">
      <c r="A221" s="2" t="str">
        <f>Master_Data!D221</f>
        <v>WLH/KEC/SIEC/FPS/8TH FL/00</v>
      </c>
      <c r="B221" s="2" t="str">
        <f>Master_Data!B221</f>
        <v>MEP</v>
      </c>
      <c r="C221" s="18">
        <f>IF(Master_Data!H221="","",Master_Data!H221 - WEEKDAY(Master_Data!H221,2) + 1)</f>
        <v>45831</v>
      </c>
      <c r="D221" s="18">
        <f>IF(Master_Data!J221="","",Master_Data!J221 - WEEKDAY(Master_Data!J221,2) + 1)</f>
        <v>45894</v>
      </c>
      <c r="E221" s="18">
        <f>IF(Master_Data!M221="","",Master_Data!M221 - WEEKDAY(Master_Data!M221,2) + 1)</f>
        <v>45852</v>
      </c>
      <c r="F221" s="18">
        <f>IF(Master_Data!N221="","",Master_Data!N221 - WEEKDAY(Master_Data!N221,2) + 1)</f>
        <v>45957</v>
      </c>
      <c r="G221" s="19">
        <f>EOMONTH(Master_Data!H221,-1)+1</f>
        <v>45809</v>
      </c>
      <c r="H221" s="19">
        <f>IF(Master_Data!J221="","",EOMONTH(Master_Data!J221,-1)+1)</f>
        <v>45870</v>
      </c>
      <c r="I221" s="19">
        <f>IF(Master_Data!M221="","",EOMONTH(Master_Data!M221,-1)+1)</f>
        <v>45839</v>
      </c>
      <c r="J221" s="19">
        <f>IF(Master_Data!N221="","",EOMONTH(Master_Data!N221,-1)+1)</f>
        <v>45931</v>
      </c>
    </row>
    <row r="222" spans="1:10" ht="29">
      <c r="A222" s="2" t="str">
        <f>Master_Data!D222</f>
        <v>WLH/KEC/SIEC/SIGNAGE &amp; EXTINGUISHER /9TH FL/00</v>
      </c>
      <c r="B222" s="2" t="str">
        <f>Master_Data!B222</f>
        <v>MEP</v>
      </c>
      <c r="C222" s="18">
        <f>IF(Master_Data!H222="","",Master_Data!H222 - WEEKDAY(Master_Data!H222,2) + 1)</f>
        <v>45845</v>
      </c>
      <c r="D222" s="18">
        <f>IF(Master_Data!J222="","",Master_Data!J222 - WEEKDAY(Master_Data!J222,2) + 1)</f>
        <v>45824</v>
      </c>
      <c r="E222" s="18">
        <f>IF(Master_Data!M222="","",Master_Data!M222 - WEEKDAY(Master_Data!M222,2) + 1)</f>
        <v>45866</v>
      </c>
      <c r="F222" s="18">
        <f>IF(Master_Data!N222="","",Master_Data!N222 - WEEKDAY(Master_Data!N222,2) + 1)</f>
        <v>45845</v>
      </c>
      <c r="G222" s="19">
        <f>EOMONTH(Master_Data!H222,-1)+1</f>
        <v>45839</v>
      </c>
      <c r="H222" s="19">
        <f>IF(Master_Data!J222="","",EOMONTH(Master_Data!J222,-1)+1)</f>
        <v>45809</v>
      </c>
      <c r="I222" s="19">
        <f>IF(Master_Data!M222="","",EOMONTH(Master_Data!M222,-1)+1)</f>
        <v>45870</v>
      </c>
      <c r="J222" s="19">
        <f>IF(Master_Data!N222="","",EOMONTH(Master_Data!N222,-1)+1)</f>
        <v>45839</v>
      </c>
    </row>
    <row r="223" spans="1:10">
      <c r="A223" s="2" t="str">
        <f>Master_Data!D223</f>
        <v>WLH/KEC/SIEC/FDA &amp; PA/9TH FL/00</v>
      </c>
      <c r="B223" s="2" t="str">
        <f>Master_Data!B223</f>
        <v>MEP</v>
      </c>
      <c r="C223" s="18">
        <f>IF(Master_Data!H223="","",Master_Data!H223 - WEEKDAY(Master_Data!H223,2) + 1)</f>
        <v>45845</v>
      </c>
      <c r="D223" s="18">
        <f>IF(Master_Data!J223="","",Master_Data!J223 - WEEKDAY(Master_Data!J223,2) + 1)</f>
        <v>45824</v>
      </c>
      <c r="E223" s="18">
        <f>IF(Master_Data!M223="","",Master_Data!M223 - WEEKDAY(Master_Data!M223,2) + 1)</f>
        <v>45866</v>
      </c>
      <c r="F223" s="18">
        <f>IF(Master_Data!N223="","",Master_Data!N223 - WEEKDAY(Master_Data!N223,2) + 1)</f>
        <v>45845</v>
      </c>
      <c r="G223" s="19">
        <f>EOMONTH(Master_Data!H223,-1)+1</f>
        <v>45839</v>
      </c>
      <c r="H223" s="19">
        <f>IF(Master_Data!J223="","",EOMONTH(Master_Data!J223,-1)+1)</f>
        <v>45809</v>
      </c>
      <c r="I223" s="19">
        <f>IF(Master_Data!M223="","",EOMONTH(Master_Data!M223,-1)+1)</f>
        <v>45870</v>
      </c>
      <c r="J223" s="19">
        <f>IF(Master_Data!N223="","",EOMONTH(Master_Data!N223,-1)+1)</f>
        <v>45839</v>
      </c>
    </row>
    <row r="224" spans="1:10">
      <c r="A224" s="2" t="str">
        <f>Master_Data!D224</f>
        <v>WLH/KEC/SIEC/FPS/9TH FL/00</v>
      </c>
      <c r="B224" s="2" t="str">
        <f>Master_Data!B224</f>
        <v>MEP</v>
      </c>
      <c r="C224" s="18">
        <f>IF(Master_Data!H224="","",Master_Data!H224 - WEEKDAY(Master_Data!H224,2) + 1)</f>
        <v>45845</v>
      </c>
      <c r="D224" s="18">
        <f>IF(Master_Data!J224="","",Master_Data!J224 - WEEKDAY(Master_Data!J224,2) + 1)</f>
        <v>45824</v>
      </c>
      <c r="E224" s="18">
        <f>IF(Master_Data!M224="","",Master_Data!M224 - WEEKDAY(Master_Data!M224,2) + 1)</f>
        <v>45866</v>
      </c>
      <c r="F224" s="18">
        <f>IF(Master_Data!N224="","",Master_Data!N224 - WEEKDAY(Master_Data!N224,2) + 1)</f>
        <v>45845</v>
      </c>
      <c r="G224" s="19">
        <f>EOMONTH(Master_Data!H224,-1)+1</f>
        <v>45839</v>
      </c>
      <c r="H224" s="19">
        <f>IF(Master_Data!J224="","",EOMONTH(Master_Data!J224,-1)+1)</f>
        <v>45809</v>
      </c>
      <c r="I224" s="19">
        <f>IF(Master_Data!M224="","",EOMONTH(Master_Data!M224,-1)+1)</f>
        <v>45870</v>
      </c>
      <c r="J224" s="19">
        <f>IF(Master_Data!N224="","",EOMONTH(Master_Data!N224,-1)+1)</f>
        <v>45839</v>
      </c>
    </row>
    <row r="225" spans="1:10">
      <c r="A225" s="2" t="str">
        <f>Master_Data!D225</f>
        <v>WLH/KEC/SIEC/FDA &amp; PA/10TH FL/00</v>
      </c>
      <c r="B225" s="2" t="str">
        <f>Master_Data!B225</f>
        <v>MEP</v>
      </c>
      <c r="C225" s="18">
        <f>IF(Master_Data!H225="","",Master_Data!H225 - WEEKDAY(Master_Data!H225,2) + 1)</f>
        <v>45845</v>
      </c>
      <c r="D225" s="18">
        <f>IF(Master_Data!J225="","",Master_Data!J225 - WEEKDAY(Master_Data!J225,2) + 1)</f>
        <v>45908</v>
      </c>
      <c r="E225" s="18">
        <f>IF(Master_Data!M225="","",Master_Data!M225 - WEEKDAY(Master_Data!M225,2) + 1)</f>
        <v>45866</v>
      </c>
      <c r="F225" s="18">
        <f>IF(Master_Data!N225="","",Master_Data!N225 - WEEKDAY(Master_Data!N225,2) + 1)</f>
        <v>45943</v>
      </c>
      <c r="G225" s="19">
        <f>EOMONTH(Master_Data!H225,-1)+1</f>
        <v>45839</v>
      </c>
      <c r="H225" s="19">
        <f>IF(Master_Data!J225="","",EOMONTH(Master_Data!J225,-1)+1)</f>
        <v>45901</v>
      </c>
      <c r="I225" s="19">
        <f>IF(Master_Data!M225="","",EOMONTH(Master_Data!M225,-1)+1)</f>
        <v>45870</v>
      </c>
      <c r="J225" s="19">
        <f>IF(Master_Data!N225="","",EOMONTH(Master_Data!N225,-1)+1)</f>
        <v>45931</v>
      </c>
    </row>
    <row r="226" spans="1:10">
      <c r="A226" s="2" t="str">
        <f>Master_Data!D226</f>
        <v>WLH/KEC/SIEC/FPS/10TH FL/00</v>
      </c>
      <c r="B226" s="2" t="str">
        <f>Master_Data!B226</f>
        <v>MEP</v>
      </c>
      <c r="C226" s="18">
        <f>IF(Master_Data!H226="","",Master_Data!H226 - WEEKDAY(Master_Data!H226,2) + 1)</f>
        <v>45845</v>
      </c>
      <c r="D226" s="18">
        <f>IF(Master_Data!J226="","",Master_Data!J226 - WEEKDAY(Master_Data!J226,2) + 1)</f>
        <v>45908</v>
      </c>
      <c r="E226" s="18">
        <f>IF(Master_Data!M226="","",Master_Data!M226 - WEEKDAY(Master_Data!M226,2) + 1)</f>
        <v>45866</v>
      </c>
      <c r="F226" s="18">
        <f>IF(Master_Data!N226="","",Master_Data!N226 - WEEKDAY(Master_Data!N226,2) + 1)</f>
        <v>45943</v>
      </c>
      <c r="G226" s="19">
        <f>EOMONTH(Master_Data!H226,-1)+1</f>
        <v>45839</v>
      </c>
      <c r="H226" s="19">
        <f>IF(Master_Data!J226="","",EOMONTH(Master_Data!J226,-1)+1)</f>
        <v>45901</v>
      </c>
      <c r="I226" s="19">
        <f>IF(Master_Data!M226="","",EOMONTH(Master_Data!M226,-1)+1)</f>
        <v>45870</v>
      </c>
      <c r="J226" s="19">
        <f>IF(Master_Data!N226="","",EOMONTH(Master_Data!N226,-1)+1)</f>
        <v>45931</v>
      </c>
    </row>
    <row r="227" spans="1:10" ht="29">
      <c r="A227" s="2" t="str">
        <f>Master_Data!D227</f>
        <v>WLH/KEC/SIEC/SIGNAGE &amp; EXTINGUISHER /10TH FL/00</v>
      </c>
      <c r="B227" s="2" t="str">
        <f>Master_Data!B227</f>
        <v>MEP</v>
      </c>
      <c r="C227" s="18">
        <f>IF(Master_Data!H227="","",Master_Data!H227 - WEEKDAY(Master_Data!H227,2) + 1)</f>
        <v>45971</v>
      </c>
      <c r="D227" s="18">
        <f>IF(Master_Data!J227="","",Master_Data!J227 - WEEKDAY(Master_Data!J227,2) + 1)</f>
        <v>45978</v>
      </c>
      <c r="E227" s="18">
        <f>IF(Master_Data!M227="","",Master_Data!M227 - WEEKDAY(Master_Data!M227,2) + 1)</f>
        <v>45880</v>
      </c>
      <c r="F227" s="18">
        <f>IF(Master_Data!N227="","",Master_Data!N227 - WEEKDAY(Master_Data!N227,2) + 1)</f>
        <v>46069</v>
      </c>
      <c r="G227" s="19">
        <f>EOMONTH(Master_Data!H227,-1)+1</f>
        <v>45962</v>
      </c>
      <c r="H227" s="19">
        <f>IF(Master_Data!J227="","",EOMONTH(Master_Data!J227,-1)+1)</f>
        <v>45962</v>
      </c>
      <c r="I227" s="19">
        <f>IF(Master_Data!M227="","",EOMONTH(Master_Data!M227,-1)+1)</f>
        <v>45870</v>
      </c>
      <c r="J227" s="19">
        <f>IF(Master_Data!N227="","",EOMONTH(Master_Data!N227,-1)+1)</f>
        <v>46054</v>
      </c>
    </row>
    <row r="228" spans="1:10">
      <c r="A228" s="2" t="str">
        <f>Master_Data!D228</f>
        <v>WLH/KEC/SIEC/FDA &amp; PA/TERRACE/00</v>
      </c>
      <c r="B228" s="2" t="str">
        <f>Master_Data!B228</f>
        <v>MEP</v>
      </c>
      <c r="C228" s="18">
        <f>IF(Master_Data!H228="","",Master_Data!H228 - WEEKDAY(Master_Data!H228,2) + 1)</f>
        <v>45971</v>
      </c>
      <c r="D228" s="18">
        <f>IF(Master_Data!J228="","",Master_Data!J228 - WEEKDAY(Master_Data!J228,2) + 1)</f>
        <v>45971</v>
      </c>
      <c r="E228" s="18">
        <f>IF(Master_Data!M228="","",Master_Data!M228 - WEEKDAY(Master_Data!M228,2) + 1)</f>
        <v>45880</v>
      </c>
      <c r="F228" s="18">
        <f>IF(Master_Data!N228="","",Master_Data!N228 - WEEKDAY(Master_Data!N228,2) + 1)</f>
        <v>46069</v>
      </c>
      <c r="G228" s="19">
        <f>EOMONTH(Master_Data!H228,-1)+1</f>
        <v>45962</v>
      </c>
      <c r="H228" s="19">
        <f>IF(Master_Data!J228="","",EOMONTH(Master_Data!J228,-1)+1)</f>
        <v>45962</v>
      </c>
      <c r="I228" s="19">
        <f>IF(Master_Data!M228="","",EOMONTH(Master_Data!M228,-1)+1)</f>
        <v>45870</v>
      </c>
      <c r="J228" s="19">
        <f>IF(Master_Data!N228="","",EOMONTH(Master_Data!N228,-1)+1)</f>
        <v>46054</v>
      </c>
    </row>
    <row r="229" spans="1:10">
      <c r="A229" s="2" t="str">
        <f>Master_Data!D229</f>
        <v>WLH/KEC/SIEC/FPS/TERRACE/00</v>
      </c>
      <c r="B229" s="2" t="str">
        <f>Master_Data!B229</f>
        <v>MEP</v>
      </c>
      <c r="C229" s="18">
        <f>IF(Master_Data!H229="","",Master_Data!H229 - WEEKDAY(Master_Data!H229,2) + 1)</f>
        <v>45971</v>
      </c>
      <c r="D229" s="18">
        <f>IF(Master_Data!J229="","",Master_Data!J229 - WEEKDAY(Master_Data!J229,2) + 1)</f>
        <v>45971</v>
      </c>
      <c r="E229" s="18">
        <f>IF(Master_Data!M229="","",Master_Data!M229 - WEEKDAY(Master_Data!M229,2) + 1)</f>
        <v>45880</v>
      </c>
      <c r="F229" s="18">
        <f>IF(Master_Data!N229="","",Master_Data!N229 - WEEKDAY(Master_Data!N229,2) + 1)</f>
        <v>46069</v>
      </c>
      <c r="G229" s="19">
        <f>EOMONTH(Master_Data!H229,-1)+1</f>
        <v>45962</v>
      </c>
      <c r="H229" s="19">
        <f>IF(Master_Data!J229="","",EOMONTH(Master_Data!J229,-1)+1)</f>
        <v>45962</v>
      </c>
      <c r="I229" s="19">
        <f>IF(Master_Data!M229="","",EOMONTH(Master_Data!M229,-1)+1)</f>
        <v>45870</v>
      </c>
      <c r="J229" s="19">
        <f>IF(Master_Data!N229="","",EOMONTH(Master_Data!N229,-1)+1)</f>
        <v>46054</v>
      </c>
    </row>
    <row r="230" spans="1:10" ht="29">
      <c r="A230" s="2" t="str">
        <f>Master_Data!D230</f>
        <v>WLH/KEC/SIEC/FIRE/INFRA/PUMP ROOM/00</v>
      </c>
      <c r="B230" s="2" t="str">
        <f>Master_Data!B230</f>
        <v>MEP</v>
      </c>
      <c r="C230" s="18">
        <f>IF(Master_Data!H230="","",Master_Data!H230 - WEEKDAY(Master_Data!H230,2) + 1)</f>
        <v>45761</v>
      </c>
      <c r="D230" s="18">
        <f>IF(Master_Data!J230="","",Master_Data!J230 - WEEKDAY(Master_Data!J230,2) + 1)</f>
        <v>45761</v>
      </c>
      <c r="E230" s="18">
        <f>IF(Master_Data!M230="","",Master_Data!M230 - WEEKDAY(Master_Data!M230,2) + 1)</f>
        <v>45789</v>
      </c>
      <c r="F230" s="18">
        <f>IF(Master_Data!N230="","",Master_Data!N230 - WEEKDAY(Master_Data!N230,2) + 1)</f>
        <v>45761</v>
      </c>
      <c r="G230" s="19">
        <f>EOMONTH(Master_Data!H230,-1)+1</f>
        <v>45748</v>
      </c>
      <c r="H230" s="19">
        <f>IF(Master_Data!J230="","",EOMONTH(Master_Data!J230,-1)+1)</f>
        <v>45748</v>
      </c>
      <c r="I230" s="19">
        <f>IF(Master_Data!M230="","",EOMONTH(Master_Data!M230,-1)+1)</f>
        <v>45778</v>
      </c>
      <c r="J230" s="19">
        <f>IF(Master_Data!N230="","",EOMONTH(Master_Data!N230,-1)+1)</f>
        <v>45748</v>
      </c>
    </row>
    <row r="231" spans="1:10">
      <c r="A231" s="2" t="str">
        <f>Master_Data!D231</f>
        <v>WLH/KEC/SIEC/FIRE/EXTHYDRANT/00</v>
      </c>
      <c r="B231" s="2" t="str">
        <f>Master_Data!B231</f>
        <v>MEP</v>
      </c>
      <c r="C231" s="18">
        <f>IF(Master_Data!H231="","",Master_Data!H231 - WEEKDAY(Master_Data!H231,2) + 1)</f>
        <v>45726</v>
      </c>
      <c r="D231" s="18">
        <f>IF(Master_Data!J231="","",Master_Data!J231 - WEEKDAY(Master_Data!J231,2) + 1)</f>
        <v>45964</v>
      </c>
      <c r="E231" s="18">
        <f>IF(Master_Data!M231="","",Master_Data!M231 - WEEKDAY(Master_Data!M231,2) + 1)</f>
        <v>45810</v>
      </c>
      <c r="F231" s="18">
        <f>IF(Master_Data!N231="","",Master_Data!N231 - WEEKDAY(Master_Data!N231,2) + 1)</f>
        <v>46069</v>
      </c>
      <c r="G231" s="19">
        <f>EOMONTH(Master_Data!H231,-1)+1</f>
        <v>45717</v>
      </c>
      <c r="H231" s="19">
        <f>IF(Master_Data!J231="","",EOMONTH(Master_Data!J231,-1)+1)</f>
        <v>45962</v>
      </c>
      <c r="I231" s="19">
        <f>IF(Master_Data!M231="","",EOMONTH(Master_Data!M231,-1)+1)</f>
        <v>45809</v>
      </c>
      <c r="J231" s="19">
        <f>IF(Master_Data!N231="","",EOMONTH(Master_Data!N231,-1)+1)</f>
        <v>46054</v>
      </c>
    </row>
    <row r="232" spans="1:10" ht="29">
      <c r="A232" s="2" t="str">
        <f>Master_Data!D232</f>
        <v>WLH/KEC/SIEC/FIRE/PUMP HEAD CALCULATION/00</v>
      </c>
      <c r="B232" s="2" t="str">
        <f>Master_Data!B232</f>
        <v>MEP</v>
      </c>
      <c r="C232" s="18">
        <f>IF(Master_Data!H232="","",Master_Data!H232 - WEEKDAY(Master_Data!H232,2) + 1)</f>
        <v>45726</v>
      </c>
      <c r="D232" s="18">
        <f>IF(Master_Data!J232="","",Master_Data!J232 - WEEKDAY(Master_Data!J232,2) + 1)</f>
        <v>45761</v>
      </c>
      <c r="E232" s="18">
        <f>IF(Master_Data!M232="","",Master_Data!M232 - WEEKDAY(Master_Data!M232,2) + 1)</f>
        <v>45754</v>
      </c>
      <c r="F232" s="18">
        <f>IF(Master_Data!N232="","",Master_Data!N232 - WEEKDAY(Master_Data!N232,2) + 1)</f>
        <v>45754</v>
      </c>
      <c r="G232" s="19">
        <f>EOMONTH(Master_Data!H232,-1)+1</f>
        <v>45717</v>
      </c>
      <c r="H232" s="19">
        <f>IF(Master_Data!J232="","",EOMONTH(Master_Data!J232,-1)+1)</f>
        <v>45748</v>
      </c>
      <c r="I232" s="19">
        <f>IF(Master_Data!M232="","",EOMONTH(Master_Data!M232,-1)+1)</f>
        <v>45748</v>
      </c>
      <c r="J232" s="19">
        <f>IF(Master_Data!N232="","",EOMONTH(Master_Data!N232,-1)+1)</f>
        <v>45748</v>
      </c>
    </row>
    <row r="233" spans="1:10">
      <c r="A233" s="2" t="str">
        <f>Master_Data!D233</f>
        <v>WLH/KEC/SIEC/FPS SLD/00</v>
      </c>
      <c r="B233" s="2" t="str">
        <f>Master_Data!B233</f>
        <v>MEP</v>
      </c>
      <c r="C233" s="18">
        <f>IF(Master_Data!H233="","",Master_Data!H233 - WEEKDAY(Master_Data!H233,2) + 1)</f>
        <v>45726</v>
      </c>
      <c r="D233" s="18">
        <f>IF(Master_Data!J233="","",Master_Data!J233 - WEEKDAY(Master_Data!J233,2) + 1)</f>
        <v>45761</v>
      </c>
      <c r="E233" s="18">
        <f>IF(Master_Data!M233="","",Master_Data!M233 - WEEKDAY(Master_Data!M233,2) + 1)</f>
        <v>45754</v>
      </c>
      <c r="F233" s="18">
        <f>IF(Master_Data!N233="","",Master_Data!N233 - WEEKDAY(Master_Data!N233,2) + 1)</f>
        <v>45754</v>
      </c>
      <c r="G233" s="19">
        <f>EOMONTH(Master_Data!H233,-1)+1</f>
        <v>45717</v>
      </c>
      <c r="H233" s="19">
        <f>IF(Master_Data!J233="","",EOMONTH(Master_Data!J233,-1)+1)</f>
        <v>45748</v>
      </c>
      <c r="I233" s="19">
        <f>IF(Master_Data!M233="","",EOMONTH(Master_Data!M233,-1)+1)</f>
        <v>45748</v>
      </c>
      <c r="J233" s="19">
        <f>IF(Master_Data!N233="","",EOMONTH(Master_Data!N233,-1)+1)</f>
        <v>45748</v>
      </c>
    </row>
    <row r="234" spans="1:10">
      <c r="A234" s="2" t="str">
        <f>Master_Data!D234</f>
        <v>WLH/KEC/SIEC/FDA &amp; PA SLD/00</v>
      </c>
      <c r="B234" s="2" t="str">
        <f>Master_Data!B234</f>
        <v>MEP</v>
      </c>
      <c r="C234" s="18">
        <f>IF(Master_Data!H234="","",Master_Data!H234 - WEEKDAY(Master_Data!H234,2) + 1)</f>
        <v>45726</v>
      </c>
      <c r="D234" s="18">
        <f>IF(Master_Data!J234="","",Master_Data!J234 - WEEKDAY(Master_Data!J234,2) + 1)</f>
        <v>45761</v>
      </c>
      <c r="E234" s="18">
        <f>IF(Master_Data!M234="","",Master_Data!M234 - WEEKDAY(Master_Data!M234,2) + 1)</f>
        <v>45754</v>
      </c>
      <c r="F234" s="18">
        <f>IF(Master_Data!N234="","",Master_Data!N234 - WEEKDAY(Master_Data!N234,2) + 1)</f>
        <v>45754</v>
      </c>
      <c r="G234" s="19">
        <f>EOMONTH(Master_Data!H234,-1)+1</f>
        <v>45717</v>
      </c>
      <c r="H234" s="19">
        <f>IF(Master_Data!J234="","",EOMONTH(Master_Data!J234,-1)+1)</f>
        <v>45748</v>
      </c>
      <c r="I234" s="19">
        <f>IF(Master_Data!M234="","",EOMONTH(Master_Data!M234,-1)+1)</f>
        <v>45748</v>
      </c>
      <c r="J234" s="19">
        <f>IF(Master_Data!N234="","",EOMONTH(Master_Data!N234,-1)+1)</f>
        <v>45748</v>
      </c>
    </row>
    <row r="235" spans="1:10">
      <c r="A235" s="2" t="str">
        <f>Master_Data!D235</f>
        <v>WLH/KEC/SIEC/PASCHEMATIC/00</v>
      </c>
      <c r="B235" s="2" t="str">
        <f>Master_Data!B235</f>
        <v>MEP</v>
      </c>
      <c r="C235" s="18">
        <f>IF(Master_Data!H235="","",Master_Data!H235 - WEEKDAY(Master_Data!H235,2) + 1)</f>
        <v>45726</v>
      </c>
      <c r="D235" s="18">
        <f>IF(Master_Data!J235="","",Master_Data!J235 - WEEKDAY(Master_Data!J235,2) + 1)</f>
        <v>45761</v>
      </c>
      <c r="E235" s="18">
        <f>IF(Master_Data!M235="","",Master_Data!M235 - WEEKDAY(Master_Data!M235,2) + 1)</f>
        <v>45754</v>
      </c>
      <c r="F235" s="18">
        <f>IF(Master_Data!N235="","",Master_Data!N235 - WEEKDAY(Master_Data!N235,2) + 1)</f>
        <v>45754</v>
      </c>
      <c r="G235" s="19">
        <f>EOMONTH(Master_Data!H235,-1)+1</f>
        <v>45717</v>
      </c>
      <c r="H235" s="19">
        <f>IF(Master_Data!J235="","",EOMONTH(Master_Data!J235,-1)+1)</f>
        <v>45748</v>
      </c>
      <c r="I235" s="19">
        <f>IF(Master_Data!M235="","",EOMONTH(Master_Data!M235,-1)+1)</f>
        <v>45748</v>
      </c>
      <c r="J235" s="19">
        <f>IF(Master_Data!N235="","",EOMONTH(Master_Data!N235,-1)+1)</f>
        <v>45748</v>
      </c>
    </row>
    <row r="236" spans="1:10">
      <c r="A236" s="2" t="str">
        <f>Master_Data!D236</f>
        <v>WLH/KEC/SIEC/FIRE &amp; BMS ROOM/00</v>
      </c>
      <c r="B236" s="2" t="str">
        <f>Master_Data!B236</f>
        <v>MEP</v>
      </c>
      <c r="C236" s="18">
        <f>IF(Master_Data!H236="","",Master_Data!H236 - WEEKDAY(Master_Data!H236,2) + 1)</f>
        <v>45747</v>
      </c>
      <c r="D236" s="18">
        <f>IF(Master_Data!J236="","",Master_Data!J236 - WEEKDAY(Master_Data!J236,2) + 1)</f>
        <v>45754</v>
      </c>
      <c r="E236" s="18">
        <f>IF(Master_Data!M236="","",Master_Data!M236 - WEEKDAY(Master_Data!M236,2) + 1)</f>
        <v>45768</v>
      </c>
      <c r="F236" s="18">
        <f>IF(Master_Data!N236="","",Master_Data!N236 - WEEKDAY(Master_Data!N236,2) + 1)</f>
        <v>46069</v>
      </c>
      <c r="G236" s="19">
        <f>EOMONTH(Master_Data!H236,-1)+1</f>
        <v>45717</v>
      </c>
      <c r="H236" s="19">
        <f>IF(Master_Data!J236="","",EOMONTH(Master_Data!J236,-1)+1)</f>
        <v>45748</v>
      </c>
      <c r="I236" s="19">
        <f>IF(Master_Data!M236="","",EOMONTH(Master_Data!M236,-1)+1)</f>
        <v>45748</v>
      </c>
      <c r="J236" s="19">
        <f>IF(Master_Data!N236="","",EOMONTH(Master_Data!N236,-1)+1)</f>
        <v>46054</v>
      </c>
    </row>
    <row r="237" spans="1:10">
      <c r="A237" s="2" t="str">
        <f>Master_Data!D237</f>
        <v>WLH/KEC/SIEC/FIRE/WET RISER/00</v>
      </c>
      <c r="B237" s="2" t="str">
        <f>Master_Data!B237</f>
        <v>MEP</v>
      </c>
      <c r="C237" s="18">
        <f>IF(Master_Data!H237="","",Master_Data!H237 - WEEKDAY(Master_Data!H237,2) + 1)</f>
        <v>45726</v>
      </c>
      <c r="D237" s="18">
        <f>IF(Master_Data!J237="","",Master_Data!J237 - WEEKDAY(Master_Data!J237,2) + 1)</f>
        <v>45761</v>
      </c>
      <c r="E237" s="18">
        <f>IF(Master_Data!M237="","",Master_Data!M237 - WEEKDAY(Master_Data!M237,2) + 1)</f>
        <v>45754</v>
      </c>
      <c r="F237" s="18">
        <f>IF(Master_Data!N237="","",Master_Data!N237 - WEEKDAY(Master_Data!N237,2) + 1)</f>
        <v>45754</v>
      </c>
      <c r="G237" s="19">
        <f>EOMONTH(Master_Data!H237,-1)+1</f>
        <v>45717</v>
      </c>
      <c r="H237" s="19">
        <f>IF(Master_Data!J237="","",EOMONTH(Master_Data!J237,-1)+1)</f>
        <v>45748</v>
      </c>
      <c r="I237" s="19">
        <f>IF(Master_Data!M237="","",EOMONTH(Master_Data!M237,-1)+1)</f>
        <v>45748</v>
      </c>
      <c r="J237" s="19">
        <f>IF(Master_Data!N237="","",EOMONTH(Master_Data!N237,-1)+1)</f>
        <v>45748</v>
      </c>
    </row>
    <row r="238" spans="1:10" ht="29">
      <c r="A238" s="2" t="str">
        <f>Master_Data!D238</f>
        <v>WLH/KEC/SIEC/HVAC/BASEMENT/DUCTING/00</v>
      </c>
      <c r="B238" s="2" t="str">
        <f>Master_Data!B238</f>
        <v>Structural</v>
      </c>
      <c r="C238" s="18">
        <f>IF(Master_Data!H238="","",Master_Data!H238 - WEEKDAY(Master_Data!H238,2) + 1)</f>
        <v>45747</v>
      </c>
      <c r="D238" s="18">
        <f>IF(Master_Data!J238="","",Master_Data!J238 - WEEKDAY(Master_Data!J238,2) + 1)</f>
        <v>45747</v>
      </c>
      <c r="E238" s="18">
        <f>IF(Master_Data!M238="","",Master_Data!M238 - WEEKDAY(Master_Data!M238,2) + 1)</f>
        <v>45761</v>
      </c>
      <c r="F238" s="18">
        <f>IF(Master_Data!N238="","",Master_Data!N238 - WEEKDAY(Master_Data!N238,2) + 1)</f>
        <v>45803</v>
      </c>
      <c r="G238" s="19">
        <f>EOMONTH(Master_Data!H238,-1)+1</f>
        <v>45717</v>
      </c>
      <c r="H238" s="19">
        <f>IF(Master_Data!J238="","",EOMONTH(Master_Data!J238,-1)+1)</f>
        <v>45748</v>
      </c>
      <c r="I238" s="19">
        <f>IF(Master_Data!M238="","",EOMONTH(Master_Data!M238,-1)+1)</f>
        <v>45748</v>
      </c>
      <c r="J238" s="19">
        <f>IF(Master_Data!N238="","",EOMONTH(Master_Data!N238,-1)+1)</f>
        <v>45778</v>
      </c>
    </row>
    <row r="239" spans="1:10" ht="29">
      <c r="A239" s="2" t="str">
        <f>Master_Data!D239</f>
        <v>WLH/KEC/SIEC/HVAC/BASEMENT/CHW PIPING/00</v>
      </c>
      <c r="B239" s="2" t="str">
        <f>Master_Data!B239</f>
        <v>Structural</v>
      </c>
      <c r="C239" s="18">
        <f>IF(Master_Data!H239="","",Master_Data!H239 - WEEKDAY(Master_Data!H239,2) + 1)</f>
        <v>45747</v>
      </c>
      <c r="D239" s="18">
        <f>IF(Master_Data!J239="","",Master_Data!J239 - WEEKDAY(Master_Data!J239,2) + 1)</f>
        <v>45747</v>
      </c>
      <c r="E239" s="18">
        <f>IF(Master_Data!M239="","",Master_Data!M239 - WEEKDAY(Master_Data!M239,2) + 1)</f>
        <v>45761</v>
      </c>
      <c r="F239" s="18">
        <f>IF(Master_Data!N239="","",Master_Data!N239 - WEEKDAY(Master_Data!N239,2) + 1)</f>
        <v>45803</v>
      </c>
      <c r="G239" s="19">
        <f>EOMONTH(Master_Data!H239,-1)+1</f>
        <v>45717</v>
      </c>
      <c r="H239" s="19">
        <f>IF(Master_Data!J239="","",EOMONTH(Master_Data!J239,-1)+1)</f>
        <v>45748</v>
      </c>
      <c r="I239" s="19">
        <f>IF(Master_Data!M239="","",EOMONTH(Master_Data!M239,-1)+1)</f>
        <v>45748</v>
      </c>
      <c r="J239" s="19">
        <f>IF(Master_Data!N239="","",EOMONTH(Master_Data!N239,-1)+1)</f>
        <v>45778</v>
      </c>
    </row>
    <row r="240" spans="1:10" ht="29">
      <c r="A240" s="2" t="str">
        <f>Master_Data!D240</f>
        <v>WLH/KEC/SIEC/HVAC/BASEMENT/VENTILATION LAYOUT/00</v>
      </c>
      <c r="B240" s="2" t="str">
        <f>Master_Data!B240</f>
        <v>Structural</v>
      </c>
      <c r="C240" s="18">
        <f>IF(Master_Data!H240="","",Master_Data!H240 - WEEKDAY(Master_Data!H240,2) + 1)</f>
        <v>45747</v>
      </c>
      <c r="D240" s="18">
        <f>IF(Master_Data!J240="","",Master_Data!J240 - WEEKDAY(Master_Data!J240,2) + 1)</f>
        <v>45747</v>
      </c>
      <c r="E240" s="18">
        <f>IF(Master_Data!M240="","",Master_Data!M240 - WEEKDAY(Master_Data!M240,2) + 1)</f>
        <v>45761</v>
      </c>
      <c r="F240" s="18">
        <f>IF(Master_Data!N240="","",Master_Data!N240 - WEEKDAY(Master_Data!N240,2) + 1)</f>
        <v>45803</v>
      </c>
      <c r="G240" s="19">
        <f>EOMONTH(Master_Data!H240,-1)+1</f>
        <v>45717</v>
      </c>
      <c r="H240" s="19">
        <f>IF(Master_Data!J240="","",EOMONTH(Master_Data!J240,-1)+1)</f>
        <v>45748</v>
      </c>
      <c r="I240" s="19">
        <f>IF(Master_Data!M240="","",EOMONTH(Master_Data!M240,-1)+1)</f>
        <v>45748</v>
      </c>
      <c r="J240" s="19">
        <f>IF(Master_Data!N240="","",EOMONTH(Master_Data!N240,-1)+1)</f>
        <v>45778</v>
      </c>
    </row>
    <row r="241" spans="1:10" ht="29">
      <c r="A241" s="2" t="str">
        <f>Master_Data!D241</f>
        <v>WLH/KEC/SIEC/HVAC/BASEMENT/SMOKE EXTRACTION/00</v>
      </c>
      <c r="B241" s="2" t="str">
        <f>Master_Data!B241</f>
        <v>Structural</v>
      </c>
      <c r="C241" s="18">
        <f>IF(Master_Data!H241="","",Master_Data!H241 - WEEKDAY(Master_Data!H241,2) + 1)</f>
        <v>45747</v>
      </c>
      <c r="D241" s="18">
        <f>IF(Master_Data!J241="","",Master_Data!J241 - WEEKDAY(Master_Data!J241,2) + 1)</f>
        <v>45747</v>
      </c>
      <c r="E241" s="18">
        <f>IF(Master_Data!M241="","",Master_Data!M241 - WEEKDAY(Master_Data!M241,2) + 1)</f>
        <v>45761</v>
      </c>
      <c r="F241" s="18">
        <f>IF(Master_Data!N241="","",Master_Data!N241 - WEEKDAY(Master_Data!N241,2) + 1)</f>
        <v>45803</v>
      </c>
      <c r="G241" s="19">
        <f>EOMONTH(Master_Data!H241,-1)+1</f>
        <v>45717</v>
      </c>
      <c r="H241" s="19">
        <f>IF(Master_Data!J241="","",EOMONTH(Master_Data!J241,-1)+1)</f>
        <v>45748</v>
      </c>
      <c r="I241" s="19">
        <f>IF(Master_Data!M241="","",EOMONTH(Master_Data!M241,-1)+1)</f>
        <v>45748</v>
      </c>
      <c r="J241" s="19">
        <f>IF(Master_Data!N241="","",EOMONTH(Master_Data!N241,-1)+1)</f>
        <v>45778</v>
      </c>
    </row>
    <row r="242" spans="1:10" ht="29">
      <c r="A242" s="2" t="str">
        <f>Master_Data!D242</f>
        <v>WLH/KEC/SIEC/HVAC/BASEMENT/FRESH AIR/00</v>
      </c>
      <c r="B242" s="2" t="str">
        <f>Master_Data!B242</f>
        <v>Structural</v>
      </c>
      <c r="C242" s="18">
        <f>IF(Master_Data!H242="","",Master_Data!H242 - WEEKDAY(Master_Data!H242,2) + 1)</f>
        <v>45747</v>
      </c>
      <c r="D242" s="18">
        <f>IF(Master_Data!J242="","",Master_Data!J242 - WEEKDAY(Master_Data!J242,2) + 1)</f>
        <v>45747</v>
      </c>
      <c r="E242" s="18">
        <f>IF(Master_Data!M242="","",Master_Data!M242 - WEEKDAY(Master_Data!M242,2) + 1)</f>
        <v>45761</v>
      </c>
      <c r="F242" s="18">
        <f>IF(Master_Data!N242="","",Master_Data!N242 - WEEKDAY(Master_Data!N242,2) + 1)</f>
        <v>45803</v>
      </c>
      <c r="G242" s="19">
        <f>EOMONTH(Master_Data!H242,-1)+1</f>
        <v>45717</v>
      </c>
      <c r="H242" s="19">
        <f>IF(Master_Data!J242="","",EOMONTH(Master_Data!J242,-1)+1)</f>
        <v>45748</v>
      </c>
      <c r="I242" s="19">
        <f>IF(Master_Data!M242="","",EOMONTH(Master_Data!M242,-1)+1)</f>
        <v>45748</v>
      </c>
      <c r="J242" s="19">
        <f>IF(Master_Data!N242="","",EOMONTH(Master_Data!N242,-1)+1)</f>
        <v>45778</v>
      </c>
    </row>
    <row r="243" spans="1:10" ht="29">
      <c r="A243" s="2" t="str">
        <f>Master_Data!D243</f>
        <v>WLH/KEC/SIEC/HVAC/GF FL/CHW PIPING/00</v>
      </c>
      <c r="B243" s="2" t="str">
        <f>Master_Data!B243</f>
        <v>Structural</v>
      </c>
      <c r="C243" s="18">
        <f>IF(Master_Data!H243="","",Master_Data!H243 - WEEKDAY(Master_Data!H243,2) + 1)</f>
        <v>45747</v>
      </c>
      <c r="D243" s="18">
        <f>IF(Master_Data!J243="","",Master_Data!J243 - WEEKDAY(Master_Data!J243,2) + 1)</f>
        <v>45754</v>
      </c>
      <c r="E243" s="18">
        <f>IF(Master_Data!M243="","",Master_Data!M243 - WEEKDAY(Master_Data!M243,2) + 1)</f>
        <v>45761</v>
      </c>
      <c r="F243" s="18">
        <f>IF(Master_Data!N243="","",Master_Data!N243 - WEEKDAY(Master_Data!N243,2) + 1)</f>
        <v>45810</v>
      </c>
      <c r="G243" s="19">
        <f>EOMONTH(Master_Data!H243,-1)+1</f>
        <v>45717</v>
      </c>
      <c r="H243" s="19">
        <f>IF(Master_Data!J243="","",EOMONTH(Master_Data!J243,-1)+1)</f>
        <v>45748</v>
      </c>
      <c r="I243" s="19">
        <f>IF(Master_Data!M243="","",EOMONTH(Master_Data!M243,-1)+1)</f>
        <v>45748</v>
      </c>
      <c r="J243" s="19">
        <f>IF(Master_Data!N243="","",EOMONTH(Master_Data!N243,-1)+1)</f>
        <v>45809</v>
      </c>
    </row>
    <row r="244" spans="1:10" ht="29">
      <c r="A244" s="2" t="str">
        <f>Master_Data!D244</f>
        <v>WLH/KEC/SIEC/HVAC/BASEMENT/ZONING/00</v>
      </c>
      <c r="B244" s="2" t="str">
        <f>Master_Data!B244</f>
        <v>Structural</v>
      </c>
      <c r="C244" s="18">
        <f>IF(Master_Data!H244="","",Master_Data!H244 - WEEKDAY(Master_Data!H244,2) + 1)</f>
        <v>45747</v>
      </c>
      <c r="D244" s="18">
        <f>IF(Master_Data!J244="","",Master_Data!J244 - WEEKDAY(Master_Data!J244,2) + 1)</f>
        <v>45754</v>
      </c>
      <c r="E244" s="18">
        <f>IF(Master_Data!M244="","",Master_Data!M244 - WEEKDAY(Master_Data!M244,2) + 1)</f>
        <v>45761</v>
      </c>
      <c r="F244" s="18">
        <f>IF(Master_Data!N244="","",Master_Data!N244 - WEEKDAY(Master_Data!N244,2) + 1)</f>
        <v>45810</v>
      </c>
      <c r="G244" s="19">
        <f>EOMONTH(Master_Data!H244,-1)+1</f>
        <v>45717</v>
      </c>
      <c r="H244" s="19">
        <f>IF(Master_Data!J244="","",EOMONTH(Master_Data!J244,-1)+1)</f>
        <v>45748</v>
      </c>
      <c r="I244" s="19">
        <f>IF(Master_Data!M244="","",EOMONTH(Master_Data!M244,-1)+1)</f>
        <v>45748</v>
      </c>
      <c r="J244" s="19">
        <f>IF(Master_Data!N244="","",EOMONTH(Master_Data!N244,-1)+1)</f>
        <v>45809</v>
      </c>
    </row>
    <row r="245" spans="1:10" ht="29">
      <c r="A245" s="2" t="str">
        <f>Master_Data!D245</f>
        <v>WLH/KEC/SIEC/HVAC/GR FL/SMOKE EXTRACTION/00</v>
      </c>
      <c r="B245" s="2" t="str">
        <f>Master_Data!B245</f>
        <v>Structural</v>
      </c>
      <c r="C245" s="18">
        <f>IF(Master_Data!H245="","",Master_Data!H245 - WEEKDAY(Master_Data!H245,2) + 1)</f>
        <v>45747</v>
      </c>
      <c r="D245" s="18">
        <f>IF(Master_Data!J245="","",Master_Data!J245 - WEEKDAY(Master_Data!J245,2) + 1)</f>
        <v>45754</v>
      </c>
      <c r="E245" s="18">
        <f>IF(Master_Data!M245="","",Master_Data!M245 - WEEKDAY(Master_Data!M245,2) + 1)</f>
        <v>45761</v>
      </c>
      <c r="F245" s="18">
        <f>IF(Master_Data!N245="","",Master_Data!N245 - WEEKDAY(Master_Data!N245,2) + 1)</f>
        <v>45810</v>
      </c>
      <c r="G245" s="19">
        <f>EOMONTH(Master_Data!H245,-1)+1</f>
        <v>45717</v>
      </c>
      <c r="H245" s="19">
        <f>IF(Master_Data!J245="","",EOMONTH(Master_Data!J245,-1)+1)</f>
        <v>45748</v>
      </c>
      <c r="I245" s="19">
        <f>IF(Master_Data!M245="","",EOMONTH(Master_Data!M245,-1)+1)</f>
        <v>45748</v>
      </c>
      <c r="J245" s="19">
        <f>IF(Master_Data!N245="","",EOMONTH(Master_Data!N245,-1)+1)</f>
        <v>45809</v>
      </c>
    </row>
    <row r="246" spans="1:10" ht="29">
      <c r="A246" s="2" t="str">
        <f>Master_Data!D246</f>
        <v>WLH/KEC/SIEC/HVAC/GR FL/SMOKE EXTRACTION/00-00</v>
      </c>
      <c r="B246" s="2" t="str">
        <f>Master_Data!B246</f>
        <v>Structural</v>
      </c>
      <c r="C246" s="18">
        <f>IF(Master_Data!H246="","",Master_Data!H246 - WEEKDAY(Master_Data!H246,2) + 1)</f>
        <v>45747</v>
      </c>
      <c r="D246" s="18">
        <f>IF(Master_Data!J246="","",Master_Data!J246 - WEEKDAY(Master_Data!J246,2) + 1)</f>
        <v>45754</v>
      </c>
      <c r="E246" s="18">
        <f>IF(Master_Data!M246="","",Master_Data!M246 - WEEKDAY(Master_Data!M246,2) + 1)</f>
        <v>45761</v>
      </c>
      <c r="F246" s="18">
        <f>IF(Master_Data!N246="","",Master_Data!N246 - WEEKDAY(Master_Data!N246,2) + 1)</f>
        <v>45810</v>
      </c>
      <c r="G246" s="19">
        <f>EOMONTH(Master_Data!H246,-1)+1</f>
        <v>45717</v>
      </c>
      <c r="H246" s="19">
        <f>IF(Master_Data!J246="","",EOMONTH(Master_Data!J246,-1)+1)</f>
        <v>45748</v>
      </c>
      <c r="I246" s="19">
        <f>IF(Master_Data!M246="","",EOMONTH(Master_Data!M246,-1)+1)</f>
        <v>45748</v>
      </c>
      <c r="J246" s="19">
        <f>IF(Master_Data!N246="","",EOMONTH(Master_Data!N246,-1)+1)</f>
        <v>45809</v>
      </c>
    </row>
    <row r="247" spans="1:10" ht="29">
      <c r="A247" s="2" t="s">
        <v>509</v>
      </c>
      <c r="B247" s="2" t="str">
        <f>Master_Data!B247</f>
        <v>Structural</v>
      </c>
      <c r="C247" s="18">
        <f>IF(Master_Data!H247="","",Master_Data!H247 - WEEKDAY(Master_Data!H247,2) + 1)</f>
        <v>45747</v>
      </c>
      <c r="D247" s="18">
        <f>IF(Master_Data!J247="","",Master_Data!J247 - WEEKDAY(Master_Data!J247,2) + 1)</f>
        <v>45754</v>
      </c>
      <c r="E247" s="18">
        <f>IF(Master_Data!M247="","",Master_Data!M247 - WEEKDAY(Master_Data!M247,2) + 1)</f>
        <v>45761</v>
      </c>
      <c r="F247" s="18">
        <f>IF(Master_Data!N247="","",Master_Data!N247 - WEEKDAY(Master_Data!N247,2) + 1)</f>
        <v>45810</v>
      </c>
      <c r="G247" s="19">
        <f>EOMONTH(Master_Data!H247,-1)+1</f>
        <v>45717</v>
      </c>
      <c r="H247" s="19">
        <f>IF(Master_Data!J247="","",EOMONTH(Master_Data!J247,-1)+1)</f>
        <v>45748</v>
      </c>
      <c r="I247" s="19">
        <f>IF(Master_Data!M247="","",EOMONTH(Master_Data!M247,-1)+1)</f>
        <v>45748</v>
      </c>
      <c r="J247" s="19">
        <f>IF(Master_Data!N247="","",EOMONTH(Master_Data!N247,-1)+1)</f>
        <v>45809</v>
      </c>
    </row>
    <row r="248" spans="1:10" ht="29">
      <c r="A248" s="2" t="s">
        <v>511</v>
      </c>
      <c r="B248" s="2" t="str">
        <f>Master_Data!B248</f>
        <v>Structural</v>
      </c>
      <c r="C248" s="18">
        <f>IF(Master_Data!H248="","",Master_Data!H248 - WEEKDAY(Master_Data!H248,2) + 1)</f>
        <v>45971</v>
      </c>
      <c r="D248" s="18">
        <f>IF(Master_Data!J248="","",Master_Data!J248 - WEEKDAY(Master_Data!J248,2) + 1)</f>
        <v>45971</v>
      </c>
      <c r="E248" s="18">
        <f>IF(Master_Data!M248="","",Master_Data!M248 - WEEKDAY(Master_Data!M248,2) + 1)</f>
        <v>45985</v>
      </c>
      <c r="F248" s="18">
        <f>IF(Master_Data!N248="","",Master_Data!N248 - WEEKDAY(Master_Data!N248,2) + 1)</f>
        <v>45992</v>
      </c>
      <c r="G248" s="19">
        <f>EOMONTH(Master_Data!H248,-1)+1</f>
        <v>45962</v>
      </c>
      <c r="H248" s="19">
        <f>IF(Master_Data!J248="","",EOMONTH(Master_Data!J248,-1)+1)</f>
        <v>45962</v>
      </c>
      <c r="I248" s="19">
        <f>IF(Master_Data!M248="","",EOMONTH(Master_Data!M248,-1)+1)</f>
        <v>45962</v>
      </c>
      <c r="J248" s="19">
        <f>IF(Master_Data!N248="","",EOMONTH(Master_Data!N248,-1)+1)</f>
        <v>45992</v>
      </c>
    </row>
    <row r="249" spans="1:10" ht="29">
      <c r="A249" s="2" t="s">
        <v>513</v>
      </c>
      <c r="B249" s="2" t="str">
        <f>Master_Data!B249</f>
        <v>Structural</v>
      </c>
      <c r="C249" s="18">
        <f>IF(Master_Data!H249="","",Master_Data!H249 - WEEKDAY(Master_Data!H249,2) + 1)</f>
        <v>45971</v>
      </c>
      <c r="D249" s="18">
        <f>IF(Master_Data!J249="","",Master_Data!J249 - WEEKDAY(Master_Data!J249,2) + 1)</f>
        <v>45971</v>
      </c>
      <c r="E249" s="18">
        <f>IF(Master_Data!M249="","",Master_Data!M249 - WEEKDAY(Master_Data!M249,2) + 1)</f>
        <v>45985</v>
      </c>
      <c r="F249" s="18">
        <f>IF(Master_Data!N249="","",Master_Data!N249 - WEEKDAY(Master_Data!N249,2) + 1)</f>
        <v>45992</v>
      </c>
      <c r="G249" s="19">
        <f>EOMONTH(Master_Data!H249,-1)+1</f>
        <v>45962</v>
      </c>
      <c r="H249" s="19">
        <f>IF(Master_Data!J249="","",EOMONTH(Master_Data!J249,-1)+1)</f>
        <v>45962</v>
      </c>
      <c r="I249" s="19">
        <f>IF(Master_Data!M249="","",EOMONTH(Master_Data!M249,-1)+1)</f>
        <v>45962</v>
      </c>
      <c r="J249" s="19">
        <f>IF(Master_Data!N249="","",EOMONTH(Master_Data!N249,-1)+1)</f>
        <v>45992</v>
      </c>
    </row>
    <row r="250" spans="1:10" ht="29">
      <c r="A250" s="2" t="s">
        <v>515</v>
      </c>
      <c r="B250" s="2" t="str">
        <f>Master_Data!B250</f>
        <v>Structural</v>
      </c>
      <c r="C250" s="18">
        <f>IF(Master_Data!H250="","",Master_Data!H250 - WEEKDAY(Master_Data!H250,2) + 1)</f>
        <v>45971</v>
      </c>
      <c r="D250" s="18">
        <f>IF(Master_Data!J250="","",Master_Data!J250 - WEEKDAY(Master_Data!J250,2) + 1)</f>
        <v>45971</v>
      </c>
      <c r="E250" s="18">
        <f>IF(Master_Data!M250="","",Master_Data!M250 - WEEKDAY(Master_Data!M250,2) + 1)</f>
        <v>45985</v>
      </c>
      <c r="F250" s="18">
        <f>IF(Master_Data!N250="","",Master_Data!N250 - WEEKDAY(Master_Data!N250,2) + 1)</f>
        <v>45992</v>
      </c>
      <c r="G250" s="19">
        <f>EOMONTH(Master_Data!H250,-1)+1</f>
        <v>45962</v>
      </c>
      <c r="H250" s="19">
        <f>IF(Master_Data!J250="","",EOMONTH(Master_Data!J250,-1)+1)</f>
        <v>45962</v>
      </c>
      <c r="I250" s="19">
        <f>IF(Master_Data!M250="","",EOMONTH(Master_Data!M250,-1)+1)</f>
        <v>45962</v>
      </c>
      <c r="J250" s="19">
        <f>IF(Master_Data!N250="","",EOMONTH(Master_Data!N250,-1)+1)</f>
        <v>45992</v>
      </c>
    </row>
    <row r="251" spans="1:10" ht="29">
      <c r="A251" s="2" t="s">
        <v>517</v>
      </c>
      <c r="B251" s="2" t="str">
        <f>Master_Data!B251</f>
        <v>Structural</v>
      </c>
      <c r="C251" s="18">
        <f>IF(Master_Data!H251="","",Master_Data!H251 - WEEKDAY(Master_Data!H251,2) + 1)</f>
        <v>45971</v>
      </c>
      <c r="D251" s="18">
        <f>IF(Master_Data!J251="","",Master_Data!J251 - WEEKDAY(Master_Data!J251,2) + 1)</f>
        <v>45971</v>
      </c>
      <c r="E251" s="18">
        <f>IF(Master_Data!M251="","",Master_Data!M251 - WEEKDAY(Master_Data!M251,2) + 1)</f>
        <v>45985</v>
      </c>
      <c r="F251" s="18">
        <f>IF(Master_Data!N251="","",Master_Data!N251 - WEEKDAY(Master_Data!N251,2) + 1)</f>
        <v>45992</v>
      </c>
      <c r="G251" s="19">
        <f>EOMONTH(Master_Data!H251,-1)+1</f>
        <v>45962</v>
      </c>
      <c r="H251" s="19">
        <f>IF(Master_Data!J251="","",EOMONTH(Master_Data!J251,-1)+1)</f>
        <v>45962</v>
      </c>
      <c r="I251" s="19">
        <f>IF(Master_Data!M251="","",EOMONTH(Master_Data!M251,-1)+1)</f>
        <v>45962</v>
      </c>
      <c r="J251" s="19">
        <f>IF(Master_Data!N251="","",EOMONTH(Master_Data!N251,-1)+1)</f>
        <v>45992</v>
      </c>
    </row>
    <row r="252" spans="1:10" ht="29">
      <c r="A252" s="2" t="s">
        <v>519</v>
      </c>
      <c r="B252" s="2" t="str">
        <f>Master_Data!B252</f>
        <v>Structural</v>
      </c>
      <c r="C252" s="18">
        <f>IF(Master_Data!H252="","",Master_Data!H252 - WEEKDAY(Master_Data!H252,2) + 1)</f>
        <v>45971</v>
      </c>
      <c r="D252" s="18">
        <f>IF(Master_Data!J252="","",Master_Data!J252 - WEEKDAY(Master_Data!J252,2) + 1)</f>
        <v>45971</v>
      </c>
      <c r="E252" s="18">
        <f>IF(Master_Data!M252="","",Master_Data!M252 - WEEKDAY(Master_Data!M252,2) + 1)</f>
        <v>45985</v>
      </c>
      <c r="F252" s="18">
        <f>IF(Master_Data!N252="","",Master_Data!N252 - WEEKDAY(Master_Data!N252,2) + 1)</f>
        <v>45992</v>
      </c>
      <c r="G252" s="19">
        <f>EOMONTH(Master_Data!H252,-1)+1</f>
        <v>45962</v>
      </c>
      <c r="H252" s="19">
        <f>IF(Master_Data!J252="","",EOMONTH(Master_Data!J252,-1)+1)</f>
        <v>45962</v>
      </c>
      <c r="I252" s="19">
        <f>IF(Master_Data!M252="","",EOMONTH(Master_Data!M252,-1)+1)</f>
        <v>45962</v>
      </c>
      <c r="J252" s="19">
        <f>IF(Master_Data!N252="","",EOMONTH(Master_Data!N252,-1)+1)</f>
        <v>45992</v>
      </c>
    </row>
    <row r="253" spans="1:10" ht="29">
      <c r="A253" s="2" t="s">
        <v>521</v>
      </c>
      <c r="B253" s="2" t="str">
        <f>Master_Data!B253</f>
        <v>Structural</v>
      </c>
      <c r="C253" s="18">
        <f>IF(Master_Data!H253="","",Master_Data!H253 - WEEKDAY(Master_Data!H253,2) + 1)</f>
        <v>45957</v>
      </c>
      <c r="D253" s="18">
        <f>IF(Master_Data!J253="","",Master_Data!J253 - WEEKDAY(Master_Data!J253,2) + 1)</f>
        <v>45964</v>
      </c>
      <c r="E253" s="18">
        <f>IF(Master_Data!M253="","",Master_Data!M253 - WEEKDAY(Master_Data!M253,2) + 1)</f>
        <v>45971</v>
      </c>
      <c r="F253" s="18">
        <f>IF(Master_Data!N253="","",Master_Data!N253 - WEEKDAY(Master_Data!N253,2) + 1)</f>
        <v>45992</v>
      </c>
      <c r="G253" s="19">
        <f>EOMONTH(Master_Data!H253,-1)+1</f>
        <v>45931</v>
      </c>
      <c r="H253" s="19">
        <f>IF(Master_Data!J253="","",EOMONTH(Master_Data!J253,-1)+1)</f>
        <v>45962</v>
      </c>
      <c r="I253" s="19">
        <f>IF(Master_Data!M253="","",EOMONTH(Master_Data!M253,-1)+1)</f>
        <v>45962</v>
      </c>
      <c r="J253" s="19">
        <f>IF(Master_Data!N253="","",EOMONTH(Master_Data!N253,-1)+1)</f>
        <v>45992</v>
      </c>
    </row>
    <row r="254" spans="1:10" ht="29">
      <c r="A254" s="2" t="s">
        <v>523</v>
      </c>
      <c r="B254" s="2" t="str">
        <f>Master_Data!B254</f>
        <v>Structural</v>
      </c>
      <c r="C254" s="18">
        <f>IF(Master_Data!H254="","",Master_Data!H254 - WEEKDAY(Master_Data!H254,2) + 1)</f>
        <v>45957</v>
      </c>
      <c r="D254" s="18">
        <f>IF(Master_Data!J254="","",Master_Data!J254 - WEEKDAY(Master_Data!J254,2) + 1)</f>
        <v>45964</v>
      </c>
      <c r="E254" s="18">
        <f>IF(Master_Data!M254="","",Master_Data!M254 - WEEKDAY(Master_Data!M254,2) + 1)</f>
        <v>45971</v>
      </c>
      <c r="F254" s="18">
        <f>IF(Master_Data!N254="","",Master_Data!N254 - WEEKDAY(Master_Data!N254,2) + 1)</f>
        <v>45992</v>
      </c>
      <c r="G254" s="19">
        <f>EOMONTH(Master_Data!H254,-1)+1</f>
        <v>45931</v>
      </c>
      <c r="H254" s="19">
        <f>IF(Master_Data!J254="","",EOMONTH(Master_Data!J254,-1)+1)</f>
        <v>45962</v>
      </c>
      <c r="I254" s="19">
        <f>IF(Master_Data!M254="","",EOMONTH(Master_Data!M254,-1)+1)</f>
        <v>45962</v>
      </c>
      <c r="J254" s="19">
        <f>IF(Master_Data!N254="","",EOMONTH(Master_Data!N254,-1)+1)</f>
        <v>45992</v>
      </c>
    </row>
    <row r="255" spans="1:10" ht="29">
      <c r="A255" s="2" t="s">
        <v>525</v>
      </c>
      <c r="B255" s="2" t="str">
        <f>Master_Data!B255</f>
        <v>Structural</v>
      </c>
      <c r="C255" s="18">
        <f>IF(Master_Data!H255="","",Master_Data!H255 - WEEKDAY(Master_Data!H255,2) + 1)</f>
        <v>45957</v>
      </c>
      <c r="D255" s="18">
        <f>IF(Master_Data!J255="","",Master_Data!J255 - WEEKDAY(Master_Data!J255,2) + 1)</f>
        <v>45964</v>
      </c>
      <c r="E255" s="18">
        <f>IF(Master_Data!M255="","",Master_Data!M255 - WEEKDAY(Master_Data!M255,2) + 1)</f>
        <v>45971</v>
      </c>
      <c r="F255" s="18">
        <f>IF(Master_Data!N255="","",Master_Data!N255 - WEEKDAY(Master_Data!N255,2) + 1)</f>
        <v>45992</v>
      </c>
      <c r="G255" s="19">
        <f>EOMONTH(Master_Data!H255,-1)+1</f>
        <v>45931</v>
      </c>
      <c r="H255" s="19">
        <f>IF(Master_Data!J255="","",EOMONTH(Master_Data!J255,-1)+1)</f>
        <v>45962</v>
      </c>
      <c r="I255" s="19">
        <f>IF(Master_Data!M255="","",EOMONTH(Master_Data!M255,-1)+1)</f>
        <v>45962</v>
      </c>
      <c r="J255" s="19">
        <f>IF(Master_Data!N255="","",EOMONTH(Master_Data!N255,-1)+1)</f>
        <v>45992</v>
      </c>
    </row>
    <row r="256" spans="1:10" ht="29">
      <c r="A256" s="2" t="s">
        <v>527</v>
      </c>
      <c r="B256" s="2" t="str">
        <f>Master_Data!B256</f>
        <v>Structural</v>
      </c>
      <c r="C256" s="18">
        <f>IF(Master_Data!H256="","",Master_Data!H256 - WEEKDAY(Master_Data!H256,2) + 1)</f>
        <v>45957</v>
      </c>
      <c r="D256" s="18">
        <f>IF(Master_Data!J256="","",Master_Data!J256 - WEEKDAY(Master_Data!J256,2) + 1)</f>
        <v>45964</v>
      </c>
      <c r="E256" s="18">
        <f>IF(Master_Data!M256="","",Master_Data!M256 - WEEKDAY(Master_Data!M256,2) + 1)</f>
        <v>45971</v>
      </c>
      <c r="F256" s="18">
        <f>IF(Master_Data!N256="","",Master_Data!N256 - WEEKDAY(Master_Data!N256,2) + 1)</f>
        <v>45992</v>
      </c>
      <c r="G256" s="19">
        <f>EOMONTH(Master_Data!H256,-1)+1</f>
        <v>45931</v>
      </c>
      <c r="H256" s="19">
        <f>IF(Master_Data!J256="","",EOMONTH(Master_Data!J256,-1)+1)</f>
        <v>45962</v>
      </c>
      <c r="I256" s="19">
        <f>IF(Master_Data!M256="","",EOMONTH(Master_Data!M256,-1)+1)</f>
        <v>45962</v>
      </c>
      <c r="J256" s="19">
        <f>IF(Master_Data!N256="","",EOMONTH(Master_Data!N256,-1)+1)</f>
        <v>45992</v>
      </c>
    </row>
    <row r="257" spans="1:10" ht="29">
      <c r="A257" s="2" t="s">
        <v>529</v>
      </c>
      <c r="B257" s="2" t="str">
        <f>Master_Data!B257</f>
        <v>Structural</v>
      </c>
      <c r="C257" s="18">
        <f>IF(Master_Data!H257="","",Master_Data!H257 - WEEKDAY(Master_Data!H257,2) + 1)</f>
        <v>45957</v>
      </c>
      <c r="D257" s="18">
        <f>IF(Master_Data!J257="","",Master_Data!J257 - WEEKDAY(Master_Data!J257,2) + 1)</f>
        <v>45964</v>
      </c>
      <c r="E257" s="18">
        <f>IF(Master_Data!M257="","",Master_Data!M257 - WEEKDAY(Master_Data!M257,2) + 1)</f>
        <v>45971</v>
      </c>
      <c r="F257" s="18">
        <f>IF(Master_Data!N257="","",Master_Data!N257 - WEEKDAY(Master_Data!N257,2) + 1)</f>
        <v>45992</v>
      </c>
      <c r="G257" s="19">
        <f>EOMONTH(Master_Data!H257,-1)+1</f>
        <v>45931</v>
      </c>
      <c r="H257" s="19">
        <f>IF(Master_Data!J257="","",EOMONTH(Master_Data!J257,-1)+1)</f>
        <v>45962</v>
      </c>
      <c r="I257" s="19">
        <f>IF(Master_Data!M257="","",EOMONTH(Master_Data!M257,-1)+1)</f>
        <v>45962</v>
      </c>
      <c r="J257" s="19">
        <f>IF(Master_Data!N257="","",EOMONTH(Master_Data!N257,-1)+1)</f>
        <v>45992</v>
      </c>
    </row>
    <row r="258" spans="1:10" ht="29">
      <c r="A258" s="2" t="s">
        <v>531</v>
      </c>
      <c r="B258" s="2" t="str">
        <f>Master_Data!B258</f>
        <v>Structural</v>
      </c>
      <c r="C258" s="18">
        <f>IF(Master_Data!H258="","",Master_Data!H258 - WEEKDAY(Master_Data!H258,2) + 1)</f>
        <v>45950</v>
      </c>
      <c r="D258" s="18">
        <f>IF(Master_Data!J258="","",Master_Data!J258 - WEEKDAY(Master_Data!J258,2) + 1)</f>
        <v>45957</v>
      </c>
      <c r="E258" s="18">
        <f>IF(Master_Data!M258="","",Master_Data!M258 - WEEKDAY(Master_Data!M258,2) + 1)</f>
        <v>45964</v>
      </c>
      <c r="F258" s="18">
        <f>IF(Master_Data!N258="","",Master_Data!N258 - WEEKDAY(Master_Data!N258,2) + 1)</f>
        <v>45992</v>
      </c>
      <c r="G258" s="19">
        <f>EOMONTH(Master_Data!H258,-1)+1</f>
        <v>45931</v>
      </c>
      <c r="H258" s="19">
        <f>IF(Master_Data!J258="","",EOMONTH(Master_Data!J258,-1)+1)</f>
        <v>45931</v>
      </c>
      <c r="I258" s="19">
        <f>IF(Master_Data!M258="","",EOMONTH(Master_Data!M258,-1)+1)</f>
        <v>45962</v>
      </c>
      <c r="J258" s="19">
        <f>IF(Master_Data!N258="","",EOMONTH(Master_Data!N258,-1)+1)</f>
        <v>45992</v>
      </c>
    </row>
    <row r="259" spans="1:10">
      <c r="A259" s="2" t="s">
        <v>533</v>
      </c>
      <c r="B259" s="2" t="str">
        <f>Master_Data!B259</f>
        <v>Structural</v>
      </c>
      <c r="C259" s="18">
        <f>IF(Master_Data!H259="","",Master_Data!H259 - WEEKDAY(Master_Data!H259,2) + 1)</f>
        <v>45950</v>
      </c>
      <c r="D259" s="18">
        <f>IF(Master_Data!J259="","",Master_Data!J259 - WEEKDAY(Master_Data!J259,2) + 1)</f>
        <v>45957</v>
      </c>
      <c r="E259" s="18">
        <f>IF(Master_Data!M259="","",Master_Data!M259 - WEEKDAY(Master_Data!M259,2) + 1)</f>
        <v>45964</v>
      </c>
      <c r="F259" s="18">
        <f>IF(Master_Data!N259="","",Master_Data!N259 - WEEKDAY(Master_Data!N259,2) + 1)</f>
        <v>45992</v>
      </c>
      <c r="G259" s="19">
        <f>EOMONTH(Master_Data!H259,-1)+1</f>
        <v>45931</v>
      </c>
      <c r="H259" s="19">
        <f>IF(Master_Data!J259="","",EOMONTH(Master_Data!J259,-1)+1)</f>
        <v>45931</v>
      </c>
      <c r="I259" s="19">
        <f>IF(Master_Data!M259="","",EOMONTH(Master_Data!M259,-1)+1)</f>
        <v>45962</v>
      </c>
      <c r="J259" s="19">
        <f>IF(Master_Data!N259="","",EOMONTH(Master_Data!N259,-1)+1)</f>
        <v>45992</v>
      </c>
    </row>
    <row r="260" spans="1:10" ht="29">
      <c r="A260" s="2" t="s">
        <v>535</v>
      </c>
      <c r="B260" s="2" t="str">
        <f>Master_Data!B260</f>
        <v>Structural</v>
      </c>
      <c r="C260" s="18">
        <f>IF(Master_Data!H260="","",Master_Data!H260 - WEEKDAY(Master_Data!H260,2) + 1)</f>
        <v>45950</v>
      </c>
      <c r="D260" s="18">
        <f>IF(Master_Data!J260="","",Master_Data!J260 - WEEKDAY(Master_Data!J260,2) + 1)</f>
        <v>45957</v>
      </c>
      <c r="E260" s="18">
        <f>IF(Master_Data!M260="","",Master_Data!M260 - WEEKDAY(Master_Data!M260,2) + 1)</f>
        <v>45964</v>
      </c>
      <c r="F260" s="18">
        <f>IF(Master_Data!N260="","",Master_Data!N260 - WEEKDAY(Master_Data!N260,2) + 1)</f>
        <v>45992</v>
      </c>
      <c r="G260" s="19">
        <f>EOMONTH(Master_Data!H260,-1)+1</f>
        <v>45931</v>
      </c>
      <c r="H260" s="19">
        <f>IF(Master_Data!J260="","",EOMONTH(Master_Data!J260,-1)+1)</f>
        <v>45931</v>
      </c>
      <c r="I260" s="19">
        <f>IF(Master_Data!M260="","",EOMONTH(Master_Data!M260,-1)+1)</f>
        <v>45962</v>
      </c>
      <c r="J260" s="19">
        <f>IF(Master_Data!N260="","",EOMONTH(Master_Data!N260,-1)+1)</f>
        <v>45992</v>
      </c>
    </row>
    <row r="261" spans="1:10" ht="29">
      <c r="A261" s="2" t="s">
        <v>537</v>
      </c>
      <c r="B261" s="2" t="str">
        <f>Master_Data!B261</f>
        <v>Structural</v>
      </c>
      <c r="C261" s="18">
        <f>IF(Master_Data!H261="","",Master_Data!H261 - WEEKDAY(Master_Data!H261,2) + 1)</f>
        <v>45950</v>
      </c>
      <c r="D261" s="18">
        <f>IF(Master_Data!J261="","",Master_Data!J261 - WEEKDAY(Master_Data!J261,2) + 1)</f>
        <v>45957</v>
      </c>
      <c r="E261" s="18">
        <f>IF(Master_Data!M261="","",Master_Data!M261 - WEEKDAY(Master_Data!M261,2) + 1)</f>
        <v>45964</v>
      </c>
      <c r="F261" s="18">
        <f>IF(Master_Data!N261="","",Master_Data!N261 - WEEKDAY(Master_Data!N261,2) + 1)</f>
        <v>45992</v>
      </c>
      <c r="G261" s="19">
        <f>EOMONTH(Master_Data!H261,-1)+1</f>
        <v>45931</v>
      </c>
      <c r="H261" s="19">
        <f>IF(Master_Data!J261="","",EOMONTH(Master_Data!J261,-1)+1)</f>
        <v>45931</v>
      </c>
      <c r="I261" s="19">
        <f>IF(Master_Data!M261="","",EOMONTH(Master_Data!M261,-1)+1)</f>
        <v>45962</v>
      </c>
      <c r="J261" s="19">
        <f>IF(Master_Data!N261="","",EOMONTH(Master_Data!N261,-1)+1)</f>
        <v>45992</v>
      </c>
    </row>
    <row r="262" spans="1:10" ht="29">
      <c r="A262" s="2" t="s">
        <v>539</v>
      </c>
      <c r="B262" s="2" t="str">
        <f>Master_Data!B262</f>
        <v>Structural</v>
      </c>
      <c r="C262" s="18">
        <f>IF(Master_Data!H262="","",Master_Data!H262 - WEEKDAY(Master_Data!H262,2) + 1)</f>
        <v>45950</v>
      </c>
      <c r="D262" s="18">
        <f>IF(Master_Data!J262="","",Master_Data!J262 - WEEKDAY(Master_Data!J262,2) + 1)</f>
        <v>45957</v>
      </c>
      <c r="E262" s="18">
        <f>IF(Master_Data!M262="","",Master_Data!M262 - WEEKDAY(Master_Data!M262,2) + 1)</f>
        <v>45964</v>
      </c>
      <c r="F262" s="18">
        <f>IF(Master_Data!N262="","",Master_Data!N262 - WEEKDAY(Master_Data!N262,2) + 1)</f>
        <v>45992</v>
      </c>
      <c r="G262" s="19">
        <f>EOMONTH(Master_Data!H262,-1)+1</f>
        <v>45931</v>
      </c>
      <c r="H262" s="19">
        <f>IF(Master_Data!J262="","",EOMONTH(Master_Data!J262,-1)+1)</f>
        <v>45931</v>
      </c>
      <c r="I262" s="19">
        <f>IF(Master_Data!M262="","",EOMONTH(Master_Data!M262,-1)+1)</f>
        <v>45962</v>
      </c>
      <c r="J262" s="19">
        <f>IF(Master_Data!N262="","",EOMONTH(Master_Data!N262,-1)+1)</f>
        <v>45992</v>
      </c>
    </row>
    <row r="263" spans="1:10" ht="29">
      <c r="A263" s="2" t="s">
        <v>541</v>
      </c>
      <c r="B263" s="2" t="str">
        <f>Master_Data!B263</f>
        <v>Structural</v>
      </c>
      <c r="C263" s="18">
        <f>IF(Master_Data!H263="","",Master_Data!H263 - WEEKDAY(Master_Data!H263,2) + 1)</f>
        <v>45789</v>
      </c>
      <c r="D263" s="18">
        <f>IF(Master_Data!J263="","",Master_Data!J263 - WEEKDAY(Master_Data!J263,2) + 1)</f>
        <v>45817</v>
      </c>
      <c r="E263" s="18">
        <f>IF(Master_Data!M263="","",Master_Data!M263 - WEEKDAY(Master_Data!M263,2) + 1)</f>
        <v>45803</v>
      </c>
      <c r="F263" s="18">
        <f>IF(Master_Data!N263="","",Master_Data!N263 - WEEKDAY(Master_Data!N263,2) + 1)</f>
        <v>45810</v>
      </c>
      <c r="G263" s="19">
        <f>EOMONTH(Master_Data!H263,-1)+1</f>
        <v>45778</v>
      </c>
      <c r="H263" s="19">
        <f>IF(Master_Data!J263="","",EOMONTH(Master_Data!J263,-1)+1)</f>
        <v>45809</v>
      </c>
      <c r="I263" s="19">
        <f>IF(Master_Data!M263="","",EOMONTH(Master_Data!M263,-1)+1)</f>
        <v>45809</v>
      </c>
      <c r="J263" s="19">
        <f>IF(Master_Data!N263="","",EOMONTH(Master_Data!N263,-1)+1)</f>
        <v>45809</v>
      </c>
    </row>
    <row r="264" spans="1:10" ht="29">
      <c r="A264" s="2" t="s">
        <v>543</v>
      </c>
      <c r="B264" s="2" t="str">
        <f>Master_Data!B264</f>
        <v>Structural</v>
      </c>
      <c r="C264" s="18">
        <f>IF(Master_Data!H264="","",Master_Data!H264 - WEEKDAY(Master_Data!H264,2) + 1)</f>
        <v>45789</v>
      </c>
      <c r="D264" s="18">
        <f>IF(Master_Data!J264="","",Master_Data!J264 - WEEKDAY(Master_Data!J264,2) + 1)</f>
        <v>45817</v>
      </c>
      <c r="E264" s="18">
        <f>IF(Master_Data!M264="","",Master_Data!M264 - WEEKDAY(Master_Data!M264,2) + 1)</f>
        <v>45803</v>
      </c>
      <c r="F264" s="18">
        <f>IF(Master_Data!N264="","",Master_Data!N264 - WEEKDAY(Master_Data!N264,2) + 1)</f>
        <v>45810</v>
      </c>
      <c r="G264" s="19">
        <f>EOMONTH(Master_Data!H264,-1)+1</f>
        <v>45778</v>
      </c>
      <c r="H264" s="19">
        <f>IF(Master_Data!J264="","",EOMONTH(Master_Data!J264,-1)+1)</f>
        <v>45809</v>
      </c>
      <c r="I264" s="19">
        <f>IF(Master_Data!M264="","",EOMONTH(Master_Data!M264,-1)+1)</f>
        <v>45809</v>
      </c>
      <c r="J264" s="19">
        <f>IF(Master_Data!N264="","",EOMONTH(Master_Data!N264,-1)+1)</f>
        <v>45809</v>
      </c>
    </row>
    <row r="265" spans="1:10" ht="29">
      <c r="A265" s="2" t="s">
        <v>545</v>
      </c>
      <c r="B265" s="2" t="str">
        <f>Master_Data!B265</f>
        <v>Structural</v>
      </c>
      <c r="C265" s="18">
        <f>IF(Master_Data!H265="","",Master_Data!H265 - WEEKDAY(Master_Data!H265,2) + 1)</f>
        <v>45789</v>
      </c>
      <c r="D265" s="18">
        <f>IF(Master_Data!J265="","",Master_Data!J265 - WEEKDAY(Master_Data!J265,2) + 1)</f>
        <v>45817</v>
      </c>
      <c r="E265" s="18">
        <f>IF(Master_Data!M265="","",Master_Data!M265 - WEEKDAY(Master_Data!M265,2) + 1)</f>
        <v>45803</v>
      </c>
      <c r="F265" s="18">
        <f>IF(Master_Data!N265="","",Master_Data!N265 - WEEKDAY(Master_Data!N265,2) + 1)</f>
        <v>45810</v>
      </c>
      <c r="G265" s="19">
        <f>EOMONTH(Master_Data!H265,-1)+1</f>
        <v>45778</v>
      </c>
      <c r="H265" s="19">
        <f>IF(Master_Data!J265="","",EOMONTH(Master_Data!J265,-1)+1)</f>
        <v>45809</v>
      </c>
      <c r="I265" s="19">
        <f>IF(Master_Data!M265="","",EOMONTH(Master_Data!M265,-1)+1)</f>
        <v>45809</v>
      </c>
      <c r="J265" s="19">
        <f>IF(Master_Data!N265="","",EOMONTH(Master_Data!N265,-1)+1)</f>
        <v>45809</v>
      </c>
    </row>
    <row r="266" spans="1:10" ht="29">
      <c r="A266" s="2" t="s">
        <v>547</v>
      </c>
      <c r="B266" s="2" t="str">
        <f>Master_Data!B266</f>
        <v>Structural</v>
      </c>
      <c r="C266" s="18">
        <f>IF(Master_Data!H266="","",Master_Data!H266 - WEEKDAY(Master_Data!H266,2) + 1)</f>
        <v>45789</v>
      </c>
      <c r="D266" s="18">
        <f>IF(Master_Data!J266="","",Master_Data!J266 - WEEKDAY(Master_Data!J266,2) + 1)</f>
        <v>45817</v>
      </c>
      <c r="E266" s="18">
        <f>IF(Master_Data!M266="","",Master_Data!M266 - WEEKDAY(Master_Data!M266,2) + 1)</f>
        <v>45803</v>
      </c>
      <c r="F266" s="18">
        <f>IF(Master_Data!N266="","",Master_Data!N266 - WEEKDAY(Master_Data!N266,2) + 1)</f>
        <v>45810</v>
      </c>
      <c r="G266" s="19">
        <f>EOMONTH(Master_Data!H266,-1)+1</f>
        <v>45778</v>
      </c>
      <c r="H266" s="19">
        <f>IF(Master_Data!J266="","",EOMONTH(Master_Data!J266,-1)+1)</f>
        <v>45809</v>
      </c>
      <c r="I266" s="19">
        <f>IF(Master_Data!M266="","",EOMONTH(Master_Data!M266,-1)+1)</f>
        <v>45809</v>
      </c>
      <c r="J266" s="19">
        <f>IF(Master_Data!N266="","",EOMONTH(Master_Data!N266,-1)+1)</f>
        <v>45809</v>
      </c>
    </row>
    <row r="267" spans="1:10" ht="29">
      <c r="A267" s="2" t="s">
        <v>549</v>
      </c>
      <c r="B267" s="2" t="str">
        <f>Master_Data!B267</f>
        <v>Structural</v>
      </c>
      <c r="C267" s="18">
        <f>IF(Master_Data!H267="","",Master_Data!H267 - WEEKDAY(Master_Data!H267,2) + 1)</f>
        <v>45789</v>
      </c>
      <c r="D267" s="18">
        <f>IF(Master_Data!J267="","",Master_Data!J267 - WEEKDAY(Master_Data!J267,2) + 1)</f>
        <v>45817</v>
      </c>
      <c r="E267" s="18">
        <f>IF(Master_Data!M267="","",Master_Data!M267 - WEEKDAY(Master_Data!M267,2) + 1)</f>
        <v>45803</v>
      </c>
      <c r="F267" s="18">
        <f>IF(Master_Data!N267="","",Master_Data!N267 - WEEKDAY(Master_Data!N267,2) + 1)</f>
        <v>45810</v>
      </c>
      <c r="G267" s="19">
        <f>EOMONTH(Master_Data!H267,-1)+1</f>
        <v>45778</v>
      </c>
      <c r="H267" s="19">
        <f>IF(Master_Data!J267="","",EOMONTH(Master_Data!J267,-1)+1)</f>
        <v>45809</v>
      </c>
      <c r="I267" s="19">
        <f>IF(Master_Data!M267="","",EOMONTH(Master_Data!M267,-1)+1)</f>
        <v>45809</v>
      </c>
      <c r="J267" s="19">
        <f>IF(Master_Data!N267="","",EOMONTH(Master_Data!N267,-1)+1)</f>
        <v>45809</v>
      </c>
    </row>
    <row r="268" spans="1:10">
      <c r="A268" s="2" t="s">
        <v>551</v>
      </c>
      <c r="B268" s="2" t="str">
        <f>Master_Data!B268</f>
        <v>Structural</v>
      </c>
      <c r="C268" s="18">
        <f>IF(Master_Data!H268="","",Master_Data!H268 - WEEKDAY(Master_Data!H268,2) + 1)</f>
        <v>45803</v>
      </c>
      <c r="D268" s="18">
        <f>IF(Master_Data!J268="","",Master_Data!J268 - WEEKDAY(Master_Data!J268,2) + 1)</f>
        <v>45838</v>
      </c>
      <c r="E268" s="18">
        <f>IF(Master_Data!M268="","",Master_Data!M268 - WEEKDAY(Master_Data!M268,2) + 1)</f>
        <v>45817</v>
      </c>
      <c r="F268" s="18">
        <f>IF(Master_Data!N268="","",Master_Data!N268 - WEEKDAY(Master_Data!N268,2) + 1)</f>
        <v>45943</v>
      </c>
      <c r="G268" s="19">
        <f>EOMONTH(Master_Data!H268,-1)+1</f>
        <v>45778</v>
      </c>
      <c r="H268" s="19">
        <f>IF(Master_Data!J268="","",EOMONTH(Master_Data!J268,-1)+1)</f>
        <v>45839</v>
      </c>
      <c r="I268" s="19">
        <f>IF(Master_Data!M268="","",EOMONTH(Master_Data!M268,-1)+1)</f>
        <v>45809</v>
      </c>
      <c r="J268" s="19">
        <f>IF(Master_Data!N268="","",EOMONTH(Master_Data!N268,-1)+1)</f>
        <v>45931</v>
      </c>
    </row>
    <row r="269" spans="1:10" ht="29">
      <c r="A269" s="2" t="s">
        <v>553</v>
      </c>
      <c r="B269" s="2" t="str">
        <f>Master_Data!B269</f>
        <v>Structural</v>
      </c>
      <c r="C269" s="18">
        <f>IF(Master_Data!H269="","",Master_Data!H269 - WEEKDAY(Master_Data!H269,2) + 1)</f>
        <v>45803</v>
      </c>
      <c r="D269" s="18">
        <f>IF(Master_Data!J269="","",Master_Data!J269 - WEEKDAY(Master_Data!J269,2) + 1)</f>
        <v>45838</v>
      </c>
      <c r="E269" s="18">
        <f>IF(Master_Data!M269="","",Master_Data!M269 - WEEKDAY(Master_Data!M269,2) + 1)</f>
        <v>45817</v>
      </c>
      <c r="F269" s="18">
        <f>IF(Master_Data!N269="","",Master_Data!N269 - WEEKDAY(Master_Data!N269,2) + 1)</f>
        <v>45943</v>
      </c>
      <c r="G269" s="19">
        <f>EOMONTH(Master_Data!H269,-1)+1</f>
        <v>45778</v>
      </c>
      <c r="H269" s="19">
        <f>IF(Master_Data!J269="","",EOMONTH(Master_Data!J269,-1)+1)</f>
        <v>45839</v>
      </c>
      <c r="I269" s="19">
        <f>IF(Master_Data!M269="","",EOMONTH(Master_Data!M269,-1)+1)</f>
        <v>45809</v>
      </c>
      <c r="J269" s="19">
        <f>IF(Master_Data!N269="","",EOMONTH(Master_Data!N269,-1)+1)</f>
        <v>45931</v>
      </c>
    </row>
    <row r="270" spans="1:10" ht="29">
      <c r="A270" s="2" t="s">
        <v>555</v>
      </c>
      <c r="B270" s="2" t="str">
        <f>Master_Data!B270</f>
        <v>Structural</v>
      </c>
      <c r="C270" s="18">
        <f>IF(Master_Data!H270="","",Master_Data!H270 - WEEKDAY(Master_Data!H270,2) + 1)</f>
        <v>45803</v>
      </c>
      <c r="D270" s="18">
        <f>IF(Master_Data!J270="","",Master_Data!J270 - WEEKDAY(Master_Data!J270,2) + 1)</f>
        <v>45838</v>
      </c>
      <c r="E270" s="18">
        <f>IF(Master_Data!M270="","",Master_Data!M270 - WEEKDAY(Master_Data!M270,2) + 1)</f>
        <v>45817</v>
      </c>
      <c r="F270" s="18">
        <f>IF(Master_Data!N270="","",Master_Data!N270 - WEEKDAY(Master_Data!N270,2) + 1)</f>
        <v>45943</v>
      </c>
      <c r="G270" s="19">
        <f>EOMONTH(Master_Data!H270,-1)+1</f>
        <v>45778</v>
      </c>
      <c r="H270" s="19">
        <f>IF(Master_Data!J270="","",EOMONTH(Master_Data!J270,-1)+1)</f>
        <v>45839</v>
      </c>
      <c r="I270" s="19">
        <f>IF(Master_Data!M270="","",EOMONTH(Master_Data!M270,-1)+1)</f>
        <v>45809</v>
      </c>
      <c r="J270" s="19">
        <f>IF(Master_Data!N270="","",EOMONTH(Master_Data!N270,-1)+1)</f>
        <v>45931</v>
      </c>
    </row>
    <row r="271" spans="1:10" ht="29">
      <c r="A271" s="2" t="s">
        <v>557</v>
      </c>
      <c r="B271" s="2" t="str">
        <f>Master_Data!B271</f>
        <v>Structural</v>
      </c>
      <c r="C271" s="18">
        <f>IF(Master_Data!H271="","",Master_Data!H271 - WEEKDAY(Master_Data!H271,2) + 1)</f>
        <v>45803</v>
      </c>
      <c r="D271" s="18">
        <f>IF(Master_Data!J271="","",Master_Data!J271 - WEEKDAY(Master_Data!J271,2) + 1)</f>
        <v>45838</v>
      </c>
      <c r="E271" s="18">
        <f>IF(Master_Data!M271="","",Master_Data!M271 - WEEKDAY(Master_Data!M271,2) + 1)</f>
        <v>45817</v>
      </c>
      <c r="F271" s="18">
        <f>IF(Master_Data!N271="","",Master_Data!N271 - WEEKDAY(Master_Data!N271,2) + 1)</f>
        <v>45943</v>
      </c>
      <c r="G271" s="19">
        <f>EOMONTH(Master_Data!H271,-1)+1</f>
        <v>45778</v>
      </c>
      <c r="H271" s="19">
        <f>IF(Master_Data!J271="","",EOMONTH(Master_Data!J271,-1)+1)</f>
        <v>45839</v>
      </c>
      <c r="I271" s="19">
        <f>IF(Master_Data!M271="","",EOMONTH(Master_Data!M271,-1)+1)</f>
        <v>45809</v>
      </c>
      <c r="J271" s="19">
        <f>IF(Master_Data!N271="","",EOMONTH(Master_Data!N271,-1)+1)</f>
        <v>45931</v>
      </c>
    </row>
    <row r="272" spans="1:10" ht="29">
      <c r="A272" s="2" t="s">
        <v>559</v>
      </c>
      <c r="B272" s="2" t="str">
        <f>Master_Data!B272</f>
        <v>Structural</v>
      </c>
      <c r="C272" s="18">
        <f>IF(Master_Data!H272="","",Master_Data!H272 - WEEKDAY(Master_Data!H272,2) + 1)</f>
        <v>45803</v>
      </c>
      <c r="D272" s="18">
        <f>IF(Master_Data!J272="","",Master_Data!J272 - WEEKDAY(Master_Data!J272,2) + 1)</f>
        <v>45838</v>
      </c>
      <c r="E272" s="18">
        <f>IF(Master_Data!M272="","",Master_Data!M272 - WEEKDAY(Master_Data!M272,2) + 1)</f>
        <v>45817</v>
      </c>
      <c r="F272" s="18">
        <f>IF(Master_Data!N272="","",Master_Data!N272 - WEEKDAY(Master_Data!N272,2) + 1)</f>
        <v>45908</v>
      </c>
      <c r="G272" s="19">
        <f>EOMONTH(Master_Data!H272,-1)+1</f>
        <v>45778</v>
      </c>
      <c r="H272" s="19">
        <f>IF(Master_Data!J272="","",EOMONTH(Master_Data!J272,-1)+1)</f>
        <v>45839</v>
      </c>
      <c r="I272" s="19">
        <f>IF(Master_Data!M272="","",EOMONTH(Master_Data!M272,-1)+1)</f>
        <v>45809</v>
      </c>
      <c r="J272" s="19">
        <f>IF(Master_Data!N272="","",EOMONTH(Master_Data!N272,-1)+1)</f>
        <v>45901</v>
      </c>
    </row>
    <row r="273" spans="1:10">
      <c r="A273" s="2" t="s">
        <v>561</v>
      </c>
      <c r="B273" s="2" t="str">
        <f>Master_Data!B273</f>
        <v>Structural</v>
      </c>
      <c r="C273" s="18">
        <f>IF(Master_Data!H273="","",Master_Data!H273 - WEEKDAY(Master_Data!H273,2) + 1)</f>
        <v>45817</v>
      </c>
      <c r="D273" s="18">
        <f>IF(Master_Data!J273="","",Master_Data!J273 - WEEKDAY(Master_Data!J273,2) + 1)</f>
        <v>45845</v>
      </c>
      <c r="E273" s="18">
        <f>IF(Master_Data!M273="","",Master_Data!M273 - WEEKDAY(Master_Data!M273,2) + 1)</f>
        <v>45838</v>
      </c>
      <c r="F273" s="18">
        <f>IF(Master_Data!N273="","",Master_Data!N273 - WEEKDAY(Master_Data!N273,2) + 1)</f>
        <v>45943</v>
      </c>
      <c r="G273" s="19">
        <f>EOMONTH(Master_Data!H273,-1)+1</f>
        <v>45809</v>
      </c>
      <c r="H273" s="19">
        <f>IF(Master_Data!J273="","",EOMONTH(Master_Data!J273,-1)+1)</f>
        <v>45839</v>
      </c>
      <c r="I273" s="19">
        <f>IF(Master_Data!M273="","",EOMONTH(Master_Data!M273,-1)+1)</f>
        <v>45839</v>
      </c>
      <c r="J273" s="19">
        <f>IF(Master_Data!N273="","",EOMONTH(Master_Data!N273,-1)+1)</f>
        <v>45931</v>
      </c>
    </row>
    <row r="274" spans="1:10" ht="29">
      <c r="A274" s="2" t="s">
        <v>563</v>
      </c>
      <c r="B274" s="2" t="str">
        <f>Master_Data!B274</f>
        <v>Structural</v>
      </c>
      <c r="C274" s="18">
        <f>IF(Master_Data!H274="","",Master_Data!H274 - WEEKDAY(Master_Data!H274,2) + 1)</f>
        <v>45817</v>
      </c>
      <c r="D274" s="18">
        <f>IF(Master_Data!J274="","",Master_Data!J274 - WEEKDAY(Master_Data!J274,2) + 1)</f>
        <v>45845</v>
      </c>
      <c r="E274" s="18">
        <f>IF(Master_Data!M274="","",Master_Data!M274 - WEEKDAY(Master_Data!M274,2) + 1)</f>
        <v>45838</v>
      </c>
      <c r="F274" s="18">
        <f>IF(Master_Data!N274="","",Master_Data!N274 - WEEKDAY(Master_Data!N274,2) + 1)</f>
        <v>45943</v>
      </c>
      <c r="G274" s="19">
        <f>EOMONTH(Master_Data!H274,-1)+1</f>
        <v>45809</v>
      </c>
      <c r="H274" s="19">
        <f>IF(Master_Data!J274="","",EOMONTH(Master_Data!J274,-1)+1)</f>
        <v>45839</v>
      </c>
      <c r="I274" s="19">
        <f>IF(Master_Data!M274="","",EOMONTH(Master_Data!M274,-1)+1)</f>
        <v>45839</v>
      </c>
      <c r="J274" s="19">
        <f>IF(Master_Data!N274="","",EOMONTH(Master_Data!N274,-1)+1)</f>
        <v>45931</v>
      </c>
    </row>
    <row r="275" spans="1:10" ht="29">
      <c r="A275" s="2" t="s">
        <v>565</v>
      </c>
      <c r="B275" s="2" t="str">
        <f>Master_Data!B275</f>
        <v>Structural</v>
      </c>
      <c r="C275" s="18">
        <f>IF(Master_Data!H275="","",Master_Data!H275 - WEEKDAY(Master_Data!H275,2) + 1)</f>
        <v>45817</v>
      </c>
      <c r="D275" s="18">
        <f>IF(Master_Data!J275="","",Master_Data!J275 - WEEKDAY(Master_Data!J275,2) + 1)</f>
        <v>45845</v>
      </c>
      <c r="E275" s="18">
        <f>IF(Master_Data!M275="","",Master_Data!M275 - WEEKDAY(Master_Data!M275,2) + 1)</f>
        <v>45838</v>
      </c>
      <c r="F275" s="18">
        <f>IF(Master_Data!N275="","",Master_Data!N275 - WEEKDAY(Master_Data!N275,2) + 1)</f>
        <v>45943</v>
      </c>
      <c r="G275" s="19">
        <f>EOMONTH(Master_Data!H275,-1)+1</f>
        <v>45809</v>
      </c>
      <c r="H275" s="19">
        <f>IF(Master_Data!J275="","",EOMONTH(Master_Data!J275,-1)+1)</f>
        <v>45839</v>
      </c>
      <c r="I275" s="19">
        <f>IF(Master_Data!M275="","",EOMONTH(Master_Data!M275,-1)+1)</f>
        <v>45839</v>
      </c>
      <c r="J275" s="19">
        <f>IF(Master_Data!N275="","",EOMONTH(Master_Data!N275,-1)+1)</f>
        <v>45931</v>
      </c>
    </row>
    <row r="276" spans="1:10" ht="29">
      <c r="A276" s="2" t="s">
        <v>567</v>
      </c>
      <c r="B276" s="2" t="str">
        <f>Master_Data!B276</f>
        <v>Structural</v>
      </c>
      <c r="C276" s="18">
        <f>IF(Master_Data!H276="","",Master_Data!H276 - WEEKDAY(Master_Data!H276,2) + 1)</f>
        <v>45817</v>
      </c>
      <c r="D276" s="18">
        <f>IF(Master_Data!J276="","",Master_Data!J276 - WEEKDAY(Master_Data!J276,2) + 1)</f>
        <v>45845</v>
      </c>
      <c r="E276" s="18">
        <f>IF(Master_Data!M276="","",Master_Data!M276 - WEEKDAY(Master_Data!M276,2) + 1)</f>
        <v>45838</v>
      </c>
      <c r="F276" s="18">
        <f>IF(Master_Data!N276="","",Master_Data!N276 - WEEKDAY(Master_Data!N276,2) + 1)</f>
        <v>45943</v>
      </c>
      <c r="G276" s="19">
        <f>EOMONTH(Master_Data!H276,-1)+1</f>
        <v>45809</v>
      </c>
      <c r="H276" s="19">
        <f>IF(Master_Data!J276="","",EOMONTH(Master_Data!J276,-1)+1)</f>
        <v>45839</v>
      </c>
      <c r="I276" s="19">
        <f>IF(Master_Data!M276="","",EOMONTH(Master_Data!M276,-1)+1)</f>
        <v>45839</v>
      </c>
      <c r="J276" s="19">
        <f>IF(Master_Data!N276="","",EOMONTH(Master_Data!N276,-1)+1)</f>
        <v>45931</v>
      </c>
    </row>
    <row r="277" spans="1:10" ht="29">
      <c r="A277" s="2" t="s">
        <v>569</v>
      </c>
      <c r="B277" s="2" t="str">
        <f>Master_Data!B277</f>
        <v>Structural</v>
      </c>
      <c r="C277" s="18">
        <f>IF(Master_Data!H277="","",Master_Data!H277 - WEEKDAY(Master_Data!H277,2) + 1)</f>
        <v>45817</v>
      </c>
      <c r="D277" s="18">
        <f>IF(Master_Data!J277="","",Master_Data!J277 - WEEKDAY(Master_Data!J277,2) + 1)</f>
        <v>45845</v>
      </c>
      <c r="E277" s="18">
        <f>IF(Master_Data!M277="","",Master_Data!M277 - WEEKDAY(Master_Data!M277,2) + 1)</f>
        <v>45838</v>
      </c>
      <c r="F277" s="18">
        <f>IF(Master_Data!N277="","",Master_Data!N277 - WEEKDAY(Master_Data!N277,2) + 1)</f>
        <v>45908</v>
      </c>
      <c r="G277" s="19">
        <f>EOMONTH(Master_Data!H277,-1)+1</f>
        <v>45809</v>
      </c>
      <c r="H277" s="19">
        <f>IF(Master_Data!J277="","",EOMONTH(Master_Data!J277,-1)+1)</f>
        <v>45839</v>
      </c>
      <c r="I277" s="19">
        <f>IF(Master_Data!M277="","",EOMONTH(Master_Data!M277,-1)+1)</f>
        <v>45839</v>
      </c>
      <c r="J277" s="19">
        <f>IF(Master_Data!N277="","",EOMONTH(Master_Data!N277,-1)+1)</f>
        <v>45901</v>
      </c>
    </row>
    <row r="278" spans="1:10" ht="29">
      <c r="A278" s="2" t="s">
        <v>571</v>
      </c>
      <c r="B278" s="2" t="str">
        <f>Master_Data!B278</f>
        <v>Structural</v>
      </c>
      <c r="C278" s="18">
        <f>IF(Master_Data!H278="","",Master_Data!H278 - WEEKDAY(Master_Data!H278,2) + 1)</f>
        <v>45831</v>
      </c>
      <c r="D278" s="18">
        <f>IF(Master_Data!J278="","",Master_Data!J278 - WEEKDAY(Master_Data!J278,2) + 1)</f>
        <v>45894</v>
      </c>
      <c r="E278" s="18">
        <f>IF(Master_Data!M278="","",Master_Data!M278 - WEEKDAY(Master_Data!M278,2) + 1)</f>
        <v>45852</v>
      </c>
      <c r="F278" s="18">
        <f>IF(Master_Data!N278="","",Master_Data!N278 - WEEKDAY(Master_Data!N278,2) + 1)</f>
        <v>45943</v>
      </c>
      <c r="G278" s="19">
        <f>EOMONTH(Master_Data!H278,-1)+1</f>
        <v>45809</v>
      </c>
      <c r="H278" s="19">
        <f>IF(Master_Data!J278="","",EOMONTH(Master_Data!J278,-1)+1)</f>
        <v>45870</v>
      </c>
      <c r="I278" s="19">
        <f>IF(Master_Data!M278="","",EOMONTH(Master_Data!M278,-1)+1)</f>
        <v>45839</v>
      </c>
      <c r="J278" s="19">
        <f>IF(Master_Data!N278="","",EOMONTH(Master_Data!N278,-1)+1)</f>
        <v>45931</v>
      </c>
    </row>
    <row r="279" spans="1:10" ht="29">
      <c r="A279" s="2" t="s">
        <v>573</v>
      </c>
      <c r="B279" s="2" t="str">
        <f>Master_Data!B279</f>
        <v>Structural</v>
      </c>
      <c r="C279" s="18">
        <f>IF(Master_Data!H279="","",Master_Data!H279 - WEEKDAY(Master_Data!H279,2) + 1)</f>
        <v>45831</v>
      </c>
      <c r="D279" s="18">
        <f>IF(Master_Data!J279="","",Master_Data!J279 - WEEKDAY(Master_Data!J279,2) + 1)</f>
        <v>45894</v>
      </c>
      <c r="E279" s="18">
        <f>IF(Master_Data!M279="","",Master_Data!M279 - WEEKDAY(Master_Data!M279,2) + 1)</f>
        <v>45852</v>
      </c>
      <c r="F279" s="18">
        <f>IF(Master_Data!N279="","",Master_Data!N279 - WEEKDAY(Master_Data!N279,2) + 1)</f>
        <v>45943</v>
      </c>
      <c r="G279" s="19">
        <f>EOMONTH(Master_Data!H279,-1)+1</f>
        <v>45809</v>
      </c>
      <c r="H279" s="19">
        <f>IF(Master_Data!J279="","",EOMONTH(Master_Data!J279,-1)+1)</f>
        <v>45870</v>
      </c>
      <c r="I279" s="19">
        <f>IF(Master_Data!M279="","",EOMONTH(Master_Data!M279,-1)+1)</f>
        <v>45839</v>
      </c>
      <c r="J279" s="19">
        <f>IF(Master_Data!N279="","",EOMONTH(Master_Data!N279,-1)+1)</f>
        <v>45931</v>
      </c>
    </row>
    <row r="280" spans="1:10" ht="29">
      <c r="A280" s="2" t="s">
        <v>575</v>
      </c>
      <c r="B280" s="2" t="str">
        <f>Master_Data!B280</f>
        <v>Structural</v>
      </c>
      <c r="C280" s="18">
        <f>IF(Master_Data!H280="","",Master_Data!H280 - WEEKDAY(Master_Data!H280,2) + 1)</f>
        <v>45831</v>
      </c>
      <c r="D280" s="18">
        <f>IF(Master_Data!J280="","",Master_Data!J280 - WEEKDAY(Master_Data!J280,2) + 1)</f>
        <v>45894</v>
      </c>
      <c r="E280" s="18">
        <f>IF(Master_Data!M280="","",Master_Data!M280 - WEEKDAY(Master_Data!M280,2) + 1)</f>
        <v>45852</v>
      </c>
      <c r="F280" s="18">
        <f>IF(Master_Data!N280="","",Master_Data!N280 - WEEKDAY(Master_Data!N280,2) + 1)</f>
        <v>45943</v>
      </c>
      <c r="G280" s="19">
        <f>EOMONTH(Master_Data!H280,-1)+1</f>
        <v>45809</v>
      </c>
      <c r="H280" s="19">
        <f>IF(Master_Data!J280="","",EOMONTH(Master_Data!J280,-1)+1)</f>
        <v>45870</v>
      </c>
      <c r="I280" s="19">
        <f>IF(Master_Data!M280="","",EOMONTH(Master_Data!M280,-1)+1)</f>
        <v>45839</v>
      </c>
      <c r="J280" s="19">
        <f>IF(Master_Data!N280="","",EOMONTH(Master_Data!N280,-1)+1)</f>
        <v>45931</v>
      </c>
    </row>
    <row r="281" spans="1:10" ht="29">
      <c r="A281" s="2" t="s">
        <v>577</v>
      </c>
      <c r="B281" s="2" t="str">
        <f>Master_Data!B281</f>
        <v>Structural</v>
      </c>
      <c r="C281" s="18">
        <f>IF(Master_Data!H281="","",Master_Data!H281 - WEEKDAY(Master_Data!H281,2) + 1)</f>
        <v>45831</v>
      </c>
      <c r="D281" s="18">
        <f>IF(Master_Data!J281="","",Master_Data!J281 - WEEKDAY(Master_Data!J281,2) + 1)</f>
        <v>45894</v>
      </c>
      <c r="E281" s="18">
        <f>IF(Master_Data!M281="","",Master_Data!M281 - WEEKDAY(Master_Data!M281,2) + 1)</f>
        <v>45852</v>
      </c>
      <c r="F281" s="18">
        <f>IF(Master_Data!N281="","",Master_Data!N281 - WEEKDAY(Master_Data!N281,2) + 1)</f>
        <v>45943</v>
      </c>
      <c r="G281" s="19">
        <f>EOMONTH(Master_Data!H281,-1)+1</f>
        <v>45809</v>
      </c>
      <c r="H281" s="19">
        <f>IF(Master_Data!J281="","",EOMONTH(Master_Data!J281,-1)+1)</f>
        <v>45870</v>
      </c>
      <c r="I281" s="19">
        <f>IF(Master_Data!M281="","",EOMONTH(Master_Data!M281,-1)+1)</f>
        <v>45839</v>
      </c>
      <c r="J281" s="19">
        <f>IF(Master_Data!N281="","",EOMONTH(Master_Data!N281,-1)+1)</f>
        <v>45931</v>
      </c>
    </row>
    <row r="282" spans="1:10" ht="29">
      <c r="A282" s="2" t="s">
        <v>579</v>
      </c>
      <c r="B282" s="2" t="str">
        <f>Master_Data!B282</f>
        <v>Structural</v>
      </c>
      <c r="C282" s="18">
        <f>IF(Master_Data!H282="","",Master_Data!H282 - WEEKDAY(Master_Data!H282,2) + 1)</f>
        <v>45831</v>
      </c>
      <c r="D282" s="18">
        <f>IF(Master_Data!J282="","",Master_Data!J282 - WEEKDAY(Master_Data!J282,2) + 1)</f>
        <v>45894</v>
      </c>
      <c r="E282" s="18">
        <f>IF(Master_Data!M282="","",Master_Data!M282 - WEEKDAY(Master_Data!M282,2) + 1)</f>
        <v>45852</v>
      </c>
      <c r="F282" s="18">
        <f>IF(Master_Data!N282="","",Master_Data!N282 - WEEKDAY(Master_Data!N282,2) + 1)</f>
        <v>45943</v>
      </c>
      <c r="G282" s="19">
        <f>EOMONTH(Master_Data!H282,-1)+1</f>
        <v>45809</v>
      </c>
      <c r="H282" s="19">
        <f>IF(Master_Data!J282="","",EOMONTH(Master_Data!J282,-1)+1)</f>
        <v>45870</v>
      </c>
      <c r="I282" s="19">
        <f>IF(Master_Data!M282="","",EOMONTH(Master_Data!M282,-1)+1)</f>
        <v>45839</v>
      </c>
      <c r="J282" s="19">
        <f>IF(Master_Data!N282="","",EOMONTH(Master_Data!N282,-1)+1)</f>
        <v>45931</v>
      </c>
    </row>
    <row r="283" spans="1:10" ht="29">
      <c r="A283" s="2" t="s">
        <v>581</v>
      </c>
      <c r="B283" s="2" t="str">
        <f>Master_Data!B283</f>
        <v>Structural</v>
      </c>
      <c r="C283" s="18">
        <f>IF(Master_Data!H283="","",Master_Data!H283 - WEEKDAY(Master_Data!H283,2) + 1)</f>
        <v>45831</v>
      </c>
      <c r="D283" s="18">
        <f>IF(Master_Data!J283="","",Master_Data!J283 - WEEKDAY(Master_Data!J283,2) + 1)</f>
        <v>45894</v>
      </c>
      <c r="E283" s="18">
        <f>IF(Master_Data!M283="","",Master_Data!M283 - WEEKDAY(Master_Data!M283,2) + 1)</f>
        <v>45852</v>
      </c>
      <c r="F283" s="18">
        <f>IF(Master_Data!N283="","",Master_Data!N283 - WEEKDAY(Master_Data!N283,2) + 1)</f>
        <v>45957</v>
      </c>
      <c r="G283" s="19">
        <f>EOMONTH(Master_Data!H283,-1)+1</f>
        <v>45809</v>
      </c>
      <c r="H283" s="19">
        <f>IF(Master_Data!J283="","",EOMONTH(Master_Data!J283,-1)+1)</f>
        <v>45870</v>
      </c>
      <c r="I283" s="19">
        <f>IF(Master_Data!M283="","",EOMONTH(Master_Data!M283,-1)+1)</f>
        <v>45839</v>
      </c>
      <c r="J283" s="19">
        <f>IF(Master_Data!N283="","",EOMONTH(Master_Data!N283,-1)+1)</f>
        <v>45931</v>
      </c>
    </row>
    <row r="284" spans="1:10" ht="29">
      <c r="A284" s="2" t="s">
        <v>583</v>
      </c>
      <c r="B284" s="2" t="str">
        <f>Master_Data!B284</f>
        <v>Structural</v>
      </c>
      <c r="C284" s="18">
        <f>IF(Master_Data!H284="","",Master_Data!H284 - WEEKDAY(Master_Data!H284,2) + 1)</f>
        <v>45831</v>
      </c>
      <c r="D284" s="18">
        <f>IF(Master_Data!J284="","",Master_Data!J284 - WEEKDAY(Master_Data!J284,2) + 1)</f>
        <v>45894</v>
      </c>
      <c r="E284" s="18">
        <f>IF(Master_Data!M284="","",Master_Data!M284 - WEEKDAY(Master_Data!M284,2) + 1)</f>
        <v>45852</v>
      </c>
      <c r="F284" s="18">
        <f>IF(Master_Data!N284="","",Master_Data!N284 - WEEKDAY(Master_Data!N284,2) + 1)</f>
        <v>45957</v>
      </c>
      <c r="G284" s="19">
        <f>EOMONTH(Master_Data!H284,-1)+1</f>
        <v>45809</v>
      </c>
      <c r="H284" s="19">
        <f>IF(Master_Data!J284="","",EOMONTH(Master_Data!J284,-1)+1)</f>
        <v>45870</v>
      </c>
      <c r="I284" s="19">
        <f>IF(Master_Data!M284="","",EOMONTH(Master_Data!M284,-1)+1)</f>
        <v>45839</v>
      </c>
      <c r="J284" s="19">
        <f>IF(Master_Data!N284="","",EOMONTH(Master_Data!N284,-1)+1)</f>
        <v>45931</v>
      </c>
    </row>
    <row r="285" spans="1:10" ht="29">
      <c r="A285" s="2" t="s">
        <v>585</v>
      </c>
      <c r="B285" s="2" t="str">
        <f>Master_Data!B285</f>
        <v>Structural</v>
      </c>
      <c r="C285" s="18">
        <f>IF(Master_Data!H285="","",Master_Data!H285 - WEEKDAY(Master_Data!H285,2) + 1)</f>
        <v>45831</v>
      </c>
      <c r="D285" s="18">
        <f>IF(Master_Data!J285="","",Master_Data!J285 - WEEKDAY(Master_Data!J285,2) + 1)</f>
        <v>45894</v>
      </c>
      <c r="E285" s="18">
        <f>IF(Master_Data!M285="","",Master_Data!M285 - WEEKDAY(Master_Data!M285,2) + 1)</f>
        <v>45852</v>
      </c>
      <c r="F285" s="18">
        <f>IF(Master_Data!N285="","",Master_Data!N285 - WEEKDAY(Master_Data!N285,2) + 1)</f>
        <v>45957</v>
      </c>
      <c r="G285" s="19">
        <f>EOMONTH(Master_Data!H285,-1)+1</f>
        <v>45809</v>
      </c>
      <c r="H285" s="19">
        <f>IF(Master_Data!J285="","",EOMONTH(Master_Data!J285,-1)+1)</f>
        <v>45870</v>
      </c>
      <c r="I285" s="19">
        <f>IF(Master_Data!M285="","",EOMONTH(Master_Data!M285,-1)+1)</f>
        <v>45839</v>
      </c>
      <c r="J285" s="19">
        <f>IF(Master_Data!N285="","",EOMONTH(Master_Data!N285,-1)+1)</f>
        <v>45931</v>
      </c>
    </row>
    <row r="286" spans="1:10" ht="29">
      <c r="A286" s="2" t="s">
        <v>587</v>
      </c>
      <c r="B286" s="2" t="str">
        <f>Master_Data!B286</f>
        <v>Structural</v>
      </c>
      <c r="C286" s="18">
        <f>IF(Master_Data!H286="","",Master_Data!H286 - WEEKDAY(Master_Data!H286,2) + 1)</f>
        <v>45831</v>
      </c>
      <c r="D286" s="18">
        <f>IF(Master_Data!J286="","",Master_Data!J286 - WEEKDAY(Master_Data!J286,2) + 1)</f>
        <v>45894</v>
      </c>
      <c r="E286" s="18">
        <f>IF(Master_Data!M286="","",Master_Data!M286 - WEEKDAY(Master_Data!M286,2) + 1)</f>
        <v>45852</v>
      </c>
      <c r="F286" s="18">
        <f>IF(Master_Data!N286="","",Master_Data!N286 - WEEKDAY(Master_Data!N286,2) + 1)</f>
        <v>45957</v>
      </c>
      <c r="G286" s="19">
        <f>EOMONTH(Master_Data!H286,-1)+1</f>
        <v>45809</v>
      </c>
      <c r="H286" s="19">
        <f>IF(Master_Data!J286="","",EOMONTH(Master_Data!J286,-1)+1)</f>
        <v>45870</v>
      </c>
      <c r="I286" s="19">
        <f>IF(Master_Data!M286="","",EOMONTH(Master_Data!M286,-1)+1)</f>
        <v>45839</v>
      </c>
      <c r="J286" s="19">
        <f>IF(Master_Data!N286="","",EOMONTH(Master_Data!N286,-1)+1)</f>
        <v>45931</v>
      </c>
    </row>
    <row r="287" spans="1:10" ht="29">
      <c r="A287" s="2" t="s">
        <v>589</v>
      </c>
      <c r="B287" s="2" t="str">
        <f>Master_Data!B287</f>
        <v>Structural</v>
      </c>
      <c r="C287" s="18">
        <f>IF(Master_Data!H287="","",Master_Data!H287 - WEEKDAY(Master_Data!H287,2) + 1)</f>
        <v>45831</v>
      </c>
      <c r="D287" s="18">
        <f>IF(Master_Data!J287="","",Master_Data!J287 - WEEKDAY(Master_Data!J287,2) + 1)</f>
        <v>45894</v>
      </c>
      <c r="E287" s="18">
        <f>IF(Master_Data!M287="","",Master_Data!M287 - WEEKDAY(Master_Data!M287,2) + 1)</f>
        <v>45852</v>
      </c>
      <c r="F287" s="18">
        <f>IF(Master_Data!N287="","",Master_Data!N287 - WEEKDAY(Master_Data!N287,2) + 1)</f>
        <v>45957</v>
      </c>
      <c r="G287" s="19">
        <f>EOMONTH(Master_Data!H287,-1)+1</f>
        <v>45809</v>
      </c>
      <c r="H287" s="19">
        <f>IF(Master_Data!J287="","",EOMONTH(Master_Data!J287,-1)+1)</f>
        <v>45870</v>
      </c>
      <c r="I287" s="19">
        <f>IF(Master_Data!M287="","",EOMONTH(Master_Data!M287,-1)+1)</f>
        <v>45839</v>
      </c>
      <c r="J287" s="19">
        <f>IF(Master_Data!N287="","",EOMONTH(Master_Data!N287,-1)+1)</f>
        <v>45931</v>
      </c>
    </row>
    <row r="288" spans="1:10" ht="29">
      <c r="A288" s="2" t="s">
        <v>591</v>
      </c>
      <c r="B288" s="2" t="str">
        <f>Master_Data!B288</f>
        <v>Structural</v>
      </c>
      <c r="C288" s="18">
        <f>IF(Master_Data!H288="","",Master_Data!H288 - WEEKDAY(Master_Data!H288,2) + 1)</f>
        <v>45845</v>
      </c>
      <c r="D288" s="18">
        <f>IF(Master_Data!J288="","",Master_Data!J288 - WEEKDAY(Master_Data!J288,2) + 1)</f>
        <v>45824</v>
      </c>
      <c r="E288" s="18">
        <f>IF(Master_Data!M288="","",Master_Data!M288 - WEEKDAY(Master_Data!M288,2) + 1)</f>
        <v>45866</v>
      </c>
      <c r="F288" s="18">
        <f>IF(Master_Data!N288="","",Master_Data!N288 - WEEKDAY(Master_Data!N288,2) + 1)</f>
        <v>45845</v>
      </c>
      <c r="G288" s="19">
        <f>EOMONTH(Master_Data!H288,-1)+1</f>
        <v>45839</v>
      </c>
      <c r="H288" s="19">
        <f>IF(Master_Data!J288="","",EOMONTH(Master_Data!J288,-1)+1)</f>
        <v>45809</v>
      </c>
      <c r="I288" s="19">
        <f>IF(Master_Data!M288="","",EOMONTH(Master_Data!M288,-1)+1)</f>
        <v>45870</v>
      </c>
      <c r="J288" s="19">
        <f>IF(Master_Data!N288="","",EOMONTH(Master_Data!N288,-1)+1)</f>
        <v>45839</v>
      </c>
    </row>
    <row r="289" spans="1:10" ht="29">
      <c r="A289" s="2" t="s">
        <v>593</v>
      </c>
      <c r="B289" s="2" t="str">
        <f>Master_Data!B289</f>
        <v>Structural</v>
      </c>
      <c r="C289" s="18">
        <f>IF(Master_Data!H289="","",Master_Data!H289 - WEEKDAY(Master_Data!H289,2) + 1)</f>
        <v>45845</v>
      </c>
      <c r="D289" s="18">
        <f>IF(Master_Data!J289="","",Master_Data!J289 - WEEKDAY(Master_Data!J289,2) + 1)</f>
        <v>45824</v>
      </c>
      <c r="E289" s="18">
        <f>IF(Master_Data!M289="","",Master_Data!M289 - WEEKDAY(Master_Data!M289,2) + 1)</f>
        <v>45866</v>
      </c>
      <c r="F289" s="18">
        <f>IF(Master_Data!N289="","",Master_Data!N289 - WEEKDAY(Master_Data!N289,2) + 1)</f>
        <v>45845</v>
      </c>
      <c r="G289" s="19">
        <f>EOMONTH(Master_Data!H289,-1)+1</f>
        <v>45839</v>
      </c>
      <c r="H289" s="19">
        <f>IF(Master_Data!J289="","",EOMONTH(Master_Data!J289,-1)+1)</f>
        <v>45809</v>
      </c>
      <c r="I289" s="19">
        <f>IF(Master_Data!M289="","",EOMONTH(Master_Data!M289,-1)+1)</f>
        <v>45870</v>
      </c>
      <c r="J289" s="19">
        <f>IF(Master_Data!N289="","",EOMONTH(Master_Data!N289,-1)+1)</f>
        <v>45839</v>
      </c>
    </row>
    <row r="290" spans="1:10" ht="29">
      <c r="A290" s="2" t="s">
        <v>595</v>
      </c>
      <c r="B290" s="2" t="str">
        <f>Master_Data!B290</f>
        <v>Structural</v>
      </c>
      <c r="C290" s="18">
        <f>IF(Master_Data!H290="","",Master_Data!H290 - WEEKDAY(Master_Data!H290,2) + 1)</f>
        <v>45845</v>
      </c>
      <c r="D290" s="18">
        <f>IF(Master_Data!J290="","",Master_Data!J290 - WEEKDAY(Master_Data!J290,2) + 1)</f>
        <v>45824</v>
      </c>
      <c r="E290" s="18">
        <f>IF(Master_Data!M290="","",Master_Data!M290 - WEEKDAY(Master_Data!M290,2) + 1)</f>
        <v>45866</v>
      </c>
      <c r="F290" s="18">
        <f>IF(Master_Data!N290="","",Master_Data!N290 - WEEKDAY(Master_Data!N290,2) + 1)</f>
        <v>45845</v>
      </c>
      <c r="G290" s="19">
        <f>EOMONTH(Master_Data!H290,-1)+1</f>
        <v>45839</v>
      </c>
      <c r="H290" s="19">
        <f>IF(Master_Data!J290="","",EOMONTH(Master_Data!J290,-1)+1)</f>
        <v>45809</v>
      </c>
      <c r="I290" s="19">
        <f>IF(Master_Data!M290="","",EOMONTH(Master_Data!M290,-1)+1)</f>
        <v>45870</v>
      </c>
      <c r="J290" s="19">
        <f>IF(Master_Data!N290="","",EOMONTH(Master_Data!N290,-1)+1)</f>
        <v>45839</v>
      </c>
    </row>
    <row r="291" spans="1:10" ht="29">
      <c r="A291" s="2" t="s">
        <v>597</v>
      </c>
      <c r="B291" s="2" t="str">
        <f>Master_Data!B291</f>
        <v>Structural</v>
      </c>
      <c r="C291" s="18">
        <f>IF(Master_Data!H291="","",Master_Data!H291 - WEEKDAY(Master_Data!H291,2) + 1)</f>
        <v>45845</v>
      </c>
      <c r="D291" s="18">
        <f>IF(Master_Data!J291="","",Master_Data!J291 - WEEKDAY(Master_Data!J291,2) + 1)</f>
        <v>45824</v>
      </c>
      <c r="E291" s="18">
        <f>IF(Master_Data!M291="","",Master_Data!M291 - WEEKDAY(Master_Data!M291,2) + 1)</f>
        <v>45866</v>
      </c>
      <c r="F291" s="18">
        <f>IF(Master_Data!N291="","",Master_Data!N291 - WEEKDAY(Master_Data!N291,2) + 1)</f>
        <v>45845</v>
      </c>
      <c r="G291" s="19">
        <f>EOMONTH(Master_Data!H291,-1)+1</f>
        <v>45839</v>
      </c>
      <c r="H291" s="19">
        <f>IF(Master_Data!J291="","",EOMONTH(Master_Data!J291,-1)+1)</f>
        <v>45809</v>
      </c>
      <c r="I291" s="19">
        <f>IF(Master_Data!M291="","",EOMONTH(Master_Data!M291,-1)+1)</f>
        <v>45870</v>
      </c>
      <c r="J291" s="19">
        <f>IF(Master_Data!N291="","",EOMONTH(Master_Data!N291,-1)+1)</f>
        <v>45839</v>
      </c>
    </row>
    <row r="292" spans="1:10" ht="29">
      <c r="A292" s="2" t="s">
        <v>599</v>
      </c>
      <c r="B292" s="2" t="str">
        <f>Master_Data!B292</f>
        <v>Structural</v>
      </c>
      <c r="C292" s="18">
        <f>IF(Master_Data!H292="","",Master_Data!H292 - WEEKDAY(Master_Data!H292,2) + 1)</f>
        <v>45845</v>
      </c>
      <c r="D292" s="18">
        <f>IF(Master_Data!J292="","",Master_Data!J292 - WEEKDAY(Master_Data!J292,2) + 1)</f>
        <v>45824</v>
      </c>
      <c r="E292" s="18">
        <f>IF(Master_Data!M292="","",Master_Data!M292 - WEEKDAY(Master_Data!M292,2) + 1)</f>
        <v>45866</v>
      </c>
      <c r="F292" s="18">
        <f>IF(Master_Data!N292="","",Master_Data!N292 - WEEKDAY(Master_Data!N292,2) + 1)</f>
        <v>45845</v>
      </c>
      <c r="G292" s="19">
        <f>EOMONTH(Master_Data!H292,-1)+1</f>
        <v>45839</v>
      </c>
      <c r="H292" s="19">
        <f>IF(Master_Data!J292="","",EOMONTH(Master_Data!J292,-1)+1)</f>
        <v>45809</v>
      </c>
      <c r="I292" s="19">
        <f>IF(Master_Data!M292="","",EOMONTH(Master_Data!M292,-1)+1)</f>
        <v>45870</v>
      </c>
      <c r="J292" s="19">
        <f>IF(Master_Data!N292="","",EOMONTH(Master_Data!N292,-1)+1)</f>
        <v>45839</v>
      </c>
    </row>
    <row r="293" spans="1:10" ht="29">
      <c r="A293" s="2" t="s">
        <v>601</v>
      </c>
      <c r="B293" s="2" t="str">
        <f>Master_Data!B293</f>
        <v>Structural</v>
      </c>
      <c r="C293" s="18">
        <f>IF(Master_Data!H293="","",Master_Data!H293 - WEEKDAY(Master_Data!H293,2) + 1)</f>
        <v>45845</v>
      </c>
      <c r="D293" s="18">
        <f>IF(Master_Data!J293="","",Master_Data!J293 - WEEKDAY(Master_Data!J293,2) + 1)</f>
        <v>45908</v>
      </c>
      <c r="E293" s="18">
        <f>IF(Master_Data!M293="","",Master_Data!M293 - WEEKDAY(Master_Data!M293,2) + 1)</f>
        <v>45866</v>
      </c>
      <c r="F293" s="18">
        <f>IF(Master_Data!N293="","",Master_Data!N293 - WEEKDAY(Master_Data!N293,2) + 1)</f>
        <v>45943</v>
      </c>
      <c r="G293" s="19">
        <f>EOMONTH(Master_Data!H293,-1)+1</f>
        <v>45839</v>
      </c>
      <c r="H293" s="19">
        <f>IF(Master_Data!J293="","",EOMONTH(Master_Data!J293,-1)+1)</f>
        <v>45901</v>
      </c>
      <c r="I293" s="19">
        <f>IF(Master_Data!M293="","",EOMONTH(Master_Data!M293,-1)+1)</f>
        <v>45870</v>
      </c>
      <c r="J293" s="19">
        <f>IF(Master_Data!N293="","",EOMONTH(Master_Data!N293,-1)+1)</f>
        <v>45931</v>
      </c>
    </row>
    <row r="294" spans="1:10" ht="29">
      <c r="A294" s="2" t="s">
        <v>603</v>
      </c>
      <c r="B294" s="2" t="str">
        <f>Master_Data!B294</f>
        <v>Structural</v>
      </c>
      <c r="C294" s="18">
        <f>IF(Master_Data!H294="","",Master_Data!H294 - WEEKDAY(Master_Data!H294,2) + 1)</f>
        <v>45845</v>
      </c>
      <c r="D294" s="18">
        <f>IF(Master_Data!J294="","",Master_Data!J294 - WEEKDAY(Master_Data!J294,2) + 1)</f>
        <v>45908</v>
      </c>
      <c r="E294" s="18">
        <f>IF(Master_Data!M294="","",Master_Data!M294 - WEEKDAY(Master_Data!M294,2) + 1)</f>
        <v>45866</v>
      </c>
      <c r="F294" s="18">
        <f>IF(Master_Data!N294="","",Master_Data!N294 - WEEKDAY(Master_Data!N294,2) + 1)</f>
        <v>45943</v>
      </c>
      <c r="G294" s="19">
        <f>EOMONTH(Master_Data!H294,-1)+1</f>
        <v>45839</v>
      </c>
      <c r="H294" s="19">
        <f>IF(Master_Data!J294="","",EOMONTH(Master_Data!J294,-1)+1)</f>
        <v>45901</v>
      </c>
      <c r="I294" s="19">
        <f>IF(Master_Data!M294="","",EOMONTH(Master_Data!M294,-1)+1)</f>
        <v>45870</v>
      </c>
      <c r="J294" s="19">
        <f>IF(Master_Data!N294="","",EOMONTH(Master_Data!N294,-1)+1)</f>
        <v>45931</v>
      </c>
    </row>
    <row r="295" spans="1:10" ht="29">
      <c r="A295" s="2" t="s">
        <v>605</v>
      </c>
      <c r="B295" s="2" t="str">
        <f>Master_Data!B295</f>
        <v>Structural</v>
      </c>
      <c r="C295" s="18">
        <f>IF(Master_Data!H295="","",Master_Data!H295 - WEEKDAY(Master_Data!H295,2) + 1)</f>
        <v>45845</v>
      </c>
      <c r="D295" s="18">
        <f>IF(Master_Data!J295="","",Master_Data!J295 - WEEKDAY(Master_Data!J295,2) + 1)</f>
        <v>45908</v>
      </c>
      <c r="E295" s="18">
        <f>IF(Master_Data!M295="","",Master_Data!M295 - WEEKDAY(Master_Data!M295,2) + 1)</f>
        <v>45866</v>
      </c>
      <c r="F295" s="18">
        <f>IF(Master_Data!N295="","",Master_Data!N295 - WEEKDAY(Master_Data!N295,2) + 1)</f>
        <v>45943</v>
      </c>
      <c r="G295" s="19">
        <f>EOMONTH(Master_Data!H295,-1)+1</f>
        <v>45839</v>
      </c>
      <c r="H295" s="19">
        <f>IF(Master_Data!J295="","",EOMONTH(Master_Data!J295,-1)+1)</f>
        <v>45901</v>
      </c>
      <c r="I295" s="19">
        <f>IF(Master_Data!M295="","",EOMONTH(Master_Data!M295,-1)+1)</f>
        <v>45839</v>
      </c>
      <c r="J295" s="19">
        <f>IF(Master_Data!N295="","",EOMONTH(Master_Data!N295,-1)+1)</f>
        <v>45931</v>
      </c>
    </row>
    <row r="296" spans="1:10" ht="29">
      <c r="A296" s="2" t="s">
        <v>607</v>
      </c>
      <c r="B296" s="2" t="str">
        <f>Master_Data!B296</f>
        <v>Structural</v>
      </c>
      <c r="C296" s="18">
        <f>IF(Master_Data!H296="","",Master_Data!H296 - WEEKDAY(Master_Data!H296,2) + 1)</f>
        <v>45845</v>
      </c>
      <c r="D296" s="18">
        <f>IF(Master_Data!J296="","",Master_Data!J296 - WEEKDAY(Master_Data!J296,2) + 1)</f>
        <v>45908</v>
      </c>
      <c r="E296" s="18">
        <f>IF(Master_Data!M296="","",Master_Data!M296 - WEEKDAY(Master_Data!M296,2) + 1)</f>
        <v>45866</v>
      </c>
      <c r="F296" s="18">
        <f>IF(Master_Data!N296="","",Master_Data!N296 - WEEKDAY(Master_Data!N296,2) + 1)</f>
        <v>45943</v>
      </c>
      <c r="G296" s="19">
        <f>EOMONTH(Master_Data!H296,-1)+1</f>
        <v>45839</v>
      </c>
      <c r="H296" s="19">
        <f>IF(Master_Data!J296="","",EOMONTH(Master_Data!J296,-1)+1)</f>
        <v>45901</v>
      </c>
      <c r="I296" s="19">
        <f>IF(Master_Data!M296="","",EOMONTH(Master_Data!M296,-1)+1)</f>
        <v>45870</v>
      </c>
      <c r="J296" s="19">
        <f>IF(Master_Data!N296="","",EOMONTH(Master_Data!N296,-1)+1)</f>
        <v>45931</v>
      </c>
    </row>
    <row r="297" spans="1:10" ht="29">
      <c r="A297" s="2" t="s">
        <v>609</v>
      </c>
      <c r="B297" s="2" t="str">
        <f>Master_Data!B297</f>
        <v>Structural</v>
      </c>
      <c r="C297" s="18">
        <f>IF(Master_Data!H297="","",Master_Data!H297 - WEEKDAY(Master_Data!H297,2) + 1)</f>
        <v>45845</v>
      </c>
      <c r="D297" s="18">
        <f>IF(Master_Data!J297="","",Master_Data!J297 - WEEKDAY(Master_Data!J297,2) + 1)</f>
        <v>45908</v>
      </c>
      <c r="E297" s="18">
        <f>IF(Master_Data!M297="","",Master_Data!M297 - WEEKDAY(Master_Data!M297,2) + 1)</f>
        <v>45866</v>
      </c>
      <c r="F297" s="18">
        <f>IF(Master_Data!N297="","",Master_Data!N297 - WEEKDAY(Master_Data!N297,2) + 1)</f>
        <v>45943</v>
      </c>
      <c r="G297" s="19">
        <f>EOMONTH(Master_Data!H297,-1)+1</f>
        <v>45839</v>
      </c>
      <c r="H297" s="19">
        <f>IF(Master_Data!J297="","",EOMONTH(Master_Data!J297,-1)+1)</f>
        <v>45901</v>
      </c>
      <c r="I297" s="19">
        <f>IF(Master_Data!M297="","",EOMONTH(Master_Data!M297,-1)+1)</f>
        <v>45870</v>
      </c>
      <c r="J297" s="19">
        <f>IF(Master_Data!N297="","",EOMONTH(Master_Data!N297,-1)+1)</f>
        <v>45931</v>
      </c>
    </row>
    <row r="298" spans="1:10" ht="29">
      <c r="A298" s="2" t="s">
        <v>611</v>
      </c>
      <c r="B298" s="2" t="str">
        <f>Master_Data!B298</f>
        <v>Structural</v>
      </c>
      <c r="C298" s="18">
        <f>IF(Master_Data!H298="","",Master_Data!H298 - WEEKDAY(Master_Data!H298,2) + 1)</f>
        <v>45971</v>
      </c>
      <c r="D298" s="18">
        <f>IF(Master_Data!J298="","",Master_Data!J298 - WEEKDAY(Master_Data!J298,2) + 1)</f>
        <v>45971</v>
      </c>
      <c r="E298" s="18">
        <f>IF(Master_Data!M298="","",Master_Data!M298 - WEEKDAY(Master_Data!M298,2) + 1)</f>
        <v>45880</v>
      </c>
      <c r="F298" s="18">
        <f>IF(Master_Data!N298="","",Master_Data!N298 - WEEKDAY(Master_Data!N298,2) + 1)</f>
        <v>46069</v>
      </c>
      <c r="G298" s="19">
        <f>EOMONTH(Master_Data!H298,-1)+1</f>
        <v>45962</v>
      </c>
      <c r="H298" s="19">
        <f>IF(Master_Data!J298="","",EOMONTH(Master_Data!J298,-1)+1)</f>
        <v>45962</v>
      </c>
      <c r="I298" s="19">
        <f>IF(Master_Data!M298="","",EOMONTH(Master_Data!M298,-1)+1)</f>
        <v>45870</v>
      </c>
      <c r="J298" s="19">
        <f>IF(Master_Data!N298="","",EOMONTH(Master_Data!N298,-1)+1)</f>
        <v>46054</v>
      </c>
    </row>
    <row r="299" spans="1:10" ht="29">
      <c r="A299" s="2" t="s">
        <v>613</v>
      </c>
      <c r="B299" s="2" t="str">
        <f>Master_Data!B299</f>
        <v>Structural</v>
      </c>
      <c r="C299" s="18">
        <f>IF(Master_Data!H299="","",Master_Data!H299 - WEEKDAY(Master_Data!H299,2) + 1)</f>
        <v>45971</v>
      </c>
      <c r="D299" s="18">
        <f>IF(Master_Data!J299="","",Master_Data!J299 - WEEKDAY(Master_Data!J299,2) + 1)</f>
        <v>45985</v>
      </c>
      <c r="E299" s="18">
        <f>IF(Master_Data!M299="","",Master_Data!M299 - WEEKDAY(Master_Data!M299,2) + 1)</f>
        <v>45880</v>
      </c>
      <c r="F299" s="18">
        <f>IF(Master_Data!N299="","",Master_Data!N299 - WEEKDAY(Master_Data!N299,2) + 1)</f>
        <v>46069</v>
      </c>
      <c r="G299" s="19">
        <f>EOMONTH(Master_Data!H299,-1)+1</f>
        <v>45962</v>
      </c>
      <c r="H299" s="19">
        <f>IF(Master_Data!J299="","",EOMONTH(Master_Data!J299,-1)+1)</f>
        <v>45962</v>
      </c>
      <c r="I299" s="19">
        <f>IF(Master_Data!M299="","",EOMONTH(Master_Data!M299,-1)+1)</f>
        <v>45870</v>
      </c>
      <c r="J299" s="19">
        <f>IF(Master_Data!N299="","",EOMONTH(Master_Data!N299,-1)+1)</f>
        <v>46054</v>
      </c>
    </row>
    <row r="300" spans="1:10" ht="29">
      <c r="A300" s="2" t="s">
        <v>615</v>
      </c>
      <c r="B300" s="2" t="str">
        <f>Master_Data!B300</f>
        <v>Structural</v>
      </c>
      <c r="C300" s="18">
        <f>IF(Master_Data!H300="","",Master_Data!H300 - WEEKDAY(Master_Data!H300,2) + 1)</f>
        <v>45971</v>
      </c>
      <c r="D300" s="18">
        <f>IF(Master_Data!J300="","",Master_Data!J300 - WEEKDAY(Master_Data!J300,2) + 1)</f>
        <v>45971</v>
      </c>
      <c r="E300" s="18">
        <f>IF(Master_Data!M300="","",Master_Data!M300 - WEEKDAY(Master_Data!M300,2) + 1)</f>
        <v>45880</v>
      </c>
      <c r="F300" s="18">
        <f>IF(Master_Data!N300="","",Master_Data!N300 - WEEKDAY(Master_Data!N300,2) + 1)</f>
        <v>46069</v>
      </c>
      <c r="G300" s="19">
        <f>EOMONTH(Master_Data!H300,-1)+1</f>
        <v>45962</v>
      </c>
      <c r="H300" s="19">
        <f>IF(Master_Data!J300="","",EOMONTH(Master_Data!J300,-1)+1)</f>
        <v>45962</v>
      </c>
      <c r="I300" s="19">
        <f>IF(Master_Data!M300="","",EOMONTH(Master_Data!M300,-1)+1)</f>
        <v>45870</v>
      </c>
      <c r="J300" s="19">
        <f>IF(Master_Data!N300="","",EOMONTH(Master_Data!N300,-1)+1)</f>
        <v>46054</v>
      </c>
    </row>
    <row r="301" spans="1:10" ht="29">
      <c r="A301" s="2" t="s">
        <v>617</v>
      </c>
      <c r="B301" s="2" t="str">
        <f>Master_Data!B301</f>
        <v>Structural</v>
      </c>
      <c r="C301" s="18">
        <f>IF(Master_Data!H301="","",Master_Data!H301 - WEEKDAY(Master_Data!H301,2) + 1)</f>
        <v>45859</v>
      </c>
      <c r="D301" s="18">
        <f>IF(Master_Data!J301="","",Master_Data!J301 - WEEKDAY(Master_Data!J301,2) + 1)</f>
        <v>45747</v>
      </c>
      <c r="E301" s="18">
        <f>IF(Master_Data!M301="","",Master_Data!M301 - WEEKDAY(Master_Data!M301,2) + 1)</f>
        <v>45880</v>
      </c>
      <c r="F301" s="18">
        <f>IF(Master_Data!N301="","",Master_Data!N301 - WEEKDAY(Master_Data!N301,2) + 1)</f>
        <v>45803</v>
      </c>
      <c r="G301" s="19">
        <f>EOMONTH(Master_Data!H301,-1)+1</f>
        <v>45839</v>
      </c>
      <c r="H301" s="19">
        <f>IF(Master_Data!J301="","",EOMONTH(Master_Data!J301,-1)+1)</f>
        <v>45748</v>
      </c>
      <c r="I301" s="19">
        <f>IF(Master_Data!M301="","",EOMONTH(Master_Data!M301,-1)+1)</f>
        <v>45870</v>
      </c>
      <c r="J301" s="19">
        <f>IF(Master_Data!N301="","",EOMONTH(Master_Data!N301,-1)+1)</f>
        <v>45778</v>
      </c>
    </row>
    <row r="302" spans="1:10" ht="29">
      <c r="A302" s="2" t="s">
        <v>619</v>
      </c>
      <c r="B302" s="2" t="str">
        <f>Master_Data!B302</f>
        <v>Structural</v>
      </c>
      <c r="C302" s="18">
        <f>IF(Master_Data!H302="","",Master_Data!H302 - WEEKDAY(Master_Data!H302,2) + 1)</f>
        <v>45747</v>
      </c>
      <c r="D302" s="18">
        <f>IF(Master_Data!J302="","",Master_Data!J302 - WEEKDAY(Master_Data!J302,2) + 1)</f>
        <v>45747</v>
      </c>
      <c r="E302" s="18">
        <f>IF(Master_Data!M302="","",Master_Data!M302 - WEEKDAY(Master_Data!M302,2) + 1)</f>
        <v>45761</v>
      </c>
      <c r="F302" s="18">
        <f>IF(Master_Data!N302="","",Master_Data!N302 - WEEKDAY(Master_Data!N302,2) + 1)</f>
        <v>45803</v>
      </c>
      <c r="G302" s="19">
        <f>EOMONTH(Master_Data!H302,-1)+1</f>
        <v>45717</v>
      </c>
      <c r="H302" s="19">
        <f>IF(Master_Data!J302="","",EOMONTH(Master_Data!J302,-1)+1)</f>
        <v>45748</v>
      </c>
      <c r="I302" s="19">
        <f>IF(Master_Data!M302="","",EOMONTH(Master_Data!M302,-1)+1)</f>
        <v>45748</v>
      </c>
      <c r="J302" s="19">
        <f>IF(Master_Data!N302="","",EOMONTH(Master_Data!N302,-1)+1)</f>
        <v>45778</v>
      </c>
    </row>
    <row r="303" spans="1:10" ht="29">
      <c r="A303" s="2" t="s">
        <v>621</v>
      </c>
      <c r="B303" s="2" t="str">
        <f>Master_Data!B303</f>
        <v>Structural</v>
      </c>
      <c r="C303" s="18">
        <f>IF(Master_Data!H303="","",Master_Data!H303 - WEEKDAY(Master_Data!H303,2) + 1)</f>
        <v>45747</v>
      </c>
      <c r="D303" s="18">
        <f>IF(Master_Data!J303="","",Master_Data!J303 - WEEKDAY(Master_Data!J303,2) + 1)</f>
        <v>45894</v>
      </c>
      <c r="E303" s="18">
        <f>IF(Master_Data!M303="","",Master_Data!M303 - WEEKDAY(Master_Data!M303,2) + 1)</f>
        <v>45761</v>
      </c>
      <c r="F303" s="18">
        <f>IF(Master_Data!N303="","",Master_Data!N303 - WEEKDAY(Master_Data!N303,2) + 1)</f>
        <v>45894</v>
      </c>
      <c r="G303" s="19">
        <f>EOMONTH(Master_Data!H303,-1)+1</f>
        <v>45717</v>
      </c>
      <c r="H303" s="19">
        <f>IF(Master_Data!J303="","",EOMONTH(Master_Data!J303,-1)+1)</f>
        <v>45870</v>
      </c>
      <c r="I303" s="19">
        <f>IF(Master_Data!M303="","",EOMONTH(Master_Data!M303,-1)+1)</f>
        <v>45748</v>
      </c>
      <c r="J303" s="19">
        <f>IF(Master_Data!N303="","",EOMONTH(Master_Data!N303,-1)+1)</f>
        <v>45870</v>
      </c>
    </row>
    <row r="304" spans="1:10">
      <c r="A304" s="2" t="s">
        <v>623</v>
      </c>
      <c r="B304" s="2" t="str">
        <f>Master_Data!B304</f>
        <v>Structural</v>
      </c>
      <c r="C304" s="18">
        <f>IF(Master_Data!H304="","",Master_Data!H304 - WEEKDAY(Master_Data!H304,2) + 1)</f>
        <v>45726</v>
      </c>
      <c r="D304" s="18">
        <f>IF(Master_Data!J304="","",Master_Data!J304 - WEEKDAY(Master_Data!J304,2) + 1)</f>
        <v>45726</v>
      </c>
      <c r="E304" s="18">
        <f>IF(Master_Data!M304="","",Master_Data!M304 - WEEKDAY(Master_Data!M304,2) + 1)</f>
        <v>45754</v>
      </c>
      <c r="F304" s="18">
        <f>IF(Master_Data!N304="","",Master_Data!N304 - WEEKDAY(Master_Data!N304,2) + 1)</f>
        <v>45726</v>
      </c>
      <c r="G304" s="19">
        <f>EOMONTH(Master_Data!H304,-1)+1</f>
        <v>45717</v>
      </c>
      <c r="H304" s="19">
        <f>IF(Master_Data!J304="","",EOMONTH(Master_Data!J304,-1)+1)</f>
        <v>45717</v>
      </c>
      <c r="I304" s="19">
        <f>IF(Master_Data!M304="","",EOMONTH(Master_Data!M304,-1)+1)</f>
        <v>45748</v>
      </c>
      <c r="J304" s="19">
        <f>IF(Master_Data!N304="","",EOMONTH(Master_Data!N304,-1)+1)</f>
        <v>45717</v>
      </c>
    </row>
    <row r="305" spans="1:10" ht="29">
      <c r="A305" s="2" t="s">
        <v>625</v>
      </c>
      <c r="B305" s="2" t="str">
        <f>Master_Data!B305</f>
        <v>Structural</v>
      </c>
      <c r="C305" s="18">
        <f>IF(Master_Data!H305="","",Master_Data!H305 - WEEKDAY(Master_Data!H305,2) + 1)</f>
        <v>45859</v>
      </c>
      <c r="D305" s="18">
        <f>IF(Master_Data!J305="","",Master_Data!J305 - WEEKDAY(Master_Data!J305,2) + 1)</f>
        <v>45894</v>
      </c>
      <c r="E305" s="18">
        <f>IF(Master_Data!M305="","",Master_Data!M305 - WEEKDAY(Master_Data!M305,2) + 1)</f>
        <v>45887</v>
      </c>
      <c r="F305" s="18">
        <f>IF(Master_Data!N305="","",Master_Data!N305 - WEEKDAY(Master_Data!N305,2) + 1)</f>
        <v>45894</v>
      </c>
      <c r="G305" s="19">
        <f>EOMONTH(Master_Data!H305,-1)+1</f>
        <v>45839</v>
      </c>
      <c r="H305" s="19">
        <f>IF(Master_Data!J305="","",EOMONTH(Master_Data!J305,-1)+1)</f>
        <v>45870</v>
      </c>
      <c r="I305" s="19">
        <f>IF(Master_Data!M305="","",EOMONTH(Master_Data!M305,-1)+1)</f>
        <v>45870</v>
      </c>
      <c r="J305" s="19">
        <f>IF(Master_Data!N305="","",EOMONTH(Master_Data!N305,-1)+1)</f>
        <v>45870</v>
      </c>
    </row>
    <row r="306" spans="1:10" ht="29">
      <c r="A306" s="2" t="s">
        <v>627</v>
      </c>
      <c r="B306" s="2" t="str">
        <f>Master_Data!B306</f>
        <v>Structural</v>
      </c>
      <c r="C306" s="18">
        <f>IF(Master_Data!H306="","",Master_Data!H306 - WEEKDAY(Master_Data!H306,2) + 1)</f>
        <v>45859</v>
      </c>
      <c r="D306" s="18">
        <f>IF(Master_Data!J306="","",Master_Data!J306 - WEEKDAY(Master_Data!J306,2) + 1)</f>
        <v>45894</v>
      </c>
      <c r="E306" s="18">
        <f>IF(Master_Data!M306="","",Master_Data!M306 - WEEKDAY(Master_Data!M306,2) + 1)</f>
        <v>45887</v>
      </c>
      <c r="F306" s="18">
        <f>IF(Master_Data!N306="","",Master_Data!N306 - WEEKDAY(Master_Data!N306,2) + 1)</f>
        <v>45894</v>
      </c>
      <c r="G306" s="19">
        <f>EOMONTH(Master_Data!H306,-1)+1</f>
        <v>45839</v>
      </c>
      <c r="H306" s="19">
        <f>IF(Master_Data!J306="","",EOMONTH(Master_Data!J306,-1)+1)</f>
        <v>45870</v>
      </c>
      <c r="I306" s="19">
        <f>IF(Master_Data!M306="","",EOMONTH(Master_Data!M306,-1)+1)</f>
        <v>45870</v>
      </c>
      <c r="J306" s="19">
        <f>IF(Master_Data!N306="","",EOMONTH(Master_Data!N306,-1)+1)</f>
        <v>45870</v>
      </c>
    </row>
    <row r="307" spans="1:10">
      <c r="A307" s="2" t="s">
        <v>628</v>
      </c>
      <c r="B307" s="2" t="str">
        <f>Master_Data!B307</f>
        <v>Structural</v>
      </c>
      <c r="C307" s="18">
        <f>IF(Master_Data!H307="","",Master_Data!H307 - WEEKDAY(Master_Data!H307,2) + 1)</f>
        <v>45859</v>
      </c>
      <c r="D307" s="18">
        <f>IF(Master_Data!J307="","",Master_Data!J307 - WEEKDAY(Master_Data!J307,2) + 1)</f>
        <v>45894</v>
      </c>
      <c r="E307" s="18">
        <f>IF(Master_Data!M307="","",Master_Data!M307 - WEEKDAY(Master_Data!M307,2) + 1)</f>
        <v>45887</v>
      </c>
      <c r="F307" s="18">
        <f>IF(Master_Data!N307="","",Master_Data!N307 - WEEKDAY(Master_Data!N307,2) + 1)</f>
        <v>45894</v>
      </c>
      <c r="G307" s="19">
        <f>EOMONTH(Master_Data!H307,-1)+1</f>
        <v>45839</v>
      </c>
      <c r="H307" s="19">
        <f>IF(Master_Data!J307="","",EOMONTH(Master_Data!J307,-1)+1)</f>
        <v>45870</v>
      </c>
      <c r="I307" s="19">
        <f>IF(Master_Data!M307="","",EOMONTH(Master_Data!M307,-1)+1)</f>
        <v>45870</v>
      </c>
      <c r="J307" s="19">
        <f>IF(Master_Data!N307="","",EOMONTH(Master_Data!N307,-1)+1)</f>
        <v>45870</v>
      </c>
    </row>
    <row r="308" spans="1:10">
      <c r="A308" s="2" t="s">
        <v>629</v>
      </c>
      <c r="B308" s="2" t="str">
        <f>Master_Data!B308</f>
        <v>Structural</v>
      </c>
      <c r="C308" s="18">
        <f>IF(Master_Data!H308="","",Master_Data!H308 - WEEKDAY(Master_Data!H308,2) + 1)</f>
        <v>45726</v>
      </c>
      <c r="D308" s="18">
        <f>IF(Master_Data!J308="","",Master_Data!J308 - WEEKDAY(Master_Data!J308,2) + 1)</f>
        <v>45726</v>
      </c>
      <c r="E308" s="18">
        <f>IF(Master_Data!M308="","",Master_Data!M308 - WEEKDAY(Master_Data!M308,2) + 1)</f>
        <v>45754</v>
      </c>
      <c r="F308" s="18">
        <f>IF(Master_Data!N308="","",Master_Data!N308 - WEEKDAY(Master_Data!N308,2) + 1)</f>
        <v>45726</v>
      </c>
      <c r="G308" s="19">
        <f>EOMONTH(Master_Data!H308,-1)+1</f>
        <v>45717</v>
      </c>
      <c r="H308" s="19">
        <f>IF(Master_Data!J308="","",EOMONTH(Master_Data!J308,-1)+1)</f>
        <v>45717</v>
      </c>
      <c r="I308" s="19">
        <f>IF(Master_Data!M308="","",EOMONTH(Master_Data!M308,-1)+1)</f>
        <v>45748</v>
      </c>
      <c r="J308" s="19">
        <f>IF(Master_Data!N308="","",EOMONTH(Master_Data!N308,-1)+1)</f>
        <v>45717</v>
      </c>
    </row>
    <row r="309" spans="1:10" ht="29">
      <c r="A309" s="2" t="s">
        <v>631</v>
      </c>
      <c r="B309" s="2" t="str">
        <f>Master_Data!B309</f>
        <v>Structural</v>
      </c>
      <c r="C309" s="18">
        <f>IF(Master_Data!H309="","",Master_Data!H309 - WEEKDAY(Master_Data!H309,2) + 1)</f>
        <v>45726</v>
      </c>
      <c r="D309" s="18">
        <f>IF(Master_Data!J309="","",Master_Data!J309 - WEEKDAY(Master_Data!J309,2) + 1)</f>
        <v>45726</v>
      </c>
      <c r="E309" s="18">
        <f>IF(Master_Data!M309="","",Master_Data!M309 - WEEKDAY(Master_Data!M309,2) + 1)</f>
        <v>45754</v>
      </c>
      <c r="F309" s="18">
        <f>IF(Master_Data!N309="","",Master_Data!N309 - WEEKDAY(Master_Data!N309,2) + 1)</f>
        <v>45726</v>
      </c>
      <c r="G309" s="19">
        <f>EOMONTH(Master_Data!H309,-1)+1</f>
        <v>45717</v>
      </c>
      <c r="H309" s="19">
        <f>IF(Master_Data!J309="","",EOMONTH(Master_Data!J309,-1)+1)</f>
        <v>45717</v>
      </c>
      <c r="I309" s="19">
        <f>IF(Master_Data!M309="","",EOMONTH(Master_Data!M309,-1)+1)</f>
        <v>45748</v>
      </c>
      <c r="J309" s="19">
        <f>IF(Master_Data!N309="","",EOMONTH(Master_Data!N309,-1)+1)</f>
        <v>45717</v>
      </c>
    </row>
    <row r="310" spans="1:10" ht="29">
      <c r="A310" s="2" t="s">
        <v>633</v>
      </c>
      <c r="B310" s="2" t="str">
        <f>Master_Data!B310</f>
        <v>Structural</v>
      </c>
      <c r="C310" s="18">
        <f>IF(Master_Data!H310="","",Master_Data!H310 - WEEKDAY(Master_Data!H310,2) + 1)</f>
        <v>45859</v>
      </c>
      <c r="D310" s="18">
        <f>IF(Master_Data!J310="","",Master_Data!J310 - WEEKDAY(Master_Data!J310,2) + 1)</f>
        <v>45894</v>
      </c>
      <c r="E310" s="18">
        <f>IF(Master_Data!M310="","",Master_Data!M310 - WEEKDAY(Master_Data!M310,2) + 1)</f>
        <v>45887</v>
      </c>
      <c r="F310" s="18">
        <f>IF(Master_Data!N310="","",Master_Data!N310 - WEEKDAY(Master_Data!N310,2) + 1)</f>
        <v>45894</v>
      </c>
      <c r="G310" s="19">
        <f>EOMONTH(Master_Data!H310,-1)+1</f>
        <v>45839</v>
      </c>
      <c r="H310" s="19">
        <f>IF(Master_Data!J310="","",EOMONTH(Master_Data!J310,-1)+1)</f>
        <v>45870</v>
      </c>
      <c r="I310" s="19">
        <f>IF(Master_Data!M310="","",EOMONTH(Master_Data!M310,-1)+1)</f>
        <v>45870</v>
      </c>
      <c r="J310" s="19">
        <f>IF(Master_Data!N310="","",EOMONTH(Master_Data!N310,-1)+1)</f>
        <v>45870</v>
      </c>
    </row>
    <row r="311" spans="1:10">
      <c r="A311" s="2" t="s">
        <v>635</v>
      </c>
      <c r="B311" s="2" t="str">
        <f>Master_Data!B311</f>
        <v>Structural</v>
      </c>
      <c r="C311" s="18">
        <f>IF(Master_Data!H311="","",Master_Data!H311 - WEEKDAY(Master_Data!H311,2) + 1)</f>
        <v>45859</v>
      </c>
      <c r="D311" s="18">
        <f>IF(Master_Data!J311="","",Master_Data!J311 - WEEKDAY(Master_Data!J311,2) + 1)</f>
        <v>45726</v>
      </c>
      <c r="E311" s="18">
        <f>IF(Master_Data!M311="","",Master_Data!M311 - WEEKDAY(Master_Data!M311,2) + 1)</f>
        <v>45740</v>
      </c>
      <c r="F311" s="18">
        <f>IF(Master_Data!N311="","",Master_Data!N311 - WEEKDAY(Master_Data!N311,2) + 1)</f>
        <v>45726</v>
      </c>
      <c r="G311" s="19">
        <f>EOMONTH(Master_Data!H311,-1)+1</f>
        <v>45839</v>
      </c>
      <c r="H311" s="19">
        <f>IF(Master_Data!J311="","",EOMONTH(Master_Data!J311,-1)+1)</f>
        <v>45717</v>
      </c>
      <c r="I311" s="19">
        <f>IF(Master_Data!M311="","",EOMONTH(Master_Data!M311,-1)+1)</f>
        <v>45717</v>
      </c>
      <c r="J311" s="19">
        <f>IF(Master_Data!N311="","",EOMONTH(Master_Data!N311,-1)+1)</f>
        <v>45717</v>
      </c>
    </row>
    <row r="312" spans="1:10" ht="29">
      <c r="A312" s="2" t="s">
        <v>638</v>
      </c>
      <c r="B312" s="2" t="str">
        <f>Master_Data!B312</f>
        <v>Structural</v>
      </c>
      <c r="C312" s="18">
        <f>IF(Master_Data!H312="","",Master_Data!H312 - WEEKDAY(Master_Data!H312,2) + 1)</f>
        <v>45985</v>
      </c>
      <c r="D312" s="18">
        <f>IF(Master_Data!J312="","",Master_Data!J312 - WEEKDAY(Master_Data!J312,2) + 1)</f>
        <v>46034</v>
      </c>
      <c r="E312" s="18">
        <f>IF(Master_Data!M312="","",Master_Data!M312 - WEEKDAY(Master_Data!M312,2) + 1)</f>
        <v>46013</v>
      </c>
      <c r="F312" s="18" t="str">
        <f>IF(Master_Data!N312="","",Master_Data!N312 - WEEKDAY(Master_Data!N312,2) + 1)</f>
        <v/>
      </c>
      <c r="G312" s="19">
        <f>EOMONTH(Master_Data!H312,-1)+1</f>
        <v>45962</v>
      </c>
      <c r="H312" s="19">
        <f>IF(Master_Data!J312="","",EOMONTH(Master_Data!J312,-1)+1)</f>
        <v>46023</v>
      </c>
      <c r="I312" s="19">
        <f>IF(Master_Data!M312="","",EOMONTH(Master_Data!M312,-1)+1)</f>
        <v>45992</v>
      </c>
      <c r="J312" s="19" t="str">
        <f>IF(Master_Data!N312="","",EOMONTH(Master_Data!N312,-1)+1)</f>
        <v/>
      </c>
    </row>
    <row r="313" spans="1:10">
      <c r="A313" s="2" t="s">
        <v>640</v>
      </c>
      <c r="B313" s="2" t="str">
        <f>Master_Data!B313</f>
        <v>Structural</v>
      </c>
      <c r="C313" s="18">
        <f>IF(Master_Data!H313="","",Master_Data!H313 - WEEKDAY(Master_Data!H313,2) + 1)</f>
        <v>45859</v>
      </c>
      <c r="D313" s="18">
        <f>IF(Master_Data!J313="","",Master_Data!J313 - WEEKDAY(Master_Data!J313,2) + 1)</f>
        <v>45894</v>
      </c>
      <c r="E313" s="18">
        <f>IF(Master_Data!M313="","",Master_Data!M313 - WEEKDAY(Master_Data!M313,2) + 1)</f>
        <v>45887</v>
      </c>
      <c r="F313" s="18">
        <f>IF(Master_Data!N313="","",Master_Data!N313 - WEEKDAY(Master_Data!N313,2) + 1)</f>
        <v>45894</v>
      </c>
      <c r="G313" s="19">
        <f>EOMONTH(Master_Data!H313,-1)+1</f>
        <v>45839</v>
      </c>
      <c r="H313" s="19">
        <f>IF(Master_Data!J313="","",EOMONTH(Master_Data!J313,-1)+1)</f>
        <v>45870</v>
      </c>
      <c r="I313" s="19">
        <f>IF(Master_Data!M313="","",EOMONTH(Master_Data!M313,-1)+1)</f>
        <v>45870</v>
      </c>
      <c r="J313" s="19">
        <f>IF(Master_Data!N313="","",EOMONTH(Master_Data!N313,-1)+1)</f>
        <v>45870</v>
      </c>
    </row>
    <row r="314" spans="1:10">
      <c r="A314" s="2" t="s">
        <v>642</v>
      </c>
      <c r="B314" s="2" t="str">
        <f>Master_Data!B314</f>
        <v>Structural</v>
      </c>
      <c r="C314" s="18">
        <f>IF(Master_Data!H314="","",Master_Data!H314 - WEEKDAY(Master_Data!H314,2) + 1)</f>
        <v>45747</v>
      </c>
      <c r="D314" s="18">
        <f>IF(Master_Data!J314="","",Master_Data!J314 - WEEKDAY(Master_Data!J314,2) + 1)</f>
        <v>45747</v>
      </c>
      <c r="E314" s="18">
        <f>IF(Master_Data!M314="","",Master_Data!M314 - WEEKDAY(Master_Data!M314,2) + 1)</f>
        <v>45761</v>
      </c>
      <c r="F314" s="18">
        <f>IF(Master_Data!N314="","",Master_Data!N314 - WEEKDAY(Master_Data!N314,2) + 1)</f>
        <v>45803</v>
      </c>
      <c r="G314" s="19">
        <f>EOMONTH(Master_Data!H314,-1)+1</f>
        <v>45717</v>
      </c>
      <c r="H314" s="19">
        <f>IF(Master_Data!J314="","",EOMONTH(Master_Data!J314,-1)+1)</f>
        <v>45748</v>
      </c>
      <c r="I314" s="19">
        <f>IF(Master_Data!M314="","",EOMONTH(Master_Data!M314,-1)+1)</f>
        <v>45748</v>
      </c>
      <c r="J314" s="19">
        <f>IF(Master_Data!N314="","",EOMONTH(Master_Data!N314,-1)+1)</f>
        <v>45778</v>
      </c>
    </row>
    <row r="315" spans="1:10" ht="29">
      <c r="A315" s="2" t="s">
        <v>645</v>
      </c>
      <c r="B315" s="2" t="str">
        <f>Master_Data!B315</f>
        <v>Structural</v>
      </c>
      <c r="C315" s="18">
        <f>IF(Master_Data!H315="","",Master_Data!H315 - WEEKDAY(Master_Data!H315,2) + 1)</f>
        <v>45747</v>
      </c>
      <c r="D315" s="18">
        <f>IF(Master_Data!J315="","",Master_Data!J315 - WEEKDAY(Master_Data!J315,2) + 1)</f>
        <v>45747</v>
      </c>
      <c r="E315" s="18">
        <f>IF(Master_Data!M315="","",Master_Data!M315 - WEEKDAY(Master_Data!M315,2) + 1)</f>
        <v>45761</v>
      </c>
      <c r="F315" s="18">
        <f>IF(Master_Data!N315="","",Master_Data!N315 - WEEKDAY(Master_Data!N315,2) + 1)</f>
        <v>45803</v>
      </c>
      <c r="G315" s="19">
        <f>EOMONTH(Master_Data!H315,-1)+1</f>
        <v>45717</v>
      </c>
      <c r="H315" s="19">
        <f>IF(Master_Data!J315="","",EOMONTH(Master_Data!J315,-1)+1)</f>
        <v>45748</v>
      </c>
      <c r="I315" s="19">
        <f>IF(Master_Data!M315="","",EOMONTH(Master_Data!M315,-1)+1)</f>
        <v>45748</v>
      </c>
      <c r="J315" s="19">
        <f>IF(Master_Data!N315="","",EOMONTH(Master_Data!N315,-1)+1)</f>
        <v>45778</v>
      </c>
    </row>
    <row r="316" spans="1:10">
      <c r="A316" s="2" t="s">
        <v>647</v>
      </c>
      <c r="B316" s="2" t="str">
        <f>Master_Data!B316</f>
        <v>Structural</v>
      </c>
      <c r="C316" s="18">
        <f>IF(Master_Data!H316="","",Master_Data!H316 - WEEKDAY(Master_Data!H316,2) + 1)</f>
        <v>45747</v>
      </c>
      <c r="D316" s="18">
        <f>IF(Master_Data!J316="","",Master_Data!J316 - WEEKDAY(Master_Data!J316,2) + 1)</f>
        <v>45754</v>
      </c>
      <c r="E316" s="18">
        <f>IF(Master_Data!M316="","",Master_Data!M316 - WEEKDAY(Master_Data!M316,2) + 1)</f>
        <v>45761</v>
      </c>
      <c r="F316" s="18">
        <f>IF(Master_Data!N316="","",Master_Data!N316 - WEEKDAY(Master_Data!N316,2) + 1)</f>
        <v>45810</v>
      </c>
      <c r="G316" s="19">
        <f>EOMONTH(Master_Data!H316,-1)+1</f>
        <v>45717</v>
      </c>
      <c r="H316" s="19">
        <f>IF(Master_Data!J316="","",EOMONTH(Master_Data!J316,-1)+1)</f>
        <v>45748</v>
      </c>
      <c r="I316" s="19">
        <f>IF(Master_Data!M316="","",EOMONTH(Master_Data!M316,-1)+1)</f>
        <v>45748</v>
      </c>
      <c r="J316" s="19">
        <f>IF(Master_Data!N316="","",EOMONTH(Master_Data!N316,-1)+1)</f>
        <v>45809</v>
      </c>
    </row>
    <row r="317" spans="1:10">
      <c r="A317" s="2" t="s">
        <v>649</v>
      </c>
      <c r="B317" s="2" t="str">
        <f>Master_Data!B317</f>
        <v>Structural</v>
      </c>
      <c r="C317" s="18">
        <f>IF(Master_Data!H317="","",Master_Data!H317 - WEEKDAY(Master_Data!H317,2) + 1)</f>
        <v>45747</v>
      </c>
      <c r="D317" s="18">
        <f>IF(Master_Data!J317="","",Master_Data!J317 - WEEKDAY(Master_Data!J317,2) + 1)</f>
        <v>45754</v>
      </c>
      <c r="E317" s="18">
        <f>IF(Master_Data!M317="","",Master_Data!M317 - WEEKDAY(Master_Data!M317,2) + 1)</f>
        <v>45761</v>
      </c>
      <c r="F317" s="18">
        <f>IF(Master_Data!N317="","",Master_Data!N317 - WEEKDAY(Master_Data!N317,2) + 1)</f>
        <v>45810</v>
      </c>
      <c r="G317" s="19">
        <f>EOMONTH(Master_Data!H317,-1)+1</f>
        <v>45717</v>
      </c>
      <c r="H317" s="19">
        <f>IF(Master_Data!J317="","",EOMONTH(Master_Data!J317,-1)+1)</f>
        <v>45748</v>
      </c>
      <c r="I317" s="19">
        <f>IF(Master_Data!M317="","",EOMONTH(Master_Data!M317,-1)+1)</f>
        <v>45748</v>
      </c>
      <c r="J317" s="19">
        <f>IF(Master_Data!N317="","",EOMONTH(Master_Data!N317,-1)+1)</f>
        <v>45809</v>
      </c>
    </row>
    <row r="318" spans="1:10">
      <c r="A318" s="2" t="s">
        <v>651</v>
      </c>
      <c r="B318" s="2" t="str">
        <f>Master_Data!B318</f>
        <v>Structural</v>
      </c>
      <c r="C318" s="18">
        <f>IF(Master_Data!H318="","",Master_Data!H318 - WEEKDAY(Master_Data!H318,2) + 1)</f>
        <v>45971</v>
      </c>
      <c r="D318" s="18">
        <f>IF(Master_Data!J318="","",Master_Data!J318 - WEEKDAY(Master_Data!J318,2) + 1)</f>
        <v>45971</v>
      </c>
      <c r="E318" s="18">
        <f>IF(Master_Data!M318="","",Master_Data!M318 - WEEKDAY(Master_Data!M318,2) + 1)</f>
        <v>45985</v>
      </c>
      <c r="F318" s="18">
        <f>IF(Master_Data!N318="","",Master_Data!N318 - WEEKDAY(Master_Data!N318,2) + 1)</f>
        <v>45992</v>
      </c>
      <c r="G318" s="19">
        <f>EOMONTH(Master_Data!H318,-1)+1</f>
        <v>45962</v>
      </c>
      <c r="H318" s="19">
        <f>IF(Master_Data!J318="","",EOMONTH(Master_Data!J318,-1)+1)</f>
        <v>45962</v>
      </c>
      <c r="I318" s="19">
        <f>IF(Master_Data!M318="","",EOMONTH(Master_Data!M318,-1)+1)</f>
        <v>45962</v>
      </c>
      <c r="J318" s="19">
        <f>IF(Master_Data!N318="","",EOMONTH(Master_Data!N318,-1)+1)</f>
        <v>45992</v>
      </c>
    </row>
    <row r="319" spans="1:10" ht="29">
      <c r="A319" s="2" t="s">
        <v>653</v>
      </c>
      <c r="B319" s="2" t="str">
        <f>Master_Data!B319</f>
        <v>Structural</v>
      </c>
      <c r="C319" s="18">
        <f>IF(Master_Data!H319="","",Master_Data!H319 - WEEKDAY(Master_Data!H319,2) + 1)</f>
        <v>45971</v>
      </c>
      <c r="D319" s="18">
        <f>IF(Master_Data!J319="","",Master_Data!J319 - WEEKDAY(Master_Data!J319,2) + 1)</f>
        <v>45971</v>
      </c>
      <c r="E319" s="18">
        <f>IF(Master_Data!M319="","",Master_Data!M319 - WEEKDAY(Master_Data!M319,2) + 1)</f>
        <v>45985</v>
      </c>
      <c r="F319" s="18">
        <f>IF(Master_Data!N319="","",Master_Data!N319 - WEEKDAY(Master_Data!N319,2) + 1)</f>
        <v>45992</v>
      </c>
      <c r="G319" s="19">
        <f>EOMONTH(Master_Data!H319,-1)+1</f>
        <v>45962</v>
      </c>
      <c r="H319" s="19">
        <f>IF(Master_Data!J319="","",EOMONTH(Master_Data!J319,-1)+1)</f>
        <v>45962</v>
      </c>
      <c r="I319" s="19">
        <f>IF(Master_Data!M319="","",EOMONTH(Master_Data!M319,-1)+1)</f>
        <v>45962</v>
      </c>
      <c r="J319" s="19">
        <f>IF(Master_Data!N319="","",EOMONTH(Master_Data!N319,-1)+1)</f>
        <v>45992</v>
      </c>
    </row>
    <row r="320" spans="1:10">
      <c r="A320" s="2" t="s">
        <v>655</v>
      </c>
      <c r="B320" s="2" t="str">
        <f>Master_Data!B320</f>
        <v>Structural</v>
      </c>
      <c r="C320" s="18">
        <f>IF(Master_Data!H320="","",Master_Data!H320 - WEEKDAY(Master_Data!H320,2) + 1)</f>
        <v>45957</v>
      </c>
      <c r="D320" s="18">
        <f>IF(Master_Data!J320="","",Master_Data!J320 - WEEKDAY(Master_Data!J320,2) + 1)</f>
        <v>45964</v>
      </c>
      <c r="E320" s="18">
        <f>IF(Master_Data!M320="","",Master_Data!M320 - WEEKDAY(Master_Data!M320,2) + 1)</f>
        <v>45971</v>
      </c>
      <c r="F320" s="18">
        <f>IF(Master_Data!N320="","",Master_Data!N320 - WEEKDAY(Master_Data!N320,2) + 1)</f>
        <v>45992</v>
      </c>
      <c r="G320" s="19">
        <f>EOMONTH(Master_Data!H320,-1)+1</f>
        <v>45931</v>
      </c>
      <c r="H320" s="19">
        <f>IF(Master_Data!J320="","",EOMONTH(Master_Data!J320,-1)+1)</f>
        <v>45962</v>
      </c>
      <c r="I320" s="19">
        <f>IF(Master_Data!M320="","",EOMONTH(Master_Data!M320,-1)+1)</f>
        <v>45962</v>
      </c>
      <c r="J320" s="19">
        <f>IF(Master_Data!N320="","",EOMONTH(Master_Data!N320,-1)+1)</f>
        <v>45992</v>
      </c>
    </row>
    <row r="321" spans="1:10" ht="29">
      <c r="A321" s="2" t="s">
        <v>657</v>
      </c>
      <c r="B321" s="2" t="str">
        <f>Master_Data!B321</f>
        <v>Structural</v>
      </c>
      <c r="C321" s="18">
        <f>IF(Master_Data!H321="","",Master_Data!H321 - WEEKDAY(Master_Data!H321,2) + 1)</f>
        <v>45957</v>
      </c>
      <c r="D321" s="18">
        <f>IF(Master_Data!J321="","",Master_Data!J321 - WEEKDAY(Master_Data!J321,2) + 1)</f>
        <v>45964</v>
      </c>
      <c r="E321" s="18">
        <f>IF(Master_Data!M321="","",Master_Data!M321 - WEEKDAY(Master_Data!M321,2) + 1)</f>
        <v>45971</v>
      </c>
      <c r="F321" s="18">
        <f>IF(Master_Data!N321="","",Master_Data!N321 - WEEKDAY(Master_Data!N321,2) + 1)</f>
        <v>45992</v>
      </c>
      <c r="G321" s="19">
        <f>EOMONTH(Master_Data!H321,-1)+1</f>
        <v>45931</v>
      </c>
      <c r="H321" s="19">
        <f>IF(Master_Data!J321="","",EOMONTH(Master_Data!J321,-1)+1)</f>
        <v>45962</v>
      </c>
      <c r="I321" s="19">
        <f>IF(Master_Data!M321="","",EOMONTH(Master_Data!M321,-1)+1)</f>
        <v>45962</v>
      </c>
      <c r="J321" s="19">
        <f>IF(Master_Data!N321="","",EOMONTH(Master_Data!N321,-1)+1)</f>
        <v>45992</v>
      </c>
    </row>
    <row r="322" spans="1:10">
      <c r="A322" s="2" t="s">
        <v>659</v>
      </c>
      <c r="B322" s="2" t="str">
        <f>Master_Data!B322</f>
        <v>Structural</v>
      </c>
      <c r="C322" s="18">
        <f>IF(Master_Data!H322="","",Master_Data!H322 - WEEKDAY(Master_Data!H322,2) + 1)</f>
        <v>45950</v>
      </c>
      <c r="D322" s="18">
        <f>IF(Master_Data!J322="","",Master_Data!J322 - WEEKDAY(Master_Data!J322,2) + 1)</f>
        <v>45957</v>
      </c>
      <c r="E322" s="18">
        <f>IF(Master_Data!M322="","",Master_Data!M322 - WEEKDAY(Master_Data!M322,2) + 1)</f>
        <v>45964</v>
      </c>
      <c r="F322" s="18">
        <f>IF(Master_Data!N322="","",Master_Data!N322 - WEEKDAY(Master_Data!N322,2) + 1)</f>
        <v>45992</v>
      </c>
      <c r="G322" s="19">
        <f>EOMONTH(Master_Data!H322,-1)+1</f>
        <v>45931</v>
      </c>
      <c r="H322" s="19">
        <f>IF(Master_Data!J322="","",EOMONTH(Master_Data!J322,-1)+1)</f>
        <v>45931</v>
      </c>
      <c r="I322" s="19">
        <f>IF(Master_Data!M322="","",EOMONTH(Master_Data!M322,-1)+1)</f>
        <v>45962</v>
      </c>
      <c r="J322" s="19">
        <f>IF(Master_Data!N322="","",EOMONTH(Master_Data!N322,-1)+1)</f>
        <v>45992</v>
      </c>
    </row>
    <row r="323" spans="1:10" ht="29">
      <c r="A323" s="2" t="s">
        <v>661</v>
      </c>
      <c r="B323" s="2" t="str">
        <f>Master_Data!B323</f>
        <v>Structural</v>
      </c>
      <c r="C323" s="18">
        <f>IF(Master_Data!H323="","",Master_Data!H323 - WEEKDAY(Master_Data!H323,2) + 1)</f>
        <v>45950</v>
      </c>
      <c r="D323" s="18">
        <f>IF(Master_Data!J323="","",Master_Data!J323 - WEEKDAY(Master_Data!J323,2) + 1)</f>
        <v>45957</v>
      </c>
      <c r="E323" s="18">
        <f>IF(Master_Data!M323="","",Master_Data!M323 - WEEKDAY(Master_Data!M323,2) + 1)</f>
        <v>45964</v>
      </c>
      <c r="F323" s="18">
        <f>IF(Master_Data!N323="","",Master_Data!N323 - WEEKDAY(Master_Data!N323,2) + 1)</f>
        <v>45992</v>
      </c>
      <c r="G323" s="19">
        <f>EOMONTH(Master_Data!H323,-1)+1</f>
        <v>45931</v>
      </c>
      <c r="H323" s="19">
        <f>IF(Master_Data!J323="","",EOMONTH(Master_Data!J323,-1)+1)</f>
        <v>45931</v>
      </c>
      <c r="I323" s="19">
        <f>IF(Master_Data!M323="","",EOMONTH(Master_Data!M323,-1)+1)</f>
        <v>45962</v>
      </c>
      <c r="J323" s="19">
        <f>IF(Master_Data!N323="","",EOMONTH(Master_Data!N323,-1)+1)</f>
        <v>45992</v>
      </c>
    </row>
    <row r="324" spans="1:10">
      <c r="A324" s="2" t="s">
        <v>663</v>
      </c>
      <c r="B324" s="2" t="str">
        <f>Master_Data!B324</f>
        <v>Structural</v>
      </c>
      <c r="C324" s="18">
        <f>IF(Master_Data!H324="","",Master_Data!H324 - WEEKDAY(Master_Data!H324,2) + 1)</f>
        <v>45789</v>
      </c>
      <c r="D324" s="18">
        <f>IF(Master_Data!J324="","",Master_Data!J324 - WEEKDAY(Master_Data!J324,2) + 1)</f>
        <v>45796</v>
      </c>
      <c r="E324" s="18">
        <f>IF(Master_Data!M324="","",Master_Data!M324 - WEEKDAY(Master_Data!M324,2) + 1)</f>
        <v>45803</v>
      </c>
      <c r="F324" s="18">
        <f>IF(Master_Data!N324="","",Master_Data!N324 - WEEKDAY(Master_Data!N324,2) + 1)</f>
        <v>45810</v>
      </c>
      <c r="G324" s="19">
        <f>EOMONTH(Master_Data!H324,-1)+1</f>
        <v>45778</v>
      </c>
      <c r="H324" s="19">
        <f>IF(Master_Data!J324="","",EOMONTH(Master_Data!J324,-1)+1)</f>
        <v>45778</v>
      </c>
      <c r="I324" s="19">
        <f>IF(Master_Data!M324="","",EOMONTH(Master_Data!M324,-1)+1)</f>
        <v>45809</v>
      </c>
      <c r="J324" s="19">
        <f>IF(Master_Data!N324="","",EOMONTH(Master_Data!N324,-1)+1)</f>
        <v>45809</v>
      </c>
    </row>
    <row r="325" spans="1:10" ht="29">
      <c r="A325" s="2" t="s">
        <v>665</v>
      </c>
      <c r="B325" s="2" t="str">
        <f>Master_Data!B325</f>
        <v>Structural</v>
      </c>
      <c r="C325" s="18">
        <f>IF(Master_Data!H325="","",Master_Data!H325 - WEEKDAY(Master_Data!H325,2) + 1)</f>
        <v>45789</v>
      </c>
      <c r="D325" s="18">
        <f>IF(Master_Data!J325="","",Master_Data!J325 - WEEKDAY(Master_Data!J325,2) + 1)</f>
        <v>45796</v>
      </c>
      <c r="E325" s="18">
        <f>IF(Master_Data!M325="","",Master_Data!M325 - WEEKDAY(Master_Data!M325,2) + 1)</f>
        <v>45803</v>
      </c>
      <c r="F325" s="18">
        <f>IF(Master_Data!N325="","",Master_Data!N325 - WEEKDAY(Master_Data!N325,2) + 1)</f>
        <v>45810</v>
      </c>
      <c r="G325" s="19">
        <f>EOMONTH(Master_Data!H325,-1)+1</f>
        <v>45778</v>
      </c>
      <c r="H325" s="19">
        <f>IF(Master_Data!J325="","",EOMONTH(Master_Data!J325,-1)+1)</f>
        <v>45778</v>
      </c>
      <c r="I325" s="19">
        <f>IF(Master_Data!M325="","",EOMONTH(Master_Data!M325,-1)+1)</f>
        <v>45809</v>
      </c>
      <c r="J325" s="19">
        <f>IF(Master_Data!N325="","",EOMONTH(Master_Data!N325,-1)+1)</f>
        <v>45809</v>
      </c>
    </row>
    <row r="326" spans="1:10">
      <c r="A326" s="2" t="s">
        <v>667</v>
      </c>
      <c r="B326" s="2" t="str">
        <f>Master_Data!B326</f>
        <v>Structural</v>
      </c>
      <c r="C326" s="18">
        <f>IF(Master_Data!H326="","",Master_Data!H326 - WEEKDAY(Master_Data!H326,2) + 1)</f>
        <v>45803</v>
      </c>
      <c r="D326" s="18">
        <f>IF(Master_Data!J326="","",Master_Data!J326 - WEEKDAY(Master_Data!J326,2) + 1)</f>
        <v>45838</v>
      </c>
      <c r="E326" s="18">
        <f>IF(Master_Data!M326="","",Master_Data!M326 - WEEKDAY(Master_Data!M326,2) + 1)</f>
        <v>45817</v>
      </c>
      <c r="F326" s="18">
        <f>IF(Master_Data!N326="","",Master_Data!N326 - WEEKDAY(Master_Data!N326,2) + 1)</f>
        <v>45908</v>
      </c>
      <c r="G326" s="19">
        <f>EOMONTH(Master_Data!H326,-1)+1</f>
        <v>45778</v>
      </c>
      <c r="H326" s="19">
        <f>IF(Master_Data!J326="","",EOMONTH(Master_Data!J326,-1)+1)</f>
        <v>45839</v>
      </c>
      <c r="I326" s="19">
        <f>IF(Master_Data!M326="","",EOMONTH(Master_Data!M326,-1)+1)</f>
        <v>45809</v>
      </c>
      <c r="J326" s="19">
        <f>IF(Master_Data!N326="","",EOMONTH(Master_Data!N326,-1)+1)</f>
        <v>45901</v>
      </c>
    </row>
    <row r="327" spans="1:10" ht="29">
      <c r="A327" s="2" t="s">
        <v>669</v>
      </c>
      <c r="B327" s="2" t="str">
        <f>Master_Data!B327</f>
        <v>Structural</v>
      </c>
      <c r="C327" s="18">
        <f>IF(Master_Data!H327="","",Master_Data!H327 - WEEKDAY(Master_Data!H327,2) + 1)</f>
        <v>45803</v>
      </c>
      <c r="D327" s="18">
        <f>IF(Master_Data!J327="","",Master_Data!J327 - WEEKDAY(Master_Data!J327,2) + 1)</f>
        <v>45838</v>
      </c>
      <c r="E327" s="18">
        <f>IF(Master_Data!M327="","",Master_Data!M327 - WEEKDAY(Master_Data!M327,2) + 1)</f>
        <v>45817</v>
      </c>
      <c r="F327" s="18">
        <f>IF(Master_Data!N327="","",Master_Data!N327 - WEEKDAY(Master_Data!N327,2) + 1)</f>
        <v>45908</v>
      </c>
      <c r="G327" s="19">
        <f>EOMONTH(Master_Data!H327,-1)+1</f>
        <v>45778</v>
      </c>
      <c r="H327" s="19">
        <f>IF(Master_Data!J327="","",EOMONTH(Master_Data!J327,-1)+1)</f>
        <v>45839</v>
      </c>
      <c r="I327" s="19">
        <f>IF(Master_Data!M327="","",EOMONTH(Master_Data!M327,-1)+1)</f>
        <v>45809</v>
      </c>
      <c r="J327" s="19">
        <f>IF(Master_Data!N327="","",EOMONTH(Master_Data!N327,-1)+1)</f>
        <v>45901</v>
      </c>
    </row>
    <row r="328" spans="1:10">
      <c r="A328" s="2" t="s">
        <v>671</v>
      </c>
      <c r="B328" s="2" t="str">
        <f>Master_Data!B328</f>
        <v>Structural</v>
      </c>
      <c r="C328" s="18">
        <f>IF(Master_Data!H328="","",Master_Data!H328 - WEEKDAY(Master_Data!H328,2) + 1)</f>
        <v>45817</v>
      </c>
      <c r="D328" s="18">
        <f>IF(Master_Data!J328="","",Master_Data!J328 - WEEKDAY(Master_Data!J328,2) + 1)</f>
        <v>45845</v>
      </c>
      <c r="E328" s="18">
        <f>IF(Master_Data!M328="","",Master_Data!M328 - WEEKDAY(Master_Data!M328,2) + 1)</f>
        <v>45838</v>
      </c>
      <c r="F328" s="18">
        <f>IF(Master_Data!N328="","",Master_Data!N328 - WEEKDAY(Master_Data!N328,2) + 1)</f>
        <v>45908</v>
      </c>
      <c r="G328" s="19">
        <f>EOMONTH(Master_Data!H328,-1)+1</f>
        <v>45809</v>
      </c>
      <c r="H328" s="19">
        <f>IF(Master_Data!J328="","",EOMONTH(Master_Data!J328,-1)+1)</f>
        <v>45839</v>
      </c>
      <c r="I328" s="19">
        <f>IF(Master_Data!M328="","",EOMONTH(Master_Data!M328,-1)+1)</f>
        <v>45839</v>
      </c>
      <c r="J328" s="19">
        <f>IF(Master_Data!N328="","",EOMONTH(Master_Data!N328,-1)+1)</f>
        <v>45901</v>
      </c>
    </row>
    <row r="329" spans="1:10" ht="29">
      <c r="A329" s="2" t="s">
        <v>673</v>
      </c>
      <c r="B329" s="2" t="str">
        <f>Master_Data!B329</f>
        <v>Structural</v>
      </c>
      <c r="C329" s="18">
        <f>IF(Master_Data!H329="","",Master_Data!H329 - WEEKDAY(Master_Data!H329,2) + 1)</f>
        <v>45817</v>
      </c>
      <c r="D329" s="18">
        <f>IF(Master_Data!J329="","",Master_Data!J329 - WEEKDAY(Master_Data!J329,2) + 1)</f>
        <v>45845</v>
      </c>
      <c r="E329" s="18">
        <f>IF(Master_Data!M329="","",Master_Data!M329 - WEEKDAY(Master_Data!M329,2) + 1)</f>
        <v>45838</v>
      </c>
      <c r="F329" s="18">
        <f>IF(Master_Data!N329="","",Master_Data!N329 - WEEKDAY(Master_Data!N329,2) + 1)</f>
        <v>45908</v>
      </c>
      <c r="G329" s="19">
        <f>EOMONTH(Master_Data!H329,-1)+1</f>
        <v>45809</v>
      </c>
      <c r="H329" s="19">
        <f>IF(Master_Data!J329="","",EOMONTH(Master_Data!J329,-1)+1)</f>
        <v>45839</v>
      </c>
      <c r="I329" s="19">
        <f>IF(Master_Data!M329="","",EOMONTH(Master_Data!M329,-1)+1)</f>
        <v>45839</v>
      </c>
      <c r="J329" s="19">
        <f>IF(Master_Data!N329="","",EOMONTH(Master_Data!N329,-1)+1)</f>
        <v>45901</v>
      </c>
    </row>
    <row r="330" spans="1:10">
      <c r="A330" s="2" t="s">
        <v>675</v>
      </c>
      <c r="B330" s="2" t="str">
        <f>Master_Data!B330</f>
        <v>Structural</v>
      </c>
      <c r="C330" s="18">
        <f>IF(Master_Data!H330="","",Master_Data!H330 - WEEKDAY(Master_Data!H330,2) + 1)</f>
        <v>45831</v>
      </c>
      <c r="D330" s="18">
        <f>IF(Master_Data!J330="","",Master_Data!J330 - WEEKDAY(Master_Data!J330,2) + 1)</f>
        <v>45894</v>
      </c>
      <c r="E330" s="18">
        <f>IF(Master_Data!M330="","",Master_Data!M330 - WEEKDAY(Master_Data!M330,2) + 1)</f>
        <v>45852</v>
      </c>
      <c r="F330" s="18">
        <f>IF(Master_Data!N330="","",Master_Data!N330 - WEEKDAY(Master_Data!N330,2) + 1)</f>
        <v>45943</v>
      </c>
      <c r="G330" s="19">
        <f>EOMONTH(Master_Data!H330,-1)+1</f>
        <v>45809</v>
      </c>
      <c r="H330" s="19">
        <f>IF(Master_Data!J330="","",EOMONTH(Master_Data!J330,-1)+1)</f>
        <v>45870</v>
      </c>
      <c r="I330" s="19">
        <f>IF(Master_Data!M330="","",EOMONTH(Master_Data!M330,-1)+1)</f>
        <v>45839</v>
      </c>
      <c r="J330" s="19">
        <f>IF(Master_Data!N330="","",EOMONTH(Master_Data!N330,-1)+1)</f>
        <v>45931</v>
      </c>
    </row>
    <row r="331" spans="1:10" ht="29">
      <c r="A331" s="2" t="s">
        <v>677</v>
      </c>
      <c r="B331" s="2" t="str">
        <f>Master_Data!B331</f>
        <v>Structural</v>
      </c>
      <c r="C331" s="18">
        <f>IF(Master_Data!H331="","",Master_Data!H331 - WEEKDAY(Master_Data!H331,2) + 1)</f>
        <v>45831</v>
      </c>
      <c r="D331" s="18">
        <f>IF(Master_Data!J331="","",Master_Data!J331 - WEEKDAY(Master_Data!J331,2) + 1)</f>
        <v>45894</v>
      </c>
      <c r="E331" s="18">
        <f>IF(Master_Data!M331="","",Master_Data!M331 - WEEKDAY(Master_Data!M331,2) + 1)</f>
        <v>45852</v>
      </c>
      <c r="F331" s="18">
        <f>IF(Master_Data!N331="","",Master_Data!N331 - WEEKDAY(Master_Data!N331,2) + 1)</f>
        <v>45943</v>
      </c>
      <c r="G331" s="19">
        <f>EOMONTH(Master_Data!H331,-1)+1</f>
        <v>45809</v>
      </c>
      <c r="H331" s="19">
        <f>IF(Master_Data!J331="","",EOMONTH(Master_Data!J331,-1)+1)</f>
        <v>45870</v>
      </c>
      <c r="I331" s="19">
        <f>IF(Master_Data!M331="","",EOMONTH(Master_Data!M331,-1)+1)</f>
        <v>45839</v>
      </c>
      <c r="J331" s="19">
        <f>IF(Master_Data!N331="","",EOMONTH(Master_Data!N331,-1)+1)</f>
        <v>45931</v>
      </c>
    </row>
    <row r="332" spans="1:10">
      <c r="A332" s="2" t="s">
        <v>679</v>
      </c>
      <c r="B332" s="2" t="str">
        <f>Master_Data!B332</f>
        <v>Structural</v>
      </c>
      <c r="C332" s="18">
        <f>IF(Master_Data!H332="","",Master_Data!H332 - WEEKDAY(Master_Data!H332,2) + 1)</f>
        <v>45831</v>
      </c>
      <c r="D332" s="18">
        <f>IF(Master_Data!J332="","",Master_Data!J332 - WEEKDAY(Master_Data!J332,2) + 1)</f>
        <v>45894</v>
      </c>
      <c r="E332" s="18">
        <f>IF(Master_Data!M332="","",Master_Data!M332 - WEEKDAY(Master_Data!M332,2) + 1)</f>
        <v>45852</v>
      </c>
      <c r="F332" s="18">
        <f>IF(Master_Data!N332="","",Master_Data!N332 - WEEKDAY(Master_Data!N332,2) + 1)</f>
        <v>45957</v>
      </c>
      <c r="G332" s="19">
        <f>EOMONTH(Master_Data!H332,-1)+1</f>
        <v>45809</v>
      </c>
      <c r="H332" s="19">
        <f>IF(Master_Data!J332="","",EOMONTH(Master_Data!J332,-1)+1)</f>
        <v>45870</v>
      </c>
      <c r="I332" s="19">
        <f>IF(Master_Data!M332="","",EOMONTH(Master_Data!M332,-1)+1)</f>
        <v>45839</v>
      </c>
      <c r="J332" s="19">
        <f>IF(Master_Data!N332="","",EOMONTH(Master_Data!N332,-1)+1)</f>
        <v>45931</v>
      </c>
    </row>
    <row r="333" spans="1:10" ht="29">
      <c r="A333" s="2" t="s">
        <v>681</v>
      </c>
      <c r="B333" s="2" t="str">
        <f>Master_Data!B333</f>
        <v>Structural</v>
      </c>
      <c r="C333" s="18">
        <f>IF(Master_Data!H333="","",Master_Data!H333 - WEEKDAY(Master_Data!H333,2) + 1)</f>
        <v>45831</v>
      </c>
      <c r="D333" s="18">
        <f>IF(Master_Data!J333="","",Master_Data!J333 - WEEKDAY(Master_Data!J333,2) + 1)</f>
        <v>45894</v>
      </c>
      <c r="E333" s="18">
        <f>IF(Master_Data!M333="","",Master_Data!M333 - WEEKDAY(Master_Data!M333,2) + 1)</f>
        <v>45852</v>
      </c>
      <c r="F333" s="18">
        <f>IF(Master_Data!N333="","",Master_Data!N333 - WEEKDAY(Master_Data!N333,2) + 1)</f>
        <v>45957</v>
      </c>
      <c r="G333" s="19">
        <f>EOMONTH(Master_Data!H333,-1)+1</f>
        <v>45809</v>
      </c>
      <c r="H333" s="19">
        <f>IF(Master_Data!J333="","",EOMONTH(Master_Data!J333,-1)+1)</f>
        <v>45870</v>
      </c>
      <c r="I333" s="19">
        <f>IF(Master_Data!M333="","",EOMONTH(Master_Data!M333,-1)+1)</f>
        <v>45839</v>
      </c>
      <c r="J333" s="19">
        <f>IF(Master_Data!N333="","",EOMONTH(Master_Data!N333,-1)+1)</f>
        <v>45931</v>
      </c>
    </row>
    <row r="334" spans="1:10">
      <c r="A334" s="2" t="s">
        <v>683</v>
      </c>
      <c r="B334" s="2" t="str">
        <f>Master_Data!B334</f>
        <v>Structural</v>
      </c>
      <c r="C334" s="18">
        <f>IF(Master_Data!H334="","",Master_Data!H334 - WEEKDAY(Master_Data!H334,2) + 1)</f>
        <v>45845</v>
      </c>
      <c r="D334" s="18">
        <f>IF(Master_Data!J334="","",Master_Data!J334 - WEEKDAY(Master_Data!J334,2) + 1)</f>
        <v>45824</v>
      </c>
      <c r="E334" s="18">
        <f>IF(Master_Data!M334="","",Master_Data!M334 - WEEKDAY(Master_Data!M334,2) + 1)</f>
        <v>45866</v>
      </c>
      <c r="F334" s="18">
        <f>IF(Master_Data!N334="","",Master_Data!N334 - WEEKDAY(Master_Data!N334,2) + 1)</f>
        <v>45845</v>
      </c>
      <c r="G334" s="19">
        <f>EOMONTH(Master_Data!H334,-1)+1</f>
        <v>45839</v>
      </c>
      <c r="H334" s="19">
        <f>IF(Master_Data!J334="","",EOMONTH(Master_Data!J334,-1)+1)</f>
        <v>45809</v>
      </c>
      <c r="I334" s="19">
        <f>IF(Master_Data!M334="","",EOMONTH(Master_Data!M334,-1)+1)</f>
        <v>45870</v>
      </c>
      <c r="J334" s="19">
        <f>IF(Master_Data!N334="","",EOMONTH(Master_Data!N334,-1)+1)</f>
        <v>45839</v>
      </c>
    </row>
    <row r="335" spans="1:10" ht="29">
      <c r="A335" s="2" t="s">
        <v>685</v>
      </c>
      <c r="B335" s="2" t="str">
        <f>Master_Data!B335</f>
        <v>Structural</v>
      </c>
      <c r="C335" s="18">
        <f>IF(Master_Data!H335="","",Master_Data!H335 - WEEKDAY(Master_Data!H335,2) + 1)</f>
        <v>45845</v>
      </c>
      <c r="D335" s="18">
        <f>IF(Master_Data!J335="","",Master_Data!J335 - WEEKDAY(Master_Data!J335,2) + 1)</f>
        <v>45824</v>
      </c>
      <c r="E335" s="18">
        <f>IF(Master_Data!M335="","",Master_Data!M335 - WEEKDAY(Master_Data!M335,2) + 1)</f>
        <v>45866</v>
      </c>
      <c r="F335" s="18">
        <f>IF(Master_Data!N335="","",Master_Data!N335 - WEEKDAY(Master_Data!N335,2) + 1)</f>
        <v>45845</v>
      </c>
      <c r="G335" s="19">
        <f>EOMONTH(Master_Data!H335,-1)+1</f>
        <v>45839</v>
      </c>
      <c r="H335" s="19">
        <f>IF(Master_Data!J335="","",EOMONTH(Master_Data!J335,-1)+1)</f>
        <v>45809</v>
      </c>
      <c r="I335" s="19">
        <f>IF(Master_Data!M335="","",EOMONTH(Master_Data!M335,-1)+1)</f>
        <v>45870</v>
      </c>
      <c r="J335" s="19">
        <f>IF(Master_Data!N335="","",EOMONTH(Master_Data!N335,-1)+1)</f>
        <v>45839</v>
      </c>
    </row>
    <row r="336" spans="1:10">
      <c r="A336" s="2" t="s">
        <v>687</v>
      </c>
      <c r="B336" s="2" t="str">
        <f>Master_Data!B336</f>
        <v>Structural</v>
      </c>
      <c r="C336" s="18">
        <f>IF(Master_Data!H336="","",Master_Data!H336 - WEEKDAY(Master_Data!H336,2) + 1)</f>
        <v>45845</v>
      </c>
      <c r="D336" s="18">
        <f>IF(Master_Data!J336="","",Master_Data!J336 - WEEKDAY(Master_Data!J336,2) + 1)</f>
        <v>45908</v>
      </c>
      <c r="E336" s="18">
        <f>IF(Master_Data!M336="","",Master_Data!M336 - WEEKDAY(Master_Data!M336,2) + 1)</f>
        <v>45866</v>
      </c>
      <c r="F336" s="18">
        <f>IF(Master_Data!N336="","",Master_Data!N336 - WEEKDAY(Master_Data!N336,2) + 1)</f>
        <v>45943</v>
      </c>
      <c r="G336" s="19">
        <f>EOMONTH(Master_Data!H336,-1)+1</f>
        <v>45839</v>
      </c>
      <c r="H336" s="19">
        <f>IF(Master_Data!J336="","",EOMONTH(Master_Data!J336,-1)+1)</f>
        <v>45901</v>
      </c>
      <c r="I336" s="19">
        <f>IF(Master_Data!M336="","",EOMONTH(Master_Data!M336,-1)+1)</f>
        <v>45870</v>
      </c>
      <c r="J336" s="19">
        <f>IF(Master_Data!N336="","",EOMONTH(Master_Data!N336,-1)+1)</f>
        <v>45931</v>
      </c>
    </row>
    <row r="337" spans="1:10" ht="29">
      <c r="A337" s="2" t="s">
        <v>689</v>
      </c>
      <c r="B337" s="2" t="str">
        <f>Master_Data!B337</f>
        <v>Structural</v>
      </c>
      <c r="C337" s="18">
        <f>IF(Master_Data!H337="","",Master_Data!H337 - WEEKDAY(Master_Data!H337,2) + 1)</f>
        <v>45845</v>
      </c>
      <c r="D337" s="18">
        <f>IF(Master_Data!J337="","",Master_Data!J337 - WEEKDAY(Master_Data!J337,2) + 1)</f>
        <v>45908</v>
      </c>
      <c r="E337" s="18">
        <f>IF(Master_Data!M337="","",Master_Data!M337 - WEEKDAY(Master_Data!M337,2) + 1)</f>
        <v>45866</v>
      </c>
      <c r="F337" s="18">
        <f>IF(Master_Data!N337="","",Master_Data!N337 - WEEKDAY(Master_Data!N337,2) + 1)</f>
        <v>45943</v>
      </c>
      <c r="G337" s="19">
        <f>EOMONTH(Master_Data!H337,-1)+1</f>
        <v>45839</v>
      </c>
      <c r="H337" s="19">
        <f>IF(Master_Data!J337="","",EOMONTH(Master_Data!J337,-1)+1)</f>
        <v>45901</v>
      </c>
      <c r="I337" s="19">
        <f>IF(Master_Data!M337="","",EOMONTH(Master_Data!M337,-1)+1)</f>
        <v>45870</v>
      </c>
      <c r="J337" s="19">
        <f>IF(Master_Data!N337="","",EOMONTH(Master_Data!N337,-1)+1)</f>
        <v>45931</v>
      </c>
    </row>
    <row r="338" spans="1:10">
      <c r="A338" s="2" t="s">
        <v>691</v>
      </c>
      <c r="B338" s="2" t="str">
        <f>Master_Data!B338</f>
        <v>Structural</v>
      </c>
      <c r="C338" s="18">
        <f>IF(Master_Data!H338="","",Master_Data!H338 - WEEKDAY(Master_Data!H338,2) + 1)</f>
        <v>45971</v>
      </c>
      <c r="D338" s="18">
        <f>IF(Master_Data!J338="","",Master_Data!J338 - WEEKDAY(Master_Data!J338,2) + 1)</f>
        <v>45971</v>
      </c>
      <c r="E338" s="18">
        <f>IF(Master_Data!M338="","",Master_Data!M338 - WEEKDAY(Master_Data!M338,2) + 1)</f>
        <v>45880</v>
      </c>
      <c r="F338" s="18">
        <f>IF(Master_Data!N338="","",Master_Data!N338 - WEEKDAY(Master_Data!N338,2) + 1)</f>
        <v>46069</v>
      </c>
      <c r="G338" s="19">
        <f>EOMONTH(Master_Data!H338,-1)+1</f>
        <v>45962</v>
      </c>
      <c r="H338" s="19">
        <f>IF(Master_Data!J338="","",EOMONTH(Master_Data!J338,-1)+1)</f>
        <v>45962</v>
      </c>
      <c r="I338" s="19">
        <f>IF(Master_Data!M338="","",EOMONTH(Master_Data!M338,-1)+1)</f>
        <v>45870</v>
      </c>
      <c r="J338" s="19">
        <f>IF(Master_Data!N338="","",EOMONTH(Master_Data!N338,-1)+1)</f>
        <v>46054</v>
      </c>
    </row>
    <row r="339" spans="1:10" ht="29">
      <c r="A339" s="2" t="s">
        <v>693</v>
      </c>
      <c r="B339" s="2" t="str">
        <f>Master_Data!B339</f>
        <v>Structural</v>
      </c>
      <c r="C339" s="18">
        <f>IF(Master_Data!H339="","",Master_Data!H339 - WEEKDAY(Master_Data!H339,2) + 1)</f>
        <v>45971</v>
      </c>
      <c r="D339" s="18">
        <f>IF(Master_Data!J339="","",Master_Data!J339 - WEEKDAY(Master_Data!J339,2) + 1)</f>
        <v>45978</v>
      </c>
      <c r="E339" s="18">
        <f>IF(Master_Data!M339="","",Master_Data!M339 - WEEKDAY(Master_Data!M339,2) + 1)</f>
        <v>45880</v>
      </c>
      <c r="F339" s="18">
        <f>IF(Master_Data!N339="","",Master_Data!N339 - WEEKDAY(Master_Data!N339,2) + 1)</f>
        <v>46069</v>
      </c>
      <c r="G339" s="19">
        <f>EOMONTH(Master_Data!H339,-1)+1</f>
        <v>45962</v>
      </c>
      <c r="H339" s="19">
        <f>IF(Master_Data!J339="","",EOMONTH(Master_Data!J339,-1)+1)</f>
        <v>45962</v>
      </c>
      <c r="I339" s="19">
        <f>IF(Master_Data!M339="","",EOMONTH(Master_Data!M339,-1)+1)</f>
        <v>45870</v>
      </c>
      <c r="J339" s="19">
        <f>IF(Master_Data!N339="","",EOMONTH(Master_Data!N339,-1)+1)</f>
        <v>46054</v>
      </c>
    </row>
    <row r="340" spans="1:10">
      <c r="A340" s="3" t="s">
        <v>697</v>
      </c>
      <c r="B340" s="2" t="str">
        <f>Master_Data!B340</f>
        <v>Architecture</v>
      </c>
      <c r="C340" s="18">
        <f>IF(Master_Data!H340="","",Master_Data!H340 - WEEKDAY(Master_Data!H340,2) + 1)</f>
        <v>45719</v>
      </c>
      <c r="D340" s="18">
        <f>IF(Master_Data!J340="","",Master_Data!J340 - WEEKDAY(Master_Data!J340,2) + 1)</f>
        <v>45719</v>
      </c>
      <c r="E340" s="18">
        <f>IF(Master_Data!M340="","",Master_Data!M340 - WEEKDAY(Master_Data!M340,2) + 1)</f>
        <v>45740</v>
      </c>
      <c r="F340" s="18">
        <f>IF(Master_Data!N340="","",Master_Data!N340 - WEEKDAY(Master_Data!N340,2) + 1)</f>
        <v>45740</v>
      </c>
      <c r="G340" s="19">
        <f>EOMONTH(Master_Data!H340,-1)+1</f>
        <v>45717</v>
      </c>
      <c r="H340" s="19">
        <f>IF(Master_Data!J340="","",EOMONTH(Master_Data!J340,-1)+1)</f>
        <v>45717</v>
      </c>
      <c r="I340" s="19">
        <f>IF(Master_Data!M340="","",EOMONTH(Master_Data!M340,-1)+1)</f>
        <v>45717</v>
      </c>
      <c r="J340" s="19">
        <f>IF(Master_Data!N340="","",EOMONTH(Master_Data!N340,-1)+1)</f>
        <v>45717</v>
      </c>
    </row>
    <row r="341" spans="1:10">
      <c r="A341" s="3" t="s">
        <v>700</v>
      </c>
      <c r="B341" s="2" t="str">
        <f>Master_Data!B341</f>
        <v>Architecture</v>
      </c>
      <c r="C341" s="18">
        <f>IF(Master_Data!H341="","",Master_Data!H341 - WEEKDAY(Master_Data!H341,2) + 1)</f>
        <v>45719</v>
      </c>
      <c r="D341" s="18">
        <f>IF(Master_Data!J341="","",Master_Data!J341 - WEEKDAY(Master_Data!J341,2) + 1)</f>
        <v>45719</v>
      </c>
      <c r="E341" s="18">
        <f>IF(Master_Data!M341="","",Master_Data!M341 - WEEKDAY(Master_Data!M341,2) + 1)</f>
        <v>45740</v>
      </c>
      <c r="F341" s="18">
        <f>IF(Master_Data!N341="","",Master_Data!N341 - WEEKDAY(Master_Data!N341,2) + 1)</f>
        <v>45740</v>
      </c>
      <c r="G341" s="19">
        <f>EOMONTH(Master_Data!H341,-1)+1</f>
        <v>45717</v>
      </c>
      <c r="H341" s="19">
        <f>IF(Master_Data!J341="","",EOMONTH(Master_Data!J341,-1)+1)</f>
        <v>45717</v>
      </c>
      <c r="I341" s="19">
        <f>IF(Master_Data!M341="","",EOMONTH(Master_Data!M341,-1)+1)</f>
        <v>45717</v>
      </c>
      <c r="J341" s="19">
        <f>IF(Master_Data!N341="","",EOMONTH(Master_Data!N341,-1)+1)</f>
        <v>45717</v>
      </c>
    </row>
    <row r="342" spans="1:10">
      <c r="A342" s="3" t="s">
        <v>702</v>
      </c>
      <c r="B342" s="2" t="str">
        <f>Master_Data!B342</f>
        <v>Architecture</v>
      </c>
      <c r="C342" s="18">
        <f>IF(Master_Data!H342="","",Master_Data!H342 - WEEKDAY(Master_Data!H342,2) + 1)</f>
        <v>45719</v>
      </c>
      <c r="D342" s="18">
        <f>IF(Master_Data!J342="","",Master_Data!J342 - WEEKDAY(Master_Data!J342,2) + 1)</f>
        <v>45719</v>
      </c>
      <c r="E342" s="18">
        <f>IF(Master_Data!M342="","",Master_Data!M342 - WEEKDAY(Master_Data!M342,2) + 1)</f>
        <v>45740</v>
      </c>
      <c r="F342" s="18">
        <f>IF(Master_Data!N342="","",Master_Data!N342 - WEEKDAY(Master_Data!N342,2) + 1)</f>
        <v>45740</v>
      </c>
      <c r="G342" s="19">
        <f>EOMONTH(Master_Data!H342,-1)+1</f>
        <v>45717</v>
      </c>
      <c r="H342" s="19">
        <f>IF(Master_Data!J342="","",EOMONTH(Master_Data!J342,-1)+1)</f>
        <v>45717</v>
      </c>
      <c r="I342" s="19">
        <f>IF(Master_Data!M342="","",EOMONTH(Master_Data!M342,-1)+1)</f>
        <v>45717</v>
      </c>
      <c r="J342" s="19">
        <f>IF(Master_Data!N342="","",EOMONTH(Master_Data!N342,-1)+1)</f>
        <v>45717</v>
      </c>
    </row>
    <row r="343" spans="1:10">
      <c r="A343" s="3" t="s">
        <v>704</v>
      </c>
      <c r="B343" s="2" t="str">
        <f>Master_Data!B343</f>
        <v>Architecture</v>
      </c>
      <c r="C343" s="18">
        <f>IF(Master_Data!H343="","",Master_Data!H343 - WEEKDAY(Master_Data!H343,2) + 1)</f>
        <v>45747</v>
      </c>
      <c r="D343" s="18">
        <f>IF(Master_Data!J343="","",Master_Data!J343 - WEEKDAY(Master_Data!J343,2) + 1)</f>
        <v>45747</v>
      </c>
      <c r="E343" s="18">
        <f>IF(Master_Data!M343="","",Master_Data!M343 - WEEKDAY(Master_Data!M343,2) + 1)</f>
        <v>45775</v>
      </c>
      <c r="F343" s="18">
        <f>IF(Master_Data!N343="","",Master_Data!N343 - WEEKDAY(Master_Data!N343,2) + 1)</f>
        <v>45908</v>
      </c>
      <c r="G343" s="19">
        <f>EOMONTH(Master_Data!H343,-1)+1</f>
        <v>45748</v>
      </c>
      <c r="H343" s="19">
        <f>IF(Master_Data!J343="","",EOMONTH(Master_Data!J343,-1)+1)</f>
        <v>45748</v>
      </c>
      <c r="I343" s="19">
        <f>IF(Master_Data!M343="","",EOMONTH(Master_Data!M343,-1)+1)</f>
        <v>45778</v>
      </c>
      <c r="J343" s="19">
        <f>IF(Master_Data!N343="","",EOMONTH(Master_Data!N343,-1)+1)</f>
        <v>45901</v>
      </c>
    </row>
    <row r="344" spans="1:10">
      <c r="A344" s="3" t="s">
        <v>706</v>
      </c>
      <c r="B344" s="2" t="str">
        <f>Master_Data!B344</f>
        <v>Architecture</v>
      </c>
      <c r="C344" s="18">
        <f>IF(Master_Data!H344="","",Master_Data!H344 - WEEKDAY(Master_Data!H344,2) + 1)</f>
        <v>45747</v>
      </c>
      <c r="D344" s="18">
        <f>IF(Master_Data!J344="","",Master_Data!J344 - WEEKDAY(Master_Data!J344,2) + 1)</f>
        <v>45747</v>
      </c>
      <c r="E344" s="18">
        <f>IF(Master_Data!M344="","",Master_Data!M344 - WEEKDAY(Master_Data!M344,2) + 1)</f>
        <v>45775</v>
      </c>
      <c r="F344" s="18">
        <f>IF(Master_Data!N344="","",Master_Data!N344 - WEEKDAY(Master_Data!N344,2) + 1)</f>
        <v>45908</v>
      </c>
      <c r="G344" s="19">
        <f>EOMONTH(Master_Data!H344,-1)+1</f>
        <v>45748</v>
      </c>
      <c r="H344" s="19">
        <f>IF(Master_Data!J344="","",EOMONTH(Master_Data!J344,-1)+1)</f>
        <v>45748</v>
      </c>
      <c r="I344" s="19">
        <f>IF(Master_Data!M344="","",EOMONTH(Master_Data!M344,-1)+1)</f>
        <v>45778</v>
      </c>
      <c r="J344" s="19">
        <f>IF(Master_Data!N344="","",EOMONTH(Master_Data!N344,-1)+1)</f>
        <v>45901</v>
      </c>
    </row>
    <row r="345" spans="1:10">
      <c r="A345" s="3" t="s">
        <v>707</v>
      </c>
      <c r="B345" s="2" t="str">
        <f>Master_Data!B345</f>
        <v>Architecture</v>
      </c>
      <c r="C345" s="18">
        <f>IF(Master_Data!H345="","",Master_Data!H345 - WEEKDAY(Master_Data!H345,2) + 1)</f>
        <v>45747</v>
      </c>
      <c r="D345" s="18">
        <f>IF(Master_Data!J345="","",Master_Data!J345 - WEEKDAY(Master_Data!J345,2) + 1)</f>
        <v>45754</v>
      </c>
      <c r="E345" s="18">
        <f>IF(Master_Data!M345="","",Master_Data!M345 - WEEKDAY(Master_Data!M345,2) + 1)</f>
        <v>45775</v>
      </c>
      <c r="F345" s="18">
        <f>IF(Master_Data!N345="","",Master_Data!N345 - WEEKDAY(Master_Data!N345,2) + 1)</f>
        <v>45908</v>
      </c>
      <c r="G345" s="19">
        <f>EOMONTH(Master_Data!H345,-1)+1</f>
        <v>45748</v>
      </c>
      <c r="H345" s="19">
        <f>IF(Master_Data!J345="","",EOMONTH(Master_Data!J345,-1)+1)</f>
        <v>45748</v>
      </c>
      <c r="I345" s="19">
        <f>IF(Master_Data!M345="","",EOMONTH(Master_Data!M345,-1)+1)</f>
        <v>45778</v>
      </c>
      <c r="J345" s="19">
        <f>IF(Master_Data!N345="","",EOMONTH(Master_Data!N345,-1)+1)</f>
        <v>45901</v>
      </c>
    </row>
    <row r="346" spans="1:10">
      <c r="A346" s="3" t="s">
        <v>709</v>
      </c>
      <c r="B346" s="2" t="str">
        <f>Master_Data!B346</f>
        <v>Architecture</v>
      </c>
      <c r="C346" s="18">
        <f>IF(Master_Data!H346="","",Master_Data!H346 - WEEKDAY(Master_Data!H346,2) + 1)</f>
        <v>45747</v>
      </c>
      <c r="D346" s="18">
        <f>IF(Master_Data!J346="","",Master_Data!J346 - WEEKDAY(Master_Data!J346,2) + 1)</f>
        <v>45754</v>
      </c>
      <c r="E346" s="18">
        <f>IF(Master_Data!M346="","",Master_Data!M346 - WEEKDAY(Master_Data!M346,2) + 1)</f>
        <v>45775</v>
      </c>
      <c r="F346" s="18">
        <f>IF(Master_Data!N346="","",Master_Data!N346 - WEEKDAY(Master_Data!N346,2) + 1)</f>
        <v>45908</v>
      </c>
      <c r="G346" s="19">
        <f>EOMONTH(Master_Data!H346,-1)+1</f>
        <v>45748</v>
      </c>
      <c r="H346" s="19">
        <f>IF(Master_Data!J346="","",EOMONTH(Master_Data!J346,-1)+1)</f>
        <v>45748</v>
      </c>
      <c r="I346" s="19">
        <f>IF(Master_Data!M346="","",EOMONTH(Master_Data!M346,-1)+1)</f>
        <v>45778</v>
      </c>
      <c r="J346" s="19">
        <f>IF(Master_Data!N346="","",EOMONTH(Master_Data!N346,-1)+1)</f>
        <v>45901</v>
      </c>
    </row>
    <row r="347" spans="1:10">
      <c r="A347" s="3" t="s">
        <v>711</v>
      </c>
      <c r="B347" s="2" t="str">
        <f>Master_Data!B347</f>
        <v>Architecture</v>
      </c>
      <c r="C347" s="18">
        <f>IF(Master_Data!H347="","",Master_Data!H347 - WEEKDAY(Master_Data!H347,2) + 1)</f>
        <v>45747</v>
      </c>
      <c r="D347" s="18">
        <f>IF(Master_Data!J347="","",Master_Data!J347 - WEEKDAY(Master_Data!J347,2) + 1)</f>
        <v>45754</v>
      </c>
      <c r="E347" s="18">
        <f>IF(Master_Data!M347="","",Master_Data!M347 - WEEKDAY(Master_Data!M347,2) + 1)</f>
        <v>45775</v>
      </c>
      <c r="F347" s="18">
        <f>IF(Master_Data!N347="","",Master_Data!N347 - WEEKDAY(Master_Data!N347,2) + 1)</f>
        <v>45908</v>
      </c>
      <c r="G347" s="19">
        <f>EOMONTH(Master_Data!H347,-1)+1</f>
        <v>45748</v>
      </c>
      <c r="H347" s="19">
        <f>IF(Master_Data!J347="","",EOMONTH(Master_Data!J347,-1)+1)</f>
        <v>45748</v>
      </c>
      <c r="I347" s="19">
        <f>IF(Master_Data!M347="","",EOMONTH(Master_Data!M347,-1)+1)</f>
        <v>45778</v>
      </c>
      <c r="J347" s="19">
        <f>IF(Master_Data!N347="","",EOMONTH(Master_Data!N347,-1)+1)</f>
        <v>45901</v>
      </c>
    </row>
    <row r="348" spans="1:10">
      <c r="A348" s="3" t="s">
        <v>713</v>
      </c>
      <c r="B348" s="2" t="str">
        <f>Master_Data!B348</f>
        <v>Architecture</v>
      </c>
      <c r="C348" s="18">
        <f>IF(Master_Data!H348="","",Master_Data!H348 - WEEKDAY(Master_Data!H348,2) + 1)</f>
        <v>45754</v>
      </c>
      <c r="D348" s="18">
        <f>IF(Master_Data!J348="","",Master_Data!J348 - WEEKDAY(Master_Data!J348,2) + 1)</f>
        <v>45754</v>
      </c>
      <c r="E348" s="18">
        <f>IF(Master_Data!M348="","",Master_Data!M348 - WEEKDAY(Master_Data!M348,2) + 1)</f>
        <v>45782</v>
      </c>
      <c r="F348" s="18">
        <f>IF(Master_Data!N348="","",Master_Data!N348 - WEEKDAY(Master_Data!N348,2) + 1)</f>
        <v>45775</v>
      </c>
      <c r="G348" s="19">
        <f>EOMONTH(Master_Data!H348,-1)+1</f>
        <v>45748</v>
      </c>
      <c r="H348" s="19">
        <f>IF(Master_Data!J348="","",EOMONTH(Master_Data!J348,-1)+1)</f>
        <v>45748</v>
      </c>
      <c r="I348" s="19">
        <f>IF(Master_Data!M348="","",EOMONTH(Master_Data!M348,-1)+1)</f>
        <v>45778</v>
      </c>
      <c r="J348" s="19">
        <f>IF(Master_Data!N348="","",EOMONTH(Master_Data!N348,-1)+1)</f>
        <v>45778</v>
      </c>
    </row>
    <row r="349" spans="1:10">
      <c r="A349" s="3" t="s">
        <v>715</v>
      </c>
      <c r="B349" s="2" t="str">
        <f>Master_Data!B349</f>
        <v>Architecture</v>
      </c>
      <c r="C349" s="18">
        <f>IF(Master_Data!H349="","",Master_Data!H349 - WEEKDAY(Master_Data!H349,2) + 1)</f>
        <v>45754</v>
      </c>
      <c r="D349" s="18">
        <f>IF(Master_Data!J349="","",Master_Data!J349 - WEEKDAY(Master_Data!J349,2) + 1)</f>
        <v>45754</v>
      </c>
      <c r="E349" s="18">
        <f>IF(Master_Data!M349="","",Master_Data!M349 - WEEKDAY(Master_Data!M349,2) + 1)</f>
        <v>45782</v>
      </c>
      <c r="F349" s="18">
        <f>IF(Master_Data!N349="","",Master_Data!N349 - WEEKDAY(Master_Data!N349,2) + 1)</f>
        <v>45775</v>
      </c>
      <c r="G349" s="19">
        <f>EOMONTH(Master_Data!H349,-1)+1</f>
        <v>45748</v>
      </c>
      <c r="H349" s="19">
        <f>IF(Master_Data!J349="","",EOMONTH(Master_Data!J349,-1)+1)</f>
        <v>45748</v>
      </c>
      <c r="I349" s="19">
        <f>IF(Master_Data!M349="","",EOMONTH(Master_Data!M349,-1)+1)</f>
        <v>45778</v>
      </c>
      <c r="J349" s="19">
        <f>IF(Master_Data!N349="","",EOMONTH(Master_Data!N349,-1)+1)</f>
        <v>45778</v>
      </c>
    </row>
    <row r="350" spans="1:10">
      <c r="A350" s="2" t="s">
        <v>717</v>
      </c>
      <c r="B350" s="2" t="str">
        <f>Master_Data!B350</f>
        <v>Architecture</v>
      </c>
      <c r="C350" s="18">
        <f>IF(Master_Data!H350="","",Master_Data!H350 - WEEKDAY(Master_Data!H350,2) + 1)</f>
        <v>45754</v>
      </c>
      <c r="D350" s="18">
        <f>IF(Master_Data!J350="","",Master_Data!J350 - WEEKDAY(Master_Data!J350,2) + 1)</f>
        <v>45761</v>
      </c>
      <c r="E350" s="18">
        <f>IF(Master_Data!M350="","",Master_Data!M350 - WEEKDAY(Master_Data!M350,2) + 1)</f>
        <v>45782</v>
      </c>
      <c r="F350" s="18">
        <f>IF(Master_Data!N350="","",Master_Data!N350 - WEEKDAY(Master_Data!N350,2) + 1)</f>
        <v>45908</v>
      </c>
      <c r="G350" s="19">
        <f>EOMONTH(Master_Data!H350,-1)+1</f>
        <v>45748</v>
      </c>
      <c r="H350" s="19">
        <f>IF(Master_Data!J350="","",EOMONTH(Master_Data!J350,-1)+1)</f>
        <v>45748</v>
      </c>
      <c r="I350" s="19">
        <f>IF(Master_Data!M350="","",EOMONTH(Master_Data!M350,-1)+1)</f>
        <v>45778</v>
      </c>
      <c r="J350" s="19">
        <f>IF(Master_Data!N350="","",EOMONTH(Master_Data!N350,-1)+1)</f>
        <v>45901</v>
      </c>
    </row>
    <row r="351" spans="1:10">
      <c r="A351" s="3" t="s">
        <v>720</v>
      </c>
      <c r="B351" s="2" t="str">
        <f>Master_Data!B351</f>
        <v>Architecture</v>
      </c>
      <c r="C351" s="18">
        <f>IF(Master_Data!H351="","",Master_Data!H351 - WEEKDAY(Master_Data!H351,2) + 1)</f>
        <v>45803</v>
      </c>
      <c r="D351" s="18">
        <f>IF(Master_Data!J351="","",Master_Data!J351 - WEEKDAY(Master_Data!J351,2) + 1)</f>
        <v>45845</v>
      </c>
      <c r="E351" s="18">
        <f>IF(Master_Data!M351="","",Master_Data!M351 - WEEKDAY(Master_Data!M351,2) + 1)</f>
        <v>45831</v>
      </c>
      <c r="F351" s="18">
        <f>IF(Master_Data!N351="","",Master_Data!N351 - WEEKDAY(Master_Data!N351,2) + 1)</f>
        <v>45852</v>
      </c>
      <c r="G351" s="19">
        <f>EOMONTH(Master_Data!H351,-1)+1</f>
        <v>45778</v>
      </c>
      <c r="H351" s="19">
        <f>IF(Master_Data!J351="","",EOMONTH(Master_Data!J351,-1)+1)</f>
        <v>45839</v>
      </c>
      <c r="I351" s="19">
        <f>IF(Master_Data!M351="","",EOMONTH(Master_Data!M351,-1)+1)</f>
        <v>45809</v>
      </c>
      <c r="J351" s="19">
        <f>IF(Master_Data!N351="","",EOMONTH(Master_Data!N351,-1)+1)</f>
        <v>45839</v>
      </c>
    </row>
    <row r="352" spans="1:10">
      <c r="A352" s="3" t="s">
        <v>722</v>
      </c>
      <c r="B352" s="2" t="str">
        <f>Master_Data!B352</f>
        <v>Architecture</v>
      </c>
      <c r="C352" s="18">
        <f>IF(Master_Data!H352="","",Master_Data!H352 - WEEKDAY(Master_Data!H352,2) + 1)</f>
        <v>45803</v>
      </c>
      <c r="D352" s="18">
        <f>IF(Master_Data!J352="","",Master_Data!J352 - WEEKDAY(Master_Data!J352,2) + 1)</f>
        <v>45845</v>
      </c>
      <c r="E352" s="18">
        <f>IF(Master_Data!M352="","",Master_Data!M352 - WEEKDAY(Master_Data!M352,2) + 1)</f>
        <v>45831</v>
      </c>
      <c r="F352" s="18">
        <f>IF(Master_Data!N352="","",Master_Data!N352 - WEEKDAY(Master_Data!N352,2) + 1)</f>
        <v>45852</v>
      </c>
      <c r="G352" s="19">
        <f>EOMONTH(Master_Data!H352,-1)+1</f>
        <v>45778</v>
      </c>
      <c r="H352" s="19">
        <f>IF(Master_Data!J352="","",EOMONTH(Master_Data!J352,-1)+1)</f>
        <v>45839</v>
      </c>
      <c r="I352" s="19">
        <f>IF(Master_Data!M352="","",EOMONTH(Master_Data!M352,-1)+1)</f>
        <v>45809</v>
      </c>
      <c r="J352" s="19">
        <f>IF(Master_Data!N352="","",EOMONTH(Master_Data!N352,-1)+1)</f>
        <v>45839</v>
      </c>
    </row>
    <row r="353" spans="1:10">
      <c r="A353" s="3" t="s">
        <v>723</v>
      </c>
      <c r="B353" s="2" t="str">
        <f>Master_Data!B353</f>
        <v>Architecture</v>
      </c>
      <c r="C353" s="18">
        <f>IF(Master_Data!H353="","",Master_Data!H353 - WEEKDAY(Master_Data!H353,2) + 1)</f>
        <v>45803</v>
      </c>
      <c r="D353" s="18">
        <f>IF(Master_Data!J353="","",Master_Data!J353 - WEEKDAY(Master_Data!J353,2) + 1)</f>
        <v>45845</v>
      </c>
      <c r="E353" s="18">
        <f>IF(Master_Data!M353="","",Master_Data!M353 - WEEKDAY(Master_Data!M353,2) + 1)</f>
        <v>45831</v>
      </c>
      <c r="F353" s="18">
        <f>IF(Master_Data!N353="","",Master_Data!N353 - WEEKDAY(Master_Data!N353,2) + 1)</f>
        <v>45852</v>
      </c>
      <c r="G353" s="19">
        <f>EOMONTH(Master_Data!H353,-1)+1</f>
        <v>45778</v>
      </c>
      <c r="H353" s="19">
        <f>IF(Master_Data!J353="","",EOMONTH(Master_Data!J353,-1)+1)</f>
        <v>45839</v>
      </c>
      <c r="I353" s="19">
        <f>IF(Master_Data!M353="","",EOMONTH(Master_Data!M353,-1)+1)</f>
        <v>45809</v>
      </c>
      <c r="J353" s="19">
        <f>IF(Master_Data!N353="","",EOMONTH(Master_Data!N353,-1)+1)</f>
        <v>45839</v>
      </c>
    </row>
    <row r="354" spans="1:10">
      <c r="A354" s="2" t="s">
        <v>725</v>
      </c>
      <c r="B354" s="2" t="str">
        <f>Master_Data!B354</f>
        <v>Architecture</v>
      </c>
      <c r="C354" s="18">
        <f>IF(Master_Data!H354="","",Master_Data!H354 - WEEKDAY(Master_Data!H354,2) + 1)</f>
        <v>45985</v>
      </c>
      <c r="D354" s="18">
        <f>IF(Master_Data!J354="","",Master_Data!J354 - WEEKDAY(Master_Data!J354,2) + 1)</f>
        <v>45978</v>
      </c>
      <c r="E354" s="18">
        <f>IF(Master_Data!M354="","",Master_Data!M354 - WEEKDAY(Master_Data!M354,2) + 1)</f>
        <v>46013</v>
      </c>
      <c r="F354" s="18">
        <f>IF(Master_Data!N354="","",Master_Data!N354 - WEEKDAY(Master_Data!N354,2) + 1)</f>
        <v>45992</v>
      </c>
      <c r="G354" s="19">
        <f>EOMONTH(Master_Data!H354,-1)+1</f>
        <v>45962</v>
      </c>
      <c r="H354" s="19">
        <f>IF(Master_Data!J354="","",EOMONTH(Master_Data!J354,-1)+1)</f>
        <v>45962</v>
      </c>
      <c r="I354" s="19">
        <f>IF(Master_Data!M354="","",EOMONTH(Master_Data!M354,-1)+1)</f>
        <v>45992</v>
      </c>
      <c r="J354" s="19">
        <f>IF(Master_Data!N354="","",EOMONTH(Master_Data!N354,-1)+1)</f>
        <v>45992</v>
      </c>
    </row>
    <row r="355" spans="1:10">
      <c r="A355" s="3" t="s">
        <v>727</v>
      </c>
      <c r="B355" s="2" t="str">
        <f>Master_Data!B355</f>
        <v>Architecture</v>
      </c>
      <c r="C355" s="18">
        <f>IF(Master_Data!H355="","",Master_Data!H355 - WEEKDAY(Master_Data!H355,2) + 1)</f>
        <v>45719</v>
      </c>
      <c r="D355" s="18">
        <f>IF(Master_Data!J355="","",Master_Data!J355 - WEEKDAY(Master_Data!J355,2) + 1)</f>
        <v>45719</v>
      </c>
      <c r="E355" s="18">
        <f>IF(Master_Data!M355="","",Master_Data!M355 - WEEKDAY(Master_Data!M355,2) + 1)</f>
        <v>45747</v>
      </c>
      <c r="F355" s="18">
        <f>IF(Master_Data!N355="","",Master_Data!N355 - WEEKDAY(Master_Data!N355,2) + 1)</f>
        <v>45740</v>
      </c>
      <c r="G355" s="19">
        <f>EOMONTH(Master_Data!H355,-1)+1</f>
        <v>45717</v>
      </c>
      <c r="H355" s="19">
        <f>IF(Master_Data!J355="","",EOMONTH(Master_Data!J355,-1)+1)</f>
        <v>45717</v>
      </c>
      <c r="I355" s="19">
        <f>IF(Master_Data!M355="","",EOMONTH(Master_Data!M355,-1)+1)</f>
        <v>45717</v>
      </c>
      <c r="J355" s="19">
        <f>IF(Master_Data!N355="","",EOMONTH(Master_Data!N355,-1)+1)</f>
        <v>45717</v>
      </c>
    </row>
    <row r="356" spans="1:10">
      <c r="A356" s="3" t="s">
        <v>729</v>
      </c>
      <c r="B356" s="2" t="str">
        <f>Master_Data!B356</f>
        <v>Architecture</v>
      </c>
      <c r="C356" s="18">
        <f>IF(Master_Data!H356="","",Master_Data!H356 - WEEKDAY(Master_Data!H356,2) + 1)</f>
        <v>45719</v>
      </c>
      <c r="D356" s="18">
        <f>IF(Master_Data!J356="","",Master_Data!J356 - WEEKDAY(Master_Data!J356,2) + 1)</f>
        <v>45719</v>
      </c>
      <c r="E356" s="18">
        <f>IF(Master_Data!M356="","",Master_Data!M356 - WEEKDAY(Master_Data!M356,2) + 1)</f>
        <v>45747</v>
      </c>
      <c r="F356" s="18">
        <f>IF(Master_Data!N356="","",Master_Data!N356 - WEEKDAY(Master_Data!N356,2) + 1)</f>
        <v>45740</v>
      </c>
      <c r="G356" s="19">
        <f>EOMONTH(Master_Data!H356,-1)+1</f>
        <v>45717</v>
      </c>
      <c r="H356" s="19">
        <f>IF(Master_Data!J356="","",EOMONTH(Master_Data!J356,-1)+1)</f>
        <v>45717</v>
      </c>
      <c r="I356" s="19">
        <f>IF(Master_Data!M356="","",EOMONTH(Master_Data!M356,-1)+1)</f>
        <v>45717</v>
      </c>
      <c r="J356" s="19">
        <f>IF(Master_Data!N356="","",EOMONTH(Master_Data!N356,-1)+1)</f>
        <v>45717</v>
      </c>
    </row>
    <row r="357" spans="1:10">
      <c r="A357" s="2" t="s">
        <v>731</v>
      </c>
      <c r="B357" s="2" t="str">
        <f>Master_Data!B357</f>
        <v>Architecture</v>
      </c>
      <c r="C357" s="18">
        <f>IF(Master_Data!H357="","",Master_Data!H357 - WEEKDAY(Master_Data!H357,2) + 1)</f>
        <v>45754</v>
      </c>
      <c r="D357" s="18">
        <f>IF(Master_Data!J357="","",Master_Data!J357 - WEEKDAY(Master_Data!J357,2) + 1)</f>
        <v>45761</v>
      </c>
      <c r="E357" s="18">
        <f>IF(Master_Data!M357="","",Master_Data!M357 - WEEKDAY(Master_Data!M357,2) + 1)</f>
        <v>45782</v>
      </c>
      <c r="F357" s="18">
        <f>IF(Master_Data!N357="","",Master_Data!N357 - WEEKDAY(Master_Data!N357,2) + 1)</f>
        <v>45908</v>
      </c>
      <c r="G357" s="19">
        <f>EOMONTH(Master_Data!H357,-1)+1</f>
        <v>45748</v>
      </c>
      <c r="H357" s="19">
        <f>IF(Master_Data!J357="","",EOMONTH(Master_Data!J357,-1)+1)</f>
        <v>45748</v>
      </c>
      <c r="I357" s="19">
        <f>IF(Master_Data!M357="","",EOMONTH(Master_Data!M357,-1)+1)</f>
        <v>45778</v>
      </c>
      <c r="J357" s="19">
        <f>IF(Master_Data!N357="","",EOMONTH(Master_Data!N357,-1)+1)</f>
        <v>45901</v>
      </c>
    </row>
    <row r="358" spans="1:10">
      <c r="A358" s="3" t="s">
        <v>733</v>
      </c>
      <c r="B358" s="2" t="str">
        <f>Master_Data!B358</f>
        <v>Architecture</v>
      </c>
      <c r="C358" s="18">
        <f>IF(Master_Data!H358="","",Master_Data!H358 - WEEKDAY(Master_Data!H358,2) + 1)</f>
        <v>45754</v>
      </c>
      <c r="D358" s="18">
        <f>IF(Master_Data!J358="","",Master_Data!J358 - WEEKDAY(Master_Data!J358,2) + 1)</f>
        <v>45747</v>
      </c>
      <c r="E358" s="18">
        <f>IF(Master_Data!M358="","",Master_Data!M358 - WEEKDAY(Master_Data!M358,2) + 1)</f>
        <v>45782</v>
      </c>
      <c r="F358" s="18">
        <f>IF(Master_Data!N358="","",Master_Data!N358 - WEEKDAY(Master_Data!N358,2) + 1)</f>
        <v>46006</v>
      </c>
      <c r="G358" s="19">
        <f>EOMONTH(Master_Data!H358,-1)+1</f>
        <v>45748</v>
      </c>
      <c r="H358" s="19">
        <f>IF(Master_Data!J358="","",EOMONTH(Master_Data!J358,-1)+1)</f>
        <v>45748</v>
      </c>
      <c r="I358" s="19">
        <f>IF(Master_Data!M358="","",EOMONTH(Master_Data!M358,-1)+1)</f>
        <v>45778</v>
      </c>
      <c r="J358" s="19">
        <f>IF(Master_Data!N358="","",EOMONTH(Master_Data!N358,-1)+1)</f>
        <v>45992</v>
      </c>
    </row>
    <row r="359" spans="1:10">
      <c r="A359" s="3" t="s">
        <v>735</v>
      </c>
      <c r="B359" s="2" t="str">
        <f>Master_Data!B359</f>
        <v>Architecture</v>
      </c>
      <c r="C359" s="18">
        <f>IF(Master_Data!H359="","",Master_Data!H359 - WEEKDAY(Master_Data!H359,2) + 1)</f>
        <v>45754</v>
      </c>
      <c r="D359" s="18">
        <f>IF(Master_Data!J359="","",Master_Data!J359 - WEEKDAY(Master_Data!J359,2) + 1)</f>
        <v>45747</v>
      </c>
      <c r="E359" s="18">
        <f>IF(Master_Data!M359="","",Master_Data!M359 - WEEKDAY(Master_Data!M359,2) + 1)</f>
        <v>45782</v>
      </c>
      <c r="F359" s="18">
        <f>IF(Master_Data!N359="","",Master_Data!N359 - WEEKDAY(Master_Data!N359,2) + 1)</f>
        <v>46006</v>
      </c>
      <c r="G359" s="19">
        <f>EOMONTH(Master_Data!H359,-1)+1</f>
        <v>45748</v>
      </c>
      <c r="H359" s="19">
        <f>IF(Master_Data!J359="","",EOMONTH(Master_Data!J359,-1)+1)</f>
        <v>45748</v>
      </c>
      <c r="I359" s="19">
        <f>IF(Master_Data!M359="","",EOMONTH(Master_Data!M359,-1)+1)</f>
        <v>45778</v>
      </c>
      <c r="J359" s="19">
        <f>IF(Master_Data!N359="","",EOMONTH(Master_Data!N359,-1)+1)</f>
        <v>45992</v>
      </c>
    </row>
    <row r="360" spans="1:10">
      <c r="A360" s="3" t="s">
        <v>737</v>
      </c>
      <c r="B360" s="2" t="str">
        <f>Master_Data!B360</f>
        <v>Architecture</v>
      </c>
      <c r="C360" s="18">
        <f>IF(Master_Data!H360="","",Master_Data!H360 - WEEKDAY(Master_Data!H360,2) + 1)</f>
        <v>45754</v>
      </c>
      <c r="D360" s="18">
        <f>IF(Master_Data!J360="","",Master_Data!J360 - WEEKDAY(Master_Data!J360,2) + 1)</f>
        <v>45754</v>
      </c>
      <c r="E360" s="18">
        <f>IF(Master_Data!M360="","",Master_Data!M360 - WEEKDAY(Master_Data!M360,2) + 1)</f>
        <v>45782</v>
      </c>
      <c r="F360" s="18">
        <f>IF(Master_Data!N360="","",Master_Data!N360 - WEEKDAY(Master_Data!N360,2) + 1)</f>
        <v>46006</v>
      </c>
      <c r="G360" s="19">
        <f>EOMONTH(Master_Data!H360,-1)+1</f>
        <v>45748</v>
      </c>
      <c r="H360" s="19">
        <f>IF(Master_Data!J360="","",EOMONTH(Master_Data!J360,-1)+1)</f>
        <v>45748</v>
      </c>
      <c r="I360" s="19">
        <f>IF(Master_Data!M360="","",EOMONTH(Master_Data!M360,-1)+1)</f>
        <v>45778</v>
      </c>
      <c r="J360" s="19">
        <f>IF(Master_Data!N360="","",EOMONTH(Master_Data!N360,-1)+1)</f>
        <v>45992</v>
      </c>
    </row>
    <row r="361" spans="1:10">
      <c r="A361" s="2" t="s">
        <v>739</v>
      </c>
      <c r="B361" s="2" t="str">
        <f>Master_Data!B361</f>
        <v>Architecture</v>
      </c>
      <c r="C361" s="18">
        <f>IF(Master_Data!H361="","",Master_Data!H361 - WEEKDAY(Master_Data!H361,2) + 1)</f>
        <v>45761</v>
      </c>
      <c r="D361" s="18">
        <f>IF(Master_Data!J361="","",Master_Data!J361 - WEEKDAY(Master_Data!J361,2) + 1)</f>
        <v>45761</v>
      </c>
      <c r="E361" s="18">
        <f>IF(Master_Data!M361="","",Master_Data!M361 - WEEKDAY(Master_Data!M361,2) + 1)</f>
        <v>45789</v>
      </c>
      <c r="F361" s="18">
        <f>IF(Master_Data!N361="","",Master_Data!N361 - WEEKDAY(Master_Data!N361,2) + 1)</f>
        <v>45908</v>
      </c>
      <c r="G361" s="19">
        <f>EOMONTH(Master_Data!H361,-1)+1</f>
        <v>45748</v>
      </c>
      <c r="H361" s="19">
        <f>IF(Master_Data!J361="","",EOMONTH(Master_Data!J361,-1)+1)</f>
        <v>45748</v>
      </c>
      <c r="I361" s="19">
        <f>IF(Master_Data!M361="","",EOMONTH(Master_Data!M361,-1)+1)</f>
        <v>45778</v>
      </c>
      <c r="J361" s="19">
        <f>IF(Master_Data!N361="","",EOMONTH(Master_Data!N361,-1)+1)</f>
        <v>45901</v>
      </c>
    </row>
    <row r="362" spans="1:10">
      <c r="A362" s="2" t="s">
        <v>740</v>
      </c>
      <c r="B362" s="2" t="str">
        <f>Master_Data!B362</f>
        <v>Architecture</v>
      </c>
      <c r="C362" s="18">
        <f>IF(Master_Data!H362="","",Master_Data!H362 - WEEKDAY(Master_Data!H362,2) + 1)</f>
        <v>45761</v>
      </c>
      <c r="D362" s="18">
        <f>IF(Master_Data!J362="","",Master_Data!J362 - WEEKDAY(Master_Data!J362,2) + 1)</f>
        <v>45761</v>
      </c>
      <c r="E362" s="18">
        <f>IF(Master_Data!M362="","",Master_Data!M362 - WEEKDAY(Master_Data!M362,2) + 1)</f>
        <v>45789</v>
      </c>
      <c r="F362" s="18">
        <f>IF(Master_Data!N362="","",Master_Data!N362 - WEEKDAY(Master_Data!N362,2) + 1)</f>
        <v>45908</v>
      </c>
      <c r="G362" s="19">
        <f>EOMONTH(Master_Data!H362,-1)+1</f>
        <v>45748</v>
      </c>
      <c r="H362" s="19">
        <f>IF(Master_Data!J362="","",EOMONTH(Master_Data!J362,-1)+1)</f>
        <v>45748</v>
      </c>
      <c r="I362" s="19">
        <f>IF(Master_Data!M362="","",EOMONTH(Master_Data!M362,-1)+1)</f>
        <v>45778</v>
      </c>
      <c r="J362" s="19">
        <f>IF(Master_Data!N362="","",EOMONTH(Master_Data!N362,-1)+1)</f>
        <v>45901</v>
      </c>
    </row>
    <row r="363" spans="1:10">
      <c r="A363" s="3" t="s">
        <v>742</v>
      </c>
      <c r="B363" s="2" t="str">
        <f>Master_Data!B363</f>
        <v>Architecture</v>
      </c>
      <c r="C363" s="18">
        <f>IF(Master_Data!H363="","",Master_Data!H363 - WEEKDAY(Master_Data!H363,2) + 1)</f>
        <v>46013</v>
      </c>
      <c r="D363" s="18">
        <f>IF(Master_Data!J363="","",Master_Data!J363 - WEEKDAY(Master_Data!J363,2) + 1)</f>
        <v>46006</v>
      </c>
      <c r="E363" s="18">
        <f>IF(Master_Data!M363="","",Master_Data!M363 - WEEKDAY(Master_Data!M363,2) + 1)</f>
        <v>46041</v>
      </c>
      <c r="F363" s="18">
        <f>IF(Master_Data!N363="","",Master_Data!N363 - WEEKDAY(Master_Data!N363,2) + 1)</f>
        <v>46006</v>
      </c>
      <c r="G363" s="19">
        <f>EOMONTH(Master_Data!H363,-1)+1</f>
        <v>45992</v>
      </c>
      <c r="H363" s="19">
        <f>IF(Master_Data!J363="","",EOMONTH(Master_Data!J363,-1)+1)</f>
        <v>45992</v>
      </c>
      <c r="I363" s="19">
        <f>IF(Master_Data!M363="","",EOMONTH(Master_Data!M363,-1)+1)</f>
        <v>46023</v>
      </c>
      <c r="J363" s="19">
        <f>IF(Master_Data!N363="","",EOMONTH(Master_Data!N363,-1)+1)</f>
        <v>45992</v>
      </c>
    </row>
    <row r="364" spans="1:10">
      <c r="A364" s="2" t="s">
        <v>744</v>
      </c>
      <c r="B364" s="2" t="str">
        <f>Master_Data!B364</f>
        <v>Architecture</v>
      </c>
      <c r="C364" s="18">
        <f>IF(Master_Data!H364="","",Master_Data!H364 - WEEKDAY(Master_Data!H364,2) + 1)</f>
        <v>46013</v>
      </c>
      <c r="D364" s="18">
        <f>IF(Master_Data!J364="","",Master_Data!J364 - WEEKDAY(Master_Data!J364,2) + 1)</f>
        <v>46006</v>
      </c>
      <c r="E364" s="18">
        <f>IF(Master_Data!M364="","",Master_Data!M364 - WEEKDAY(Master_Data!M364,2) + 1)</f>
        <v>46041</v>
      </c>
      <c r="F364" s="18">
        <f>IF(Master_Data!N364="","",Master_Data!N364 - WEEKDAY(Master_Data!N364,2) + 1)</f>
        <v>46027</v>
      </c>
      <c r="G364" s="19">
        <f>EOMONTH(Master_Data!H364,-1)+1</f>
        <v>45992</v>
      </c>
      <c r="H364" s="19">
        <f>IF(Master_Data!J364="","",EOMONTH(Master_Data!J364,-1)+1)</f>
        <v>45992</v>
      </c>
      <c r="I364" s="19">
        <f>IF(Master_Data!M364="","",EOMONTH(Master_Data!M364,-1)+1)</f>
        <v>46023</v>
      </c>
      <c r="J364" s="19">
        <f>IF(Master_Data!N364="","",EOMONTH(Master_Data!N364,-1)+1)</f>
        <v>46023</v>
      </c>
    </row>
    <row r="365" spans="1:10">
      <c r="A365" s="2" t="s">
        <v>746</v>
      </c>
      <c r="B365" s="2" t="str">
        <f>Master_Data!B365</f>
        <v>Architecture</v>
      </c>
      <c r="C365" s="18">
        <f>IF(Master_Data!H365="","",Master_Data!H365 - WEEKDAY(Master_Data!H365,2) + 1)</f>
        <v>46013</v>
      </c>
      <c r="D365" s="18">
        <f>IF(Master_Data!J365="","",Master_Data!J365 - WEEKDAY(Master_Data!J365,2) + 1)</f>
        <v>46118</v>
      </c>
      <c r="E365" s="18">
        <f>IF(Master_Data!M365="","",Master_Data!M365 - WEEKDAY(Master_Data!M365,2) + 1)</f>
        <v>46041</v>
      </c>
      <c r="F365" s="18">
        <f>IF(Master_Data!N365="","",Master_Data!N365 - WEEKDAY(Master_Data!N365,2) + 1)</f>
        <v>46153</v>
      </c>
      <c r="G365" s="19">
        <f>EOMONTH(Master_Data!H365,-1)+1</f>
        <v>45992</v>
      </c>
      <c r="H365" s="19">
        <f>IF(Master_Data!J365="","",EOMONTH(Master_Data!J365,-1)+1)</f>
        <v>46113</v>
      </c>
      <c r="I365" s="19">
        <f>IF(Master_Data!M365="","",EOMONTH(Master_Data!M365,-1)+1)</f>
        <v>46023</v>
      </c>
      <c r="J365" s="19">
        <f>IF(Master_Data!N365="","",EOMONTH(Master_Data!N365,-1)+1)</f>
        <v>46143</v>
      </c>
    </row>
    <row r="366" spans="1:10">
      <c r="A366" s="2" t="s">
        <v>748</v>
      </c>
      <c r="B366" s="2" t="str">
        <f>Master_Data!B366</f>
        <v>Architecture</v>
      </c>
      <c r="C366" s="18">
        <f>IF(Master_Data!H366="","",Master_Data!H366 - WEEKDAY(Master_Data!H366,2) + 1)</f>
        <v>46013</v>
      </c>
      <c r="D366" s="18">
        <f>IF(Master_Data!J366="","",Master_Data!J366 - WEEKDAY(Master_Data!J366,2) + 1)</f>
        <v>45999</v>
      </c>
      <c r="E366" s="18">
        <f>IF(Master_Data!M366="","",Master_Data!M366 - WEEKDAY(Master_Data!M366,2) + 1)</f>
        <v>46041</v>
      </c>
      <c r="F366" s="18">
        <f>IF(Master_Data!N366="","",Master_Data!N366 - WEEKDAY(Master_Data!N366,2) + 1)</f>
        <v>45999</v>
      </c>
      <c r="G366" s="19">
        <f>EOMONTH(Master_Data!H366,-1)+1</f>
        <v>45992</v>
      </c>
      <c r="H366" s="19">
        <f>IF(Master_Data!J366="","",EOMONTH(Master_Data!J366,-1)+1)</f>
        <v>45992</v>
      </c>
      <c r="I366" s="19">
        <f>IF(Master_Data!M366="","",EOMONTH(Master_Data!M366,-1)+1)</f>
        <v>46023</v>
      </c>
      <c r="J366" s="19">
        <f>IF(Master_Data!N366="","",EOMONTH(Master_Data!N366,-1)+1)</f>
        <v>45992</v>
      </c>
    </row>
    <row r="367" spans="1:10">
      <c r="A367" s="2" t="s">
        <v>750</v>
      </c>
      <c r="B367" s="2" t="str">
        <f>Master_Data!B367</f>
        <v>Architecture</v>
      </c>
      <c r="C367" s="18">
        <f>IF(Master_Data!H367="","",Master_Data!H367 - WEEKDAY(Master_Data!H367,2) + 1)</f>
        <v>46013</v>
      </c>
      <c r="D367" s="18">
        <f>IF(Master_Data!J367="","",Master_Data!J367 - WEEKDAY(Master_Data!J367,2) + 1)</f>
        <v>45992</v>
      </c>
      <c r="E367" s="18">
        <f>IF(Master_Data!M367="","",Master_Data!M367 - WEEKDAY(Master_Data!M367,2) + 1)</f>
        <v>46041</v>
      </c>
      <c r="F367" s="18">
        <f>IF(Master_Data!N367="","",Master_Data!N367 - WEEKDAY(Master_Data!N367,2) + 1)</f>
        <v>45999</v>
      </c>
      <c r="G367" s="19">
        <f>EOMONTH(Master_Data!H367,-1)+1</f>
        <v>45992</v>
      </c>
      <c r="H367" s="19">
        <f>IF(Master_Data!J367="","",EOMONTH(Master_Data!J367,-1)+1)</f>
        <v>45992</v>
      </c>
      <c r="I367" s="19">
        <f>IF(Master_Data!M367="","",EOMONTH(Master_Data!M367,-1)+1)</f>
        <v>46023</v>
      </c>
      <c r="J367" s="19">
        <f>IF(Master_Data!N367="","",EOMONTH(Master_Data!N367,-1)+1)</f>
        <v>45992</v>
      </c>
    </row>
    <row r="368" spans="1:10">
      <c r="A368" s="2" t="s">
        <v>752</v>
      </c>
      <c r="B368" s="2" t="str">
        <f>Master_Data!B368</f>
        <v>Architecture</v>
      </c>
      <c r="C368" s="18">
        <f>IF(Master_Data!H368="","",Master_Data!H368 - WEEKDAY(Master_Data!H368,2) + 1)</f>
        <v>46013</v>
      </c>
      <c r="D368" s="18">
        <f>IF(Master_Data!J368="","",Master_Data!J368 - WEEKDAY(Master_Data!J368,2) + 1)</f>
        <v>45992</v>
      </c>
      <c r="E368" s="18">
        <f>IF(Master_Data!M368="","",Master_Data!M368 - WEEKDAY(Master_Data!M368,2) + 1)</f>
        <v>46041</v>
      </c>
      <c r="F368" s="18">
        <f>IF(Master_Data!N368="","",Master_Data!N368 - WEEKDAY(Master_Data!N368,2) + 1)</f>
        <v>45999</v>
      </c>
      <c r="G368" s="19">
        <f>EOMONTH(Master_Data!H368,-1)+1</f>
        <v>45992</v>
      </c>
      <c r="H368" s="19">
        <f>IF(Master_Data!J368="","",EOMONTH(Master_Data!J368,-1)+1)</f>
        <v>45992</v>
      </c>
      <c r="I368" s="19">
        <f>IF(Master_Data!M368="","",EOMONTH(Master_Data!M368,-1)+1)</f>
        <v>46023</v>
      </c>
      <c r="J368" s="19">
        <f>IF(Master_Data!N368="","",EOMONTH(Master_Data!N368,-1)+1)</f>
        <v>45992</v>
      </c>
    </row>
    <row r="369" spans="1:10">
      <c r="A369" s="3" t="s">
        <v>754</v>
      </c>
      <c r="B369" s="2" t="str">
        <f>Master_Data!B369</f>
        <v>Architecture</v>
      </c>
      <c r="C369" s="18">
        <f>IF(Master_Data!H369="","",Master_Data!H369 - WEEKDAY(Master_Data!H369,2) + 1)</f>
        <v>45957</v>
      </c>
      <c r="D369" s="18">
        <f>IF(Master_Data!J369="","",Master_Data!J369 - WEEKDAY(Master_Data!J369,2) + 1)</f>
        <v>45950</v>
      </c>
      <c r="E369" s="18">
        <f>IF(Master_Data!M369="","",Master_Data!M369 - WEEKDAY(Master_Data!M369,2) + 1)</f>
        <v>45971</v>
      </c>
      <c r="F369" s="18">
        <f>IF(Master_Data!N369="","",Master_Data!N369 - WEEKDAY(Master_Data!N369,2) + 1)</f>
        <v>45957</v>
      </c>
      <c r="G369" s="19">
        <f>EOMONTH(Master_Data!H369,-1)+1</f>
        <v>45931</v>
      </c>
      <c r="H369" s="19">
        <f>IF(Master_Data!J369="","",EOMONTH(Master_Data!J369,-1)+1)</f>
        <v>45931</v>
      </c>
      <c r="I369" s="19">
        <f>IF(Master_Data!M369="","",EOMONTH(Master_Data!M369,-1)+1)</f>
        <v>45962</v>
      </c>
      <c r="J369" s="19">
        <f>IF(Master_Data!N369="","",EOMONTH(Master_Data!N369,-1)+1)</f>
        <v>45931</v>
      </c>
    </row>
    <row r="370" spans="1:10">
      <c r="A370" s="3" t="s">
        <v>756</v>
      </c>
      <c r="B370" s="2" t="str">
        <f>Master_Data!B370</f>
        <v>Architecture</v>
      </c>
      <c r="C370" s="18">
        <f>IF(Master_Data!H370="","",Master_Data!H370 - WEEKDAY(Master_Data!H370,2) + 1)</f>
        <v>45957</v>
      </c>
      <c r="D370" s="18">
        <f>IF(Master_Data!J370="","",Master_Data!J370 - WEEKDAY(Master_Data!J370,2) + 1)</f>
        <v>45950</v>
      </c>
      <c r="E370" s="18">
        <f>IF(Master_Data!M370="","",Master_Data!M370 - WEEKDAY(Master_Data!M370,2) + 1)</f>
        <v>45971</v>
      </c>
      <c r="F370" s="18">
        <f>IF(Master_Data!N370="","",Master_Data!N370 - WEEKDAY(Master_Data!N370,2) + 1)</f>
        <v>45957</v>
      </c>
      <c r="G370" s="19">
        <f>EOMONTH(Master_Data!H370,-1)+1</f>
        <v>45931</v>
      </c>
      <c r="H370" s="19">
        <f>IF(Master_Data!J370="","",EOMONTH(Master_Data!J370,-1)+1)</f>
        <v>45931</v>
      </c>
      <c r="I370" s="19">
        <f>IF(Master_Data!M370="","",EOMONTH(Master_Data!M370,-1)+1)</f>
        <v>45962</v>
      </c>
      <c r="J370" s="19">
        <f>IF(Master_Data!N370="","",EOMONTH(Master_Data!N370,-1)+1)</f>
        <v>45931</v>
      </c>
    </row>
    <row r="371" spans="1:10">
      <c r="A371" s="3" t="s">
        <v>758</v>
      </c>
      <c r="B371" s="2" t="str">
        <f>Master_Data!B371</f>
        <v>Architecture</v>
      </c>
      <c r="C371" s="18">
        <f>IF(Master_Data!H371="","",Master_Data!H371 - WEEKDAY(Master_Data!H371,2) + 1)</f>
        <v>45971</v>
      </c>
      <c r="D371" s="18">
        <f>IF(Master_Data!J371="","",Master_Data!J371 - WEEKDAY(Master_Data!J371,2) + 1)</f>
        <v>45971</v>
      </c>
      <c r="E371" s="18">
        <f>IF(Master_Data!M371="","",Master_Data!M371 - WEEKDAY(Master_Data!M371,2) + 1)</f>
        <v>45999</v>
      </c>
      <c r="F371" s="18">
        <f>IF(Master_Data!N371="","",Master_Data!N371 - WEEKDAY(Master_Data!N371,2) + 1)</f>
        <v>45992</v>
      </c>
      <c r="G371" s="19">
        <f>EOMONTH(Master_Data!H371,-1)+1</f>
        <v>45962</v>
      </c>
      <c r="H371" s="19">
        <f>IF(Master_Data!J371="","",EOMONTH(Master_Data!J371,-1)+1)</f>
        <v>45962</v>
      </c>
      <c r="I371" s="19">
        <f>IF(Master_Data!M371="","",EOMONTH(Master_Data!M371,-1)+1)</f>
        <v>45992</v>
      </c>
      <c r="J371" s="19">
        <f>IF(Master_Data!N371="","",EOMONTH(Master_Data!N371,-1)+1)</f>
        <v>45992</v>
      </c>
    </row>
    <row r="372" spans="1:10">
      <c r="A372" s="3" t="s">
        <v>760</v>
      </c>
      <c r="B372" s="2" t="str">
        <f>Master_Data!B372</f>
        <v>Architecture</v>
      </c>
      <c r="C372" s="18">
        <f>IF(Master_Data!H372="","",Master_Data!H372 - WEEKDAY(Master_Data!H372,2) + 1)</f>
        <v>45971</v>
      </c>
      <c r="D372" s="18">
        <f>IF(Master_Data!J372="","",Master_Data!J372 - WEEKDAY(Master_Data!J372,2) + 1)</f>
        <v>45971</v>
      </c>
      <c r="E372" s="18">
        <f>IF(Master_Data!M372="","",Master_Data!M372 - WEEKDAY(Master_Data!M372,2) + 1)</f>
        <v>45999</v>
      </c>
      <c r="F372" s="18">
        <f>IF(Master_Data!N372="","",Master_Data!N372 - WEEKDAY(Master_Data!N372,2) + 1)</f>
        <v>45992</v>
      </c>
      <c r="G372" s="19">
        <f>EOMONTH(Master_Data!H372,-1)+1</f>
        <v>45962</v>
      </c>
      <c r="H372" s="19">
        <f>IF(Master_Data!J372="","",EOMONTH(Master_Data!J372,-1)+1)</f>
        <v>45962</v>
      </c>
      <c r="I372" s="19">
        <f>IF(Master_Data!M372="","",EOMONTH(Master_Data!M372,-1)+1)</f>
        <v>45992</v>
      </c>
      <c r="J372" s="19">
        <f>IF(Master_Data!N372="","",EOMONTH(Master_Data!N372,-1)+1)</f>
        <v>45992</v>
      </c>
    </row>
    <row r="373" spans="1:10">
      <c r="A373" s="3" t="s">
        <v>762</v>
      </c>
      <c r="B373" s="2" t="str">
        <f>Master_Data!B373</f>
        <v>Architecture</v>
      </c>
      <c r="C373" s="18">
        <f>IF(Master_Data!H373="","",Master_Data!H373 - WEEKDAY(Master_Data!H373,2) + 1)</f>
        <v>45971</v>
      </c>
      <c r="D373" s="18">
        <f>IF(Master_Data!J373="","",Master_Data!J373 - WEEKDAY(Master_Data!J373,2) + 1)</f>
        <v>45971</v>
      </c>
      <c r="E373" s="18">
        <f>IF(Master_Data!M373="","",Master_Data!M373 - WEEKDAY(Master_Data!M373,2) + 1)</f>
        <v>45999</v>
      </c>
      <c r="F373" s="18">
        <f>IF(Master_Data!N373="","",Master_Data!N373 - WEEKDAY(Master_Data!N373,2) + 1)</f>
        <v>45992</v>
      </c>
      <c r="G373" s="19">
        <f>EOMONTH(Master_Data!H373,-1)+1</f>
        <v>45962</v>
      </c>
      <c r="H373" s="19">
        <f>IF(Master_Data!J373="","",EOMONTH(Master_Data!J373,-1)+1)</f>
        <v>45962</v>
      </c>
      <c r="I373" s="19">
        <f>IF(Master_Data!M373="","",EOMONTH(Master_Data!M373,-1)+1)</f>
        <v>45992</v>
      </c>
      <c r="J373" s="19">
        <f>IF(Master_Data!N373="","",EOMONTH(Master_Data!N373,-1)+1)</f>
        <v>45992</v>
      </c>
    </row>
    <row r="374" spans="1:10">
      <c r="A374" s="2" t="s">
        <v>764</v>
      </c>
      <c r="B374" s="2" t="str">
        <f>Master_Data!B374</f>
        <v>Architecture</v>
      </c>
      <c r="C374" s="18">
        <f>IF(Master_Data!H374="","",Master_Data!H374 - WEEKDAY(Master_Data!H374,2) + 1)</f>
        <v>45964</v>
      </c>
      <c r="D374" s="18">
        <f>IF(Master_Data!J374="","",Master_Data!J374 - WEEKDAY(Master_Data!J374,2) + 1)</f>
        <v>45964</v>
      </c>
      <c r="E374" s="18">
        <f>IF(Master_Data!M374="","",Master_Data!M374 - WEEKDAY(Master_Data!M374,2) + 1)</f>
        <v>45971</v>
      </c>
      <c r="F374" s="18">
        <f>IF(Master_Data!N374="","",Master_Data!N374 - WEEKDAY(Master_Data!N374,2) + 1)</f>
        <v>45992</v>
      </c>
      <c r="G374" s="19">
        <f>EOMONTH(Master_Data!H374,-1)+1</f>
        <v>45962</v>
      </c>
      <c r="H374" s="19">
        <f>IF(Master_Data!J374="","",EOMONTH(Master_Data!J374,-1)+1)</f>
        <v>45962</v>
      </c>
      <c r="I374" s="19">
        <f>IF(Master_Data!M374="","",EOMONTH(Master_Data!M374,-1)+1)</f>
        <v>45962</v>
      </c>
      <c r="J374" s="19">
        <f>IF(Master_Data!N374="","",EOMONTH(Master_Data!N374,-1)+1)</f>
        <v>45992</v>
      </c>
    </row>
    <row r="375" spans="1:10">
      <c r="A375" s="2" t="s">
        <v>766</v>
      </c>
      <c r="B375" s="2" t="str">
        <f>Master_Data!B375</f>
        <v>Architecture</v>
      </c>
      <c r="C375" s="18">
        <f>IF(Master_Data!H375="","",Master_Data!H375 - WEEKDAY(Master_Data!H375,2) + 1)</f>
        <v>45796</v>
      </c>
      <c r="D375" s="18">
        <f>IF(Master_Data!J375="","",Master_Data!J375 - WEEKDAY(Master_Data!J375,2) + 1)</f>
        <v>45726</v>
      </c>
      <c r="E375" s="18">
        <f>IF(Master_Data!M375="","",Master_Data!M375 - WEEKDAY(Master_Data!M375,2) + 1)</f>
        <v>45824</v>
      </c>
      <c r="F375" s="18">
        <f>IF(Master_Data!N375="","",Master_Data!N375 - WEEKDAY(Master_Data!N375,2) + 1)</f>
        <v>46132</v>
      </c>
      <c r="G375" s="19">
        <f>EOMONTH(Master_Data!H375,-1)+1</f>
        <v>45778</v>
      </c>
      <c r="H375" s="19">
        <f>IF(Master_Data!J375="","",EOMONTH(Master_Data!J375,-1)+1)</f>
        <v>45717</v>
      </c>
      <c r="I375" s="19">
        <f>IF(Master_Data!M375="","",EOMONTH(Master_Data!M375,-1)+1)</f>
        <v>45809</v>
      </c>
      <c r="J375" s="19">
        <f>IF(Master_Data!N375="","",EOMONTH(Master_Data!N375,-1)+1)</f>
        <v>46113</v>
      </c>
    </row>
    <row r="376" spans="1:10">
      <c r="A376" s="2" t="s">
        <v>768</v>
      </c>
      <c r="B376" s="2" t="str">
        <f>Master_Data!B376</f>
        <v>Architecture</v>
      </c>
      <c r="C376" s="18">
        <f>IF(Master_Data!H376="","",Master_Data!H376 - WEEKDAY(Master_Data!H376,2) + 1)</f>
        <v>45950</v>
      </c>
      <c r="D376" s="18">
        <f>IF(Master_Data!J376="","",Master_Data!J376 - WEEKDAY(Master_Data!J376,2) + 1)</f>
        <v>45950</v>
      </c>
      <c r="E376" s="18">
        <f>IF(Master_Data!M376="","",Master_Data!M376 - WEEKDAY(Master_Data!M376,2) + 1)</f>
        <v>45971</v>
      </c>
      <c r="F376" s="18">
        <f>IF(Master_Data!N376="","",Master_Data!N376 - WEEKDAY(Master_Data!N376,2) + 1)</f>
        <v>45971</v>
      </c>
      <c r="G376" s="19">
        <f>EOMONTH(Master_Data!H376,-1)+1</f>
        <v>45931</v>
      </c>
      <c r="H376" s="19">
        <f>IF(Master_Data!J376="","",EOMONTH(Master_Data!J376,-1)+1)</f>
        <v>45931</v>
      </c>
      <c r="I376" s="19">
        <f>IF(Master_Data!M376="","",EOMONTH(Master_Data!M376,-1)+1)</f>
        <v>45962</v>
      </c>
      <c r="J376" s="19">
        <f>IF(Master_Data!N376="","",EOMONTH(Master_Data!N376,-1)+1)</f>
        <v>45962</v>
      </c>
    </row>
    <row r="377" spans="1:10">
      <c r="A377" s="2" t="s">
        <v>770</v>
      </c>
      <c r="B377" s="2" t="str">
        <f>Master_Data!B377</f>
        <v>Architecture</v>
      </c>
      <c r="C377" s="18">
        <f>IF(Master_Data!H377="","",Master_Data!H377 - WEEKDAY(Master_Data!H377,2) + 1)</f>
        <v>45950</v>
      </c>
      <c r="D377" s="18">
        <f>IF(Master_Data!J377="","",Master_Data!J377 - WEEKDAY(Master_Data!J377,2) + 1)</f>
        <v>45950</v>
      </c>
      <c r="E377" s="18">
        <f>IF(Master_Data!M377="","",Master_Data!M377 - WEEKDAY(Master_Data!M377,2) + 1)</f>
        <v>45971</v>
      </c>
      <c r="F377" s="18">
        <f>IF(Master_Data!N377="","",Master_Data!N377 - WEEKDAY(Master_Data!N377,2) + 1)</f>
        <v>45971</v>
      </c>
      <c r="G377" s="19">
        <f>EOMONTH(Master_Data!H377,-1)+1</f>
        <v>45931</v>
      </c>
      <c r="H377" s="19">
        <f>IF(Master_Data!J377="","",EOMONTH(Master_Data!J377,-1)+1)</f>
        <v>45931</v>
      </c>
      <c r="I377" s="19">
        <f>IF(Master_Data!M377="","",EOMONTH(Master_Data!M377,-1)+1)</f>
        <v>45962</v>
      </c>
      <c r="J377" s="19">
        <f>IF(Master_Data!N377="","",EOMONTH(Master_Data!N377,-1)+1)</f>
        <v>45962</v>
      </c>
    </row>
    <row r="378" spans="1:10">
      <c r="A378" s="2" t="s">
        <v>772</v>
      </c>
      <c r="B378" s="2" t="str">
        <f>Master_Data!B378</f>
        <v>Architecture</v>
      </c>
      <c r="C378" s="18">
        <f>IF(Master_Data!H378="","",Master_Data!H378 - WEEKDAY(Master_Data!H378,2) + 1)</f>
        <v>45992</v>
      </c>
      <c r="D378" s="18">
        <f>IF(Master_Data!J378="","",Master_Data!J378 - WEEKDAY(Master_Data!J378,2) + 1)</f>
        <v>45985</v>
      </c>
      <c r="E378" s="18">
        <f>IF(Master_Data!M378="","",Master_Data!M378 - WEEKDAY(Master_Data!M378,2) + 1)</f>
        <v>46020</v>
      </c>
      <c r="F378" s="18">
        <f>IF(Master_Data!N378="","",Master_Data!N378 - WEEKDAY(Master_Data!N378,2) + 1)</f>
        <v>45908</v>
      </c>
      <c r="G378" s="19">
        <f>EOMONTH(Master_Data!H378,-1)+1</f>
        <v>45992</v>
      </c>
      <c r="H378" s="19">
        <f>IF(Master_Data!J378="","",EOMONTH(Master_Data!J378,-1)+1)</f>
        <v>45962</v>
      </c>
      <c r="I378" s="19">
        <f>IF(Master_Data!M378="","",EOMONTH(Master_Data!M378,-1)+1)</f>
        <v>46023</v>
      </c>
      <c r="J378" s="19">
        <f>IF(Master_Data!N378="","",EOMONTH(Master_Data!N378,-1)+1)</f>
        <v>45901</v>
      </c>
    </row>
    <row r="379" spans="1:10">
      <c r="A379" s="3" t="s">
        <v>774</v>
      </c>
      <c r="B379" s="2" t="str">
        <f>Master_Data!B379</f>
        <v>Architecture</v>
      </c>
      <c r="C379" s="18">
        <f>IF(Master_Data!H379="","",Master_Data!H379 - WEEKDAY(Master_Data!H379,2) + 1)</f>
        <v>45971</v>
      </c>
      <c r="D379" s="18">
        <f>IF(Master_Data!J379="","",Master_Data!J379 - WEEKDAY(Master_Data!J379,2) + 1)</f>
        <v>45971</v>
      </c>
      <c r="E379" s="18">
        <f>IF(Master_Data!M379="","",Master_Data!M379 - WEEKDAY(Master_Data!M379,2) + 1)</f>
        <v>45999</v>
      </c>
      <c r="F379" s="18">
        <f>IF(Master_Data!N379="","",Master_Data!N379 - WEEKDAY(Master_Data!N379,2) + 1)</f>
        <v>45999</v>
      </c>
      <c r="G379" s="19">
        <f>EOMONTH(Master_Data!H379,-1)+1</f>
        <v>45962</v>
      </c>
      <c r="H379" s="19">
        <f>IF(Master_Data!J379="","",EOMONTH(Master_Data!J379,-1)+1)</f>
        <v>45962</v>
      </c>
      <c r="I379" s="19">
        <f>IF(Master_Data!M379="","",EOMONTH(Master_Data!M379,-1)+1)</f>
        <v>45992</v>
      </c>
      <c r="J379" s="19">
        <f>IF(Master_Data!N379="","",EOMONTH(Master_Data!N379,-1)+1)</f>
        <v>45992</v>
      </c>
    </row>
    <row r="380" spans="1:10">
      <c r="A380" s="3" t="s">
        <v>776</v>
      </c>
      <c r="B380" s="2" t="str">
        <f>Master_Data!B380</f>
        <v>Architecture</v>
      </c>
      <c r="C380" s="18">
        <f>IF(Master_Data!H380="","",Master_Data!H380 - WEEKDAY(Master_Data!H380,2) + 1)</f>
        <v>45971</v>
      </c>
      <c r="D380" s="18">
        <f>IF(Master_Data!J380="","",Master_Data!J380 - WEEKDAY(Master_Data!J380,2) + 1)</f>
        <v>45971</v>
      </c>
      <c r="E380" s="18">
        <f>IF(Master_Data!M380="","",Master_Data!M380 - WEEKDAY(Master_Data!M380,2) + 1)</f>
        <v>45999</v>
      </c>
      <c r="F380" s="18">
        <f>IF(Master_Data!N380="","",Master_Data!N380 - WEEKDAY(Master_Data!N380,2) + 1)</f>
        <v>45999</v>
      </c>
      <c r="G380" s="19">
        <f>EOMONTH(Master_Data!H380,-1)+1</f>
        <v>45962</v>
      </c>
      <c r="H380" s="19">
        <f>IF(Master_Data!J380="","",EOMONTH(Master_Data!J380,-1)+1)</f>
        <v>45962</v>
      </c>
      <c r="I380" s="19">
        <f>IF(Master_Data!M380="","",EOMONTH(Master_Data!M380,-1)+1)</f>
        <v>45992</v>
      </c>
      <c r="J380" s="19">
        <f>IF(Master_Data!N380="","",EOMONTH(Master_Data!N380,-1)+1)</f>
        <v>45992</v>
      </c>
    </row>
    <row r="381" spans="1:10">
      <c r="A381" s="3" t="s">
        <v>778</v>
      </c>
      <c r="B381" s="2" t="str">
        <f>Master_Data!B381</f>
        <v>Architecture</v>
      </c>
      <c r="C381" s="18">
        <f>IF(Master_Data!H381="","",Master_Data!H381 - WEEKDAY(Master_Data!H381,2) + 1)</f>
        <v>45971</v>
      </c>
      <c r="D381" s="18">
        <f>IF(Master_Data!J381="","",Master_Data!J381 - WEEKDAY(Master_Data!J381,2) + 1)</f>
        <v>45971</v>
      </c>
      <c r="E381" s="18">
        <f>IF(Master_Data!M381="","",Master_Data!M381 - WEEKDAY(Master_Data!M381,2) + 1)</f>
        <v>45999</v>
      </c>
      <c r="F381" s="18">
        <f>IF(Master_Data!N381="","",Master_Data!N381 - WEEKDAY(Master_Data!N381,2) + 1)</f>
        <v>45999</v>
      </c>
      <c r="G381" s="19">
        <f>EOMONTH(Master_Data!H381,-1)+1</f>
        <v>45962</v>
      </c>
      <c r="H381" s="19">
        <f>IF(Master_Data!J381="","",EOMONTH(Master_Data!J381,-1)+1)</f>
        <v>45962</v>
      </c>
      <c r="I381" s="19">
        <f>IF(Master_Data!M381="","",EOMONTH(Master_Data!M381,-1)+1)</f>
        <v>45992</v>
      </c>
      <c r="J381" s="19">
        <f>IF(Master_Data!N381="","",EOMONTH(Master_Data!N381,-1)+1)</f>
        <v>45992</v>
      </c>
    </row>
    <row r="382" spans="1:10">
      <c r="A382" s="2" t="s">
        <v>780</v>
      </c>
      <c r="B382" s="2" t="str">
        <f>Master_Data!B382</f>
        <v>Architecture</v>
      </c>
      <c r="C382" s="18">
        <f>IF(Master_Data!H382="","",Master_Data!H382 - WEEKDAY(Master_Data!H382,2) + 1)</f>
        <v>45782</v>
      </c>
      <c r="D382" s="18">
        <f>IF(Master_Data!J382="","",Master_Data!J382 - WEEKDAY(Master_Data!J382,2) + 1)</f>
        <v>45789</v>
      </c>
      <c r="E382" s="18">
        <f>IF(Master_Data!M382="","",Master_Data!M382 - WEEKDAY(Master_Data!M382,2) + 1)</f>
        <v>45810</v>
      </c>
      <c r="F382" s="18">
        <f>IF(Master_Data!N382="","",Master_Data!N382 - WEEKDAY(Master_Data!N382,2) + 1)</f>
        <v>45999</v>
      </c>
      <c r="G382" s="19">
        <f>EOMONTH(Master_Data!H382,-1)+1</f>
        <v>45778</v>
      </c>
      <c r="H382" s="19">
        <f>IF(Master_Data!J382="","",EOMONTH(Master_Data!J382,-1)+1)</f>
        <v>45778</v>
      </c>
      <c r="I382" s="19">
        <f>IF(Master_Data!M382="","",EOMONTH(Master_Data!M382,-1)+1)</f>
        <v>45809</v>
      </c>
      <c r="J382" s="19">
        <f>IF(Master_Data!N382="","",EOMONTH(Master_Data!N382,-1)+1)</f>
        <v>45992</v>
      </c>
    </row>
    <row r="383" spans="1:10">
      <c r="A383" s="2" t="s">
        <v>782</v>
      </c>
      <c r="B383" s="2" t="str">
        <f>Master_Data!B383</f>
        <v>Architecture</v>
      </c>
      <c r="C383" s="18">
        <f>IF(Master_Data!H383="","",Master_Data!H383 - WEEKDAY(Master_Data!H383,2) + 1)</f>
        <v>45782</v>
      </c>
      <c r="D383" s="18">
        <f>IF(Master_Data!J383="","",Master_Data!J383 - WEEKDAY(Master_Data!J383,2) + 1)</f>
        <v>45789</v>
      </c>
      <c r="E383" s="18">
        <f>IF(Master_Data!M383="","",Master_Data!M383 - WEEKDAY(Master_Data!M383,2) + 1)</f>
        <v>45810</v>
      </c>
      <c r="F383" s="18">
        <f>IF(Master_Data!N383="","",Master_Data!N383 - WEEKDAY(Master_Data!N383,2) + 1)</f>
        <v>45999</v>
      </c>
      <c r="G383" s="19">
        <f>EOMONTH(Master_Data!H383,-1)+1</f>
        <v>45778</v>
      </c>
      <c r="H383" s="19">
        <f>IF(Master_Data!J383="","",EOMONTH(Master_Data!J383,-1)+1)</f>
        <v>45778</v>
      </c>
      <c r="I383" s="19">
        <f>IF(Master_Data!M383="","",EOMONTH(Master_Data!M383,-1)+1)</f>
        <v>45809</v>
      </c>
      <c r="J383" s="19">
        <f>IF(Master_Data!N383="","",EOMONTH(Master_Data!N383,-1)+1)</f>
        <v>45992</v>
      </c>
    </row>
    <row r="384" spans="1:10">
      <c r="A384" s="2" t="s">
        <v>784</v>
      </c>
      <c r="B384" s="2" t="str">
        <f>Master_Data!B384</f>
        <v>Architecture</v>
      </c>
      <c r="C384" s="18">
        <f>IF(Master_Data!H384="","",Master_Data!H384 - WEEKDAY(Master_Data!H384,2) + 1)</f>
        <v>45992</v>
      </c>
      <c r="D384" s="18">
        <f>IF(Master_Data!J384="","",Master_Data!J384 - WEEKDAY(Master_Data!J384,2) + 1)</f>
        <v>46090</v>
      </c>
      <c r="E384" s="18">
        <f>IF(Master_Data!M384="","",Master_Data!M384 - WEEKDAY(Master_Data!M384,2) + 1)</f>
        <v>46020</v>
      </c>
      <c r="F384" s="18">
        <f>IF(Master_Data!N384="","",Master_Data!N384 - WEEKDAY(Master_Data!N384,2) + 1)</f>
        <v>46132</v>
      </c>
      <c r="G384" s="19">
        <f>EOMONTH(Master_Data!H384,-1)+1</f>
        <v>45992</v>
      </c>
      <c r="H384" s="19">
        <f>IF(Master_Data!J384="","",EOMONTH(Master_Data!J384,-1)+1)</f>
        <v>46082</v>
      </c>
      <c r="I384" s="19">
        <f>IF(Master_Data!M384="","",EOMONTH(Master_Data!M384,-1)+1)</f>
        <v>45992</v>
      </c>
      <c r="J384" s="19">
        <f>IF(Master_Data!N384="","",EOMONTH(Master_Data!N384,-1)+1)</f>
        <v>46113</v>
      </c>
    </row>
    <row r="385" spans="1:10">
      <c r="A385" s="2" t="s">
        <v>786</v>
      </c>
      <c r="B385" s="2" t="str">
        <f>Master_Data!B385</f>
        <v>Architecture</v>
      </c>
      <c r="C385" s="18">
        <f>IF(Master_Data!H385="","",Master_Data!H385 - WEEKDAY(Master_Data!H385,2) + 1)</f>
        <v>46006</v>
      </c>
      <c r="D385" s="18">
        <f>IF(Master_Data!J385="","",Master_Data!J385 - WEEKDAY(Master_Data!J385,2) + 1)</f>
        <v>45964</v>
      </c>
      <c r="E385" s="18">
        <f>IF(Master_Data!M385="","",Master_Data!M385 - WEEKDAY(Master_Data!M385,2) + 1)</f>
        <v>46013</v>
      </c>
      <c r="F385" s="18">
        <f>IF(Master_Data!N385="","",Master_Data!N385 - WEEKDAY(Master_Data!N385,2) + 1)</f>
        <v>45971</v>
      </c>
      <c r="G385" s="19">
        <f>EOMONTH(Master_Data!H385,-1)+1</f>
        <v>45992</v>
      </c>
      <c r="H385" s="19">
        <f>IF(Master_Data!J385="","",EOMONTH(Master_Data!J385,-1)+1)</f>
        <v>45962</v>
      </c>
      <c r="I385" s="19">
        <f>IF(Master_Data!M385="","",EOMONTH(Master_Data!M385,-1)+1)</f>
        <v>45992</v>
      </c>
      <c r="J385" s="19">
        <f>IF(Master_Data!N385="","",EOMONTH(Master_Data!N385,-1)+1)</f>
        <v>45962</v>
      </c>
    </row>
    <row r="386" spans="1:10">
      <c r="A386" s="2" t="s">
        <v>788</v>
      </c>
      <c r="B386" s="2" t="str">
        <f>Master_Data!B386</f>
        <v>Architecture</v>
      </c>
      <c r="C386" s="18">
        <f>IF(Master_Data!H386="","",Master_Data!H386 - WEEKDAY(Master_Data!H386,2) + 1)</f>
        <v>46006</v>
      </c>
      <c r="D386" s="18">
        <f>IF(Master_Data!J386="","",Master_Data!J386 - WEEKDAY(Master_Data!J386,2) + 1)</f>
        <v>45964</v>
      </c>
      <c r="E386" s="18">
        <f>IF(Master_Data!M386="","",Master_Data!M386 - WEEKDAY(Master_Data!M386,2) + 1)</f>
        <v>46013</v>
      </c>
      <c r="F386" s="18">
        <f>IF(Master_Data!N386="","",Master_Data!N386 - WEEKDAY(Master_Data!N386,2) + 1)</f>
        <v>45971</v>
      </c>
      <c r="G386" s="19">
        <f>EOMONTH(Master_Data!H386,-1)+1</f>
        <v>45992</v>
      </c>
      <c r="H386" s="19">
        <f>IF(Master_Data!J386="","",EOMONTH(Master_Data!J386,-1)+1)</f>
        <v>45962</v>
      </c>
      <c r="I386" s="19">
        <f>IF(Master_Data!M386="","",EOMONTH(Master_Data!M386,-1)+1)</f>
        <v>45992</v>
      </c>
      <c r="J386" s="19">
        <f>IF(Master_Data!N386="","",EOMONTH(Master_Data!N386,-1)+1)</f>
        <v>45962</v>
      </c>
    </row>
    <row r="387" spans="1:10">
      <c r="A387" s="3" t="s">
        <v>790</v>
      </c>
      <c r="B387" s="2" t="str">
        <f>Master_Data!B387</f>
        <v>Architecture</v>
      </c>
      <c r="C387" s="18">
        <f>IF(Master_Data!H387="","",Master_Data!H387 - WEEKDAY(Master_Data!H387,2) + 1)</f>
        <v>45943</v>
      </c>
      <c r="D387" s="18">
        <f>IF(Master_Data!J387="","",Master_Data!J387 - WEEKDAY(Master_Data!J387,2) + 1)</f>
        <v>45943</v>
      </c>
      <c r="E387" s="18">
        <f>IF(Master_Data!M387="","",Master_Data!M387 - WEEKDAY(Master_Data!M387,2) + 1)</f>
        <v>45971</v>
      </c>
      <c r="F387" s="18">
        <f>IF(Master_Data!N387="","",Master_Data!N387 - WEEKDAY(Master_Data!N387,2) + 1)</f>
        <v>45950</v>
      </c>
      <c r="G387" s="19">
        <f>EOMONTH(Master_Data!H387,-1)+1</f>
        <v>45931</v>
      </c>
      <c r="H387" s="19">
        <f>IF(Master_Data!J387="","",EOMONTH(Master_Data!J387,-1)+1)</f>
        <v>45931</v>
      </c>
      <c r="I387" s="19">
        <f>IF(Master_Data!M387="","",EOMONTH(Master_Data!M387,-1)+1)</f>
        <v>45962</v>
      </c>
      <c r="J387" s="19">
        <f>IF(Master_Data!N387="","",EOMONTH(Master_Data!N387,-1)+1)</f>
        <v>45931</v>
      </c>
    </row>
    <row r="388" spans="1:10">
      <c r="A388" s="3" t="s">
        <v>792</v>
      </c>
      <c r="B388" s="2" t="str">
        <f>Master_Data!B388</f>
        <v>Architecture</v>
      </c>
      <c r="C388" s="18">
        <f>IF(Master_Data!H388="","",Master_Data!H388 - WEEKDAY(Master_Data!H388,2) + 1)</f>
        <v>45943</v>
      </c>
      <c r="D388" s="18">
        <f>IF(Master_Data!J388="","",Master_Data!J388 - WEEKDAY(Master_Data!J388,2) + 1)</f>
        <v>45943</v>
      </c>
      <c r="E388" s="18">
        <f>IF(Master_Data!M388="","",Master_Data!M388 - WEEKDAY(Master_Data!M388,2) + 1)</f>
        <v>45971</v>
      </c>
      <c r="F388" s="18">
        <f>IF(Master_Data!N388="","",Master_Data!N388 - WEEKDAY(Master_Data!N388,2) + 1)</f>
        <v>45950</v>
      </c>
      <c r="G388" s="19">
        <f>EOMONTH(Master_Data!H388,-1)+1</f>
        <v>45931</v>
      </c>
      <c r="H388" s="19">
        <f>IF(Master_Data!J388="","",EOMONTH(Master_Data!J388,-1)+1)</f>
        <v>45931</v>
      </c>
      <c r="I388" s="19">
        <f>IF(Master_Data!M388="","",EOMONTH(Master_Data!M388,-1)+1)</f>
        <v>45962</v>
      </c>
      <c r="J388" s="19">
        <f>IF(Master_Data!N388="","",EOMONTH(Master_Data!N388,-1)+1)</f>
        <v>45931</v>
      </c>
    </row>
    <row r="389" spans="1:10">
      <c r="A389" s="3" t="s">
        <v>794</v>
      </c>
      <c r="B389" s="2" t="str">
        <f>Master_Data!B389</f>
        <v>Architecture</v>
      </c>
      <c r="C389" s="18">
        <f>IF(Master_Data!H389="","",Master_Data!H389 - WEEKDAY(Master_Data!H389,2) + 1)</f>
        <v>45971</v>
      </c>
      <c r="D389" s="18">
        <f>IF(Master_Data!J389="","",Master_Data!J389 - WEEKDAY(Master_Data!J389,2) + 1)</f>
        <v>45978</v>
      </c>
      <c r="E389" s="18">
        <f>IF(Master_Data!M389="","",Master_Data!M389 - WEEKDAY(Master_Data!M389,2) + 1)</f>
        <v>45999</v>
      </c>
      <c r="F389" s="18">
        <f>IF(Master_Data!N389="","",Master_Data!N389 - WEEKDAY(Master_Data!N389,2) + 1)</f>
        <v>45992</v>
      </c>
      <c r="G389" s="19">
        <f>EOMONTH(Master_Data!H389,-1)+1</f>
        <v>45962</v>
      </c>
      <c r="H389" s="19">
        <f>IF(Master_Data!J389="","",EOMONTH(Master_Data!J389,-1)+1)</f>
        <v>45962</v>
      </c>
      <c r="I389" s="19">
        <f>IF(Master_Data!M389="","",EOMONTH(Master_Data!M389,-1)+1)</f>
        <v>45992</v>
      </c>
      <c r="J389" s="19">
        <f>IF(Master_Data!N389="","",EOMONTH(Master_Data!N389,-1)+1)</f>
        <v>45992</v>
      </c>
    </row>
    <row r="390" spans="1:10">
      <c r="A390" s="3" t="s">
        <v>796</v>
      </c>
      <c r="B390" s="2" t="str">
        <f>Master_Data!B390</f>
        <v>Architecture</v>
      </c>
      <c r="C390" s="18">
        <f>IF(Master_Data!H390="","",Master_Data!H390 - WEEKDAY(Master_Data!H390,2) + 1)</f>
        <v>45971</v>
      </c>
      <c r="D390" s="18">
        <f>IF(Master_Data!J390="","",Master_Data!J390 - WEEKDAY(Master_Data!J390,2) + 1)</f>
        <v>45978</v>
      </c>
      <c r="E390" s="18">
        <f>IF(Master_Data!M390="","",Master_Data!M390 - WEEKDAY(Master_Data!M390,2) + 1)</f>
        <v>45999</v>
      </c>
      <c r="F390" s="18">
        <f>IF(Master_Data!N390="","",Master_Data!N390 - WEEKDAY(Master_Data!N390,2) + 1)</f>
        <v>45992</v>
      </c>
      <c r="G390" s="19">
        <f>EOMONTH(Master_Data!H390,-1)+1</f>
        <v>45962</v>
      </c>
      <c r="H390" s="19">
        <f>IF(Master_Data!J390="","",EOMONTH(Master_Data!J390,-1)+1)</f>
        <v>45962</v>
      </c>
      <c r="I390" s="19">
        <f>IF(Master_Data!M390="","",EOMONTH(Master_Data!M390,-1)+1)</f>
        <v>45992</v>
      </c>
      <c r="J390" s="19">
        <f>IF(Master_Data!N390="","",EOMONTH(Master_Data!N390,-1)+1)</f>
        <v>45992</v>
      </c>
    </row>
    <row r="391" spans="1:10">
      <c r="A391" s="2" t="s">
        <v>798</v>
      </c>
      <c r="B391" s="2" t="str">
        <f>Master_Data!B391</f>
        <v>Architecture</v>
      </c>
      <c r="C391" s="18">
        <f>IF(Master_Data!H391="","",Master_Data!H391 - WEEKDAY(Master_Data!H391,2) + 1)</f>
        <v>45782</v>
      </c>
      <c r="D391" s="18">
        <f>IF(Master_Data!J391="","",Master_Data!J391 - WEEKDAY(Master_Data!J391,2) + 1)</f>
        <v>45789</v>
      </c>
      <c r="E391" s="18">
        <f>IF(Master_Data!M391="","",Master_Data!M391 - WEEKDAY(Master_Data!M391,2) + 1)</f>
        <v>45810</v>
      </c>
      <c r="F391" s="18">
        <f>IF(Master_Data!N391="","",Master_Data!N391 - WEEKDAY(Master_Data!N391,2) + 1)</f>
        <v>45999</v>
      </c>
      <c r="G391" s="19">
        <f>EOMONTH(Master_Data!H391,-1)+1</f>
        <v>45778</v>
      </c>
      <c r="H391" s="19">
        <f>IF(Master_Data!J391="","",EOMONTH(Master_Data!J391,-1)+1)</f>
        <v>45778</v>
      </c>
      <c r="I391" s="19">
        <f>IF(Master_Data!M391="","",EOMONTH(Master_Data!M391,-1)+1)</f>
        <v>45809</v>
      </c>
      <c r="J391" s="19">
        <f>IF(Master_Data!N391="","",EOMONTH(Master_Data!N391,-1)+1)</f>
        <v>45992</v>
      </c>
    </row>
    <row r="392" spans="1:10">
      <c r="A392" s="2" t="s">
        <v>800</v>
      </c>
      <c r="B392" s="2" t="str">
        <f>Master_Data!B392</f>
        <v>Architecture</v>
      </c>
      <c r="C392" s="18">
        <f>IF(Master_Data!H392="","",Master_Data!H392 - WEEKDAY(Master_Data!H392,2) + 1)</f>
        <v>45782</v>
      </c>
      <c r="D392" s="18">
        <f>IF(Master_Data!J392="","",Master_Data!J392 - WEEKDAY(Master_Data!J392,2) + 1)</f>
        <v>45789</v>
      </c>
      <c r="E392" s="18">
        <f>IF(Master_Data!M392="","",Master_Data!M392 - WEEKDAY(Master_Data!M392,2) + 1)</f>
        <v>45810</v>
      </c>
      <c r="F392" s="18">
        <f>IF(Master_Data!N392="","",Master_Data!N392 - WEEKDAY(Master_Data!N392,2) + 1)</f>
        <v>45999</v>
      </c>
      <c r="G392" s="19">
        <f>EOMONTH(Master_Data!H392,-1)+1</f>
        <v>45778</v>
      </c>
      <c r="H392" s="19">
        <f>IF(Master_Data!J392="","",EOMONTH(Master_Data!J392,-1)+1)</f>
        <v>45778</v>
      </c>
      <c r="I392" s="19">
        <f>IF(Master_Data!M392="","",EOMONTH(Master_Data!M392,-1)+1)</f>
        <v>45809</v>
      </c>
      <c r="J392" s="19">
        <f>IF(Master_Data!N392="","",EOMONTH(Master_Data!N392,-1)+1)</f>
        <v>45992</v>
      </c>
    </row>
    <row r="393" spans="1:10">
      <c r="A393" s="2" t="s">
        <v>802</v>
      </c>
      <c r="B393" s="2" t="str">
        <f>Master_Data!B393</f>
        <v>Architecture</v>
      </c>
      <c r="C393" s="18">
        <f>IF(Master_Data!H393="","",Master_Data!H393 - WEEKDAY(Master_Data!H393,2) + 1)</f>
        <v>45803</v>
      </c>
      <c r="D393" s="18">
        <f>IF(Master_Data!J393="","",Master_Data!J393 - WEEKDAY(Master_Data!J393,2) + 1)</f>
        <v>45824</v>
      </c>
      <c r="E393" s="18">
        <f>IF(Master_Data!M393="","",Master_Data!M393 - WEEKDAY(Master_Data!M393,2) + 1)</f>
        <v>45831</v>
      </c>
      <c r="F393" s="18">
        <f>IF(Master_Data!N393="","",Master_Data!N393 - WEEKDAY(Master_Data!N393,2) + 1)</f>
        <v>45971</v>
      </c>
      <c r="G393" s="19">
        <f>EOMONTH(Master_Data!H393,-1)+1</f>
        <v>45778</v>
      </c>
      <c r="H393" s="19">
        <f>IF(Master_Data!J393="","",EOMONTH(Master_Data!J393,-1)+1)</f>
        <v>45809</v>
      </c>
      <c r="I393" s="19">
        <f>IF(Master_Data!M393="","",EOMONTH(Master_Data!M393,-1)+1)</f>
        <v>45809</v>
      </c>
      <c r="J393" s="19">
        <f>IF(Master_Data!N393="","",EOMONTH(Master_Data!N393,-1)+1)</f>
        <v>45962</v>
      </c>
    </row>
    <row r="394" spans="1:10">
      <c r="A394" s="2" t="s">
        <v>804</v>
      </c>
      <c r="B394" s="2" t="str">
        <f>Master_Data!B394</f>
        <v>Architecture</v>
      </c>
      <c r="C394" s="18">
        <f>IF(Master_Data!H394="","",Master_Data!H394 - WEEKDAY(Master_Data!H394,2) + 1)</f>
        <v>45992</v>
      </c>
      <c r="D394" s="18">
        <f>IF(Master_Data!J394="","",Master_Data!J394 - WEEKDAY(Master_Data!J394,2) + 1)</f>
        <v>45985</v>
      </c>
      <c r="E394" s="18">
        <f>IF(Master_Data!M394="","",Master_Data!M394 - WEEKDAY(Master_Data!M394,2) + 1)</f>
        <v>46020</v>
      </c>
      <c r="F394" s="18">
        <f>IF(Master_Data!N394="","",Master_Data!N394 - WEEKDAY(Master_Data!N394,2) + 1)</f>
        <v>45992</v>
      </c>
      <c r="G394" s="19">
        <f>EOMONTH(Master_Data!H394,-1)+1</f>
        <v>45992</v>
      </c>
      <c r="H394" s="19">
        <f>IF(Master_Data!J394="","",EOMONTH(Master_Data!J394,-1)+1)</f>
        <v>45962</v>
      </c>
      <c r="I394" s="19">
        <f>IF(Master_Data!M394="","",EOMONTH(Master_Data!M394,-1)+1)</f>
        <v>45992</v>
      </c>
      <c r="J394" s="19">
        <f>IF(Master_Data!N394="","",EOMONTH(Master_Data!N394,-1)+1)</f>
        <v>45992</v>
      </c>
    </row>
    <row r="395" spans="1:10">
      <c r="A395" s="2" t="s">
        <v>806</v>
      </c>
      <c r="B395" s="2" t="str">
        <f>Master_Data!B395</f>
        <v>Architecture</v>
      </c>
      <c r="C395" s="18">
        <f>IF(Master_Data!H395="","",Master_Data!H395 - WEEKDAY(Master_Data!H395,2) + 1)</f>
        <v>45999</v>
      </c>
      <c r="D395" s="18">
        <f>IF(Master_Data!J395="","",Master_Data!J395 - WEEKDAY(Master_Data!J395,2) + 1)</f>
        <v>46083</v>
      </c>
      <c r="E395" s="18">
        <f>IF(Master_Data!M395="","",Master_Data!M395 - WEEKDAY(Master_Data!M395,2) + 1)</f>
        <v>45971</v>
      </c>
      <c r="F395" s="18">
        <f>IF(Master_Data!N395="","",Master_Data!N395 - WEEKDAY(Master_Data!N395,2) + 1)</f>
        <v>46132</v>
      </c>
      <c r="G395" s="19">
        <f>EOMONTH(Master_Data!H395,-1)+1</f>
        <v>45992</v>
      </c>
      <c r="H395" s="19">
        <f>IF(Master_Data!J395="","",EOMONTH(Master_Data!J395,-1)+1)</f>
        <v>46082</v>
      </c>
      <c r="I395" s="19">
        <f>IF(Master_Data!M395="","",EOMONTH(Master_Data!M395,-1)+1)</f>
        <v>45962</v>
      </c>
      <c r="J395" s="19">
        <f>IF(Master_Data!N395="","",EOMONTH(Master_Data!N395,-1)+1)</f>
        <v>46113</v>
      </c>
    </row>
    <row r="396" spans="1:10">
      <c r="A396" s="2" t="s">
        <v>808</v>
      </c>
      <c r="B396" s="2" t="str">
        <f>Master_Data!B396</f>
        <v>Architecture</v>
      </c>
      <c r="C396" s="18">
        <f>IF(Master_Data!H396="","",Master_Data!H396 - WEEKDAY(Master_Data!H396,2) + 1)</f>
        <v>46020</v>
      </c>
      <c r="D396" s="18">
        <f>IF(Master_Data!J396="","",Master_Data!J396 - WEEKDAY(Master_Data!J396,2) + 1)</f>
        <v>46041</v>
      </c>
      <c r="E396" s="18">
        <f>IF(Master_Data!M396="","",Master_Data!M396 - WEEKDAY(Master_Data!M396,2) + 1)</f>
        <v>46048</v>
      </c>
      <c r="F396" s="18">
        <f>IF(Master_Data!N396="","",Master_Data!N396 - WEEKDAY(Master_Data!N396,2) + 1)</f>
        <v>46153</v>
      </c>
      <c r="G396" s="19">
        <f>EOMONTH(Master_Data!H396,-1)+1</f>
        <v>45992</v>
      </c>
      <c r="H396" s="19">
        <f>IF(Master_Data!J396="","",EOMONTH(Master_Data!J396,-1)+1)</f>
        <v>46023</v>
      </c>
      <c r="I396" s="19">
        <f>IF(Master_Data!M396="","",EOMONTH(Master_Data!M396,-1)+1)</f>
        <v>46023</v>
      </c>
      <c r="J396" s="19">
        <f>IF(Master_Data!N396="","",EOMONTH(Master_Data!N396,-1)+1)</f>
        <v>46143</v>
      </c>
    </row>
    <row r="397" spans="1:10">
      <c r="A397" s="3" t="s">
        <v>810</v>
      </c>
      <c r="B397" s="2" t="str">
        <f>Master_Data!B397</f>
        <v>Architecture</v>
      </c>
      <c r="C397" s="18">
        <f>IF(Master_Data!H397="","",Master_Data!H397 - WEEKDAY(Master_Data!H397,2) + 1)</f>
        <v>45719</v>
      </c>
      <c r="D397" s="18">
        <f>IF(Master_Data!J397="","",Master_Data!J397 - WEEKDAY(Master_Data!J397,2) + 1)</f>
        <v>45719</v>
      </c>
      <c r="E397" s="18">
        <f>IF(Master_Data!M397="","",Master_Data!M397 - WEEKDAY(Master_Data!M397,2) + 1)</f>
        <v>45747</v>
      </c>
      <c r="F397" s="18">
        <f>IF(Master_Data!N397="","",Master_Data!N397 - WEEKDAY(Master_Data!N397,2) + 1)</f>
        <v>45740</v>
      </c>
      <c r="G397" s="19">
        <f>EOMONTH(Master_Data!H397,-1)+1</f>
        <v>45717</v>
      </c>
      <c r="H397" s="19">
        <f>IF(Master_Data!J397="","",EOMONTH(Master_Data!J397,-1)+1)</f>
        <v>45717</v>
      </c>
      <c r="I397" s="19">
        <f>IF(Master_Data!M397="","",EOMONTH(Master_Data!M397,-1)+1)</f>
        <v>45717</v>
      </c>
      <c r="J397" s="19">
        <f>IF(Master_Data!N397="","",EOMONTH(Master_Data!N397,-1)+1)</f>
        <v>45717</v>
      </c>
    </row>
    <row r="398" spans="1:10">
      <c r="A398" s="3" t="s">
        <v>812</v>
      </c>
      <c r="B398" s="2" t="str">
        <f>Master_Data!B398</f>
        <v>Architecture</v>
      </c>
      <c r="C398" s="18">
        <f>IF(Master_Data!H398="","",Master_Data!H398 - WEEKDAY(Master_Data!H398,2) + 1)</f>
        <v>45719</v>
      </c>
      <c r="D398" s="18">
        <f>IF(Master_Data!J398="","",Master_Data!J398 - WEEKDAY(Master_Data!J398,2) + 1)</f>
        <v>45719</v>
      </c>
      <c r="E398" s="18">
        <f>IF(Master_Data!M398="","",Master_Data!M398 - WEEKDAY(Master_Data!M398,2) + 1)</f>
        <v>45747</v>
      </c>
      <c r="F398" s="18">
        <f>IF(Master_Data!N398="","",Master_Data!N398 - WEEKDAY(Master_Data!N398,2) + 1)</f>
        <v>45740</v>
      </c>
      <c r="G398" s="19">
        <f>EOMONTH(Master_Data!H398,-1)+1</f>
        <v>45717</v>
      </c>
      <c r="H398" s="19">
        <f>IF(Master_Data!J398="","",EOMONTH(Master_Data!J398,-1)+1)</f>
        <v>45717</v>
      </c>
      <c r="I398" s="19">
        <f>IF(Master_Data!M398="","",EOMONTH(Master_Data!M398,-1)+1)</f>
        <v>45717</v>
      </c>
      <c r="J398" s="19">
        <f>IF(Master_Data!N398="","",EOMONTH(Master_Data!N398,-1)+1)</f>
        <v>45717</v>
      </c>
    </row>
    <row r="399" spans="1:10">
      <c r="A399" s="2" t="s">
        <v>814</v>
      </c>
      <c r="B399" s="2" t="str">
        <f>Master_Data!B399</f>
        <v>Architecture</v>
      </c>
      <c r="C399" s="18">
        <f>IF(Master_Data!H399="","",Master_Data!H399 - WEEKDAY(Master_Data!H399,2) + 1)</f>
        <v>45985</v>
      </c>
      <c r="D399" s="18">
        <f>IF(Master_Data!J399="","",Master_Data!J399 - WEEKDAY(Master_Data!J399,2) + 1)</f>
        <v>45985</v>
      </c>
      <c r="E399" s="18">
        <f>IF(Master_Data!M399="","",Master_Data!M399 - WEEKDAY(Master_Data!M399,2) + 1)</f>
        <v>46013</v>
      </c>
      <c r="F399" s="18">
        <f>IF(Master_Data!N399="","",Master_Data!N399 - WEEKDAY(Master_Data!N399,2) + 1)</f>
        <v>45999</v>
      </c>
      <c r="G399" s="19">
        <f>EOMONTH(Master_Data!H399,-1)+1</f>
        <v>45962</v>
      </c>
      <c r="H399" s="19">
        <f>IF(Master_Data!J399="","",EOMONTH(Master_Data!J399,-1)+1)</f>
        <v>45962</v>
      </c>
      <c r="I399" s="19">
        <f>IF(Master_Data!M399="","",EOMONTH(Master_Data!M399,-1)+1)</f>
        <v>45992</v>
      </c>
      <c r="J399" s="19">
        <f>IF(Master_Data!N399="","",EOMONTH(Master_Data!N399,-1)+1)</f>
        <v>45992</v>
      </c>
    </row>
    <row r="400" spans="1:10">
      <c r="A400" s="2" t="s">
        <v>816</v>
      </c>
      <c r="B400" s="2" t="str">
        <f>Master_Data!B400</f>
        <v>Architecture</v>
      </c>
      <c r="C400" s="18">
        <f>IF(Master_Data!H400="","",Master_Data!H400 - WEEKDAY(Master_Data!H400,2) + 1)</f>
        <v>45985</v>
      </c>
      <c r="D400" s="18">
        <f>IF(Master_Data!J400="","",Master_Data!J400 - WEEKDAY(Master_Data!J400,2) + 1)</f>
        <v>45985</v>
      </c>
      <c r="E400" s="18">
        <f>IF(Master_Data!M400="","",Master_Data!M400 - WEEKDAY(Master_Data!M400,2) + 1)</f>
        <v>46013</v>
      </c>
      <c r="F400" s="18">
        <f>IF(Master_Data!N400="","",Master_Data!N400 - WEEKDAY(Master_Data!N400,2) + 1)</f>
        <v>45999</v>
      </c>
      <c r="G400" s="19">
        <f>EOMONTH(Master_Data!H400,-1)+1</f>
        <v>45962</v>
      </c>
      <c r="H400" s="19">
        <f>IF(Master_Data!J400="","",EOMONTH(Master_Data!J400,-1)+1)</f>
        <v>45962</v>
      </c>
      <c r="I400" s="19">
        <f>IF(Master_Data!M400="","",EOMONTH(Master_Data!M400,-1)+1)</f>
        <v>45992</v>
      </c>
      <c r="J400" s="19">
        <f>IF(Master_Data!N400="","",EOMONTH(Master_Data!N400,-1)+1)</f>
        <v>45992</v>
      </c>
    </row>
    <row r="401" spans="1:10">
      <c r="A401" s="2" t="s">
        <v>818</v>
      </c>
      <c r="B401" s="2" t="str">
        <f>Master_Data!B401</f>
        <v>Architecture</v>
      </c>
      <c r="C401" s="18">
        <f>IF(Master_Data!H401="","",Master_Data!H401 - WEEKDAY(Master_Data!H401,2) + 1)</f>
        <v>45782</v>
      </c>
      <c r="D401" s="18">
        <f>IF(Master_Data!J401="","",Master_Data!J401 - WEEKDAY(Master_Data!J401,2) + 1)</f>
        <v>45796</v>
      </c>
      <c r="E401" s="18">
        <f>IF(Master_Data!M401="","",Master_Data!M401 - WEEKDAY(Master_Data!M401,2) + 1)</f>
        <v>45810</v>
      </c>
      <c r="F401" s="18">
        <f>IF(Master_Data!N401="","",Master_Data!N401 - WEEKDAY(Master_Data!N401,2) + 1)</f>
        <v>45999</v>
      </c>
      <c r="G401" s="19">
        <f>EOMONTH(Master_Data!H401,-1)+1</f>
        <v>45778</v>
      </c>
      <c r="H401" s="19">
        <f>IF(Master_Data!J401="","",EOMONTH(Master_Data!J401,-1)+1)</f>
        <v>45778</v>
      </c>
      <c r="I401" s="19">
        <f>IF(Master_Data!M401="","",EOMONTH(Master_Data!M401,-1)+1)</f>
        <v>45809</v>
      </c>
      <c r="J401" s="19">
        <f>IF(Master_Data!N401="","",EOMONTH(Master_Data!N401,-1)+1)</f>
        <v>45992</v>
      </c>
    </row>
    <row r="402" spans="1:10">
      <c r="A402" s="2" t="s">
        <v>820</v>
      </c>
      <c r="B402" s="2" t="str">
        <f>Master_Data!B402</f>
        <v>Architecture</v>
      </c>
      <c r="C402" s="18">
        <f>IF(Master_Data!H402="","",Master_Data!H402 - WEEKDAY(Master_Data!H402,2) + 1)</f>
        <v>45782</v>
      </c>
      <c r="D402" s="18">
        <f>IF(Master_Data!J402="","",Master_Data!J402 - WEEKDAY(Master_Data!J402,2) + 1)</f>
        <v>45796</v>
      </c>
      <c r="E402" s="18">
        <f>IF(Master_Data!M402="","",Master_Data!M402 - WEEKDAY(Master_Data!M402,2) + 1)</f>
        <v>45810</v>
      </c>
      <c r="F402" s="18">
        <f>IF(Master_Data!N402="","",Master_Data!N402 - WEEKDAY(Master_Data!N402,2) + 1)</f>
        <v>45999</v>
      </c>
      <c r="G402" s="19">
        <f>EOMONTH(Master_Data!H402,-1)+1</f>
        <v>45778</v>
      </c>
      <c r="H402" s="19">
        <f>IF(Master_Data!J402="","",EOMONTH(Master_Data!J402,-1)+1)</f>
        <v>45778</v>
      </c>
      <c r="I402" s="19">
        <f>IF(Master_Data!M402="","",EOMONTH(Master_Data!M402,-1)+1)</f>
        <v>45809</v>
      </c>
      <c r="J402" s="19">
        <f>IF(Master_Data!N402="","",EOMONTH(Master_Data!N402,-1)+1)</f>
        <v>45992</v>
      </c>
    </row>
    <row r="403" spans="1:10">
      <c r="A403" s="2" t="s">
        <v>822</v>
      </c>
      <c r="B403" s="2" t="str">
        <f>Master_Data!B403</f>
        <v>Architecture</v>
      </c>
      <c r="C403" s="18">
        <f>IF(Master_Data!H403="","",Master_Data!H403 - WEEKDAY(Master_Data!H403,2) + 1)</f>
        <v>45985</v>
      </c>
      <c r="D403" s="18">
        <f>IF(Master_Data!J403="","",Master_Data!J403 - WEEKDAY(Master_Data!J403,2) + 1)</f>
        <v>45985</v>
      </c>
      <c r="E403" s="18">
        <f>IF(Master_Data!M403="","",Master_Data!M403 - WEEKDAY(Master_Data!M403,2) + 1)</f>
        <v>46013</v>
      </c>
      <c r="F403" s="18">
        <f>IF(Master_Data!N403="","",Master_Data!N403 - WEEKDAY(Master_Data!N403,2) + 1)</f>
        <v>45992</v>
      </c>
      <c r="G403" s="19">
        <f>EOMONTH(Master_Data!H403,-1)+1</f>
        <v>45962</v>
      </c>
      <c r="H403" s="19">
        <f>IF(Master_Data!J403="","",EOMONTH(Master_Data!J403,-1)+1)</f>
        <v>45962</v>
      </c>
      <c r="I403" s="19">
        <f>IF(Master_Data!M403="","",EOMONTH(Master_Data!M403,-1)+1)</f>
        <v>45992</v>
      </c>
      <c r="J403" s="19">
        <f>IF(Master_Data!N403="","",EOMONTH(Master_Data!N403,-1)+1)</f>
        <v>45992</v>
      </c>
    </row>
    <row r="404" spans="1:10">
      <c r="A404" s="2" t="s">
        <v>824</v>
      </c>
      <c r="B404" s="2" t="str">
        <f>Master_Data!B404</f>
        <v>Architecture</v>
      </c>
      <c r="C404" s="18">
        <f>IF(Master_Data!H404="","",Master_Data!H404 - WEEKDAY(Master_Data!H404,2) + 1)</f>
        <v>45985</v>
      </c>
      <c r="D404" s="18">
        <f>IF(Master_Data!J404="","",Master_Data!J404 - WEEKDAY(Master_Data!J404,2) + 1)</f>
        <v>45978</v>
      </c>
      <c r="E404" s="18">
        <f>IF(Master_Data!M404="","",Master_Data!M404 - WEEKDAY(Master_Data!M404,2) + 1)</f>
        <v>46013</v>
      </c>
      <c r="F404" s="18">
        <f>IF(Master_Data!N404="","",Master_Data!N404 - WEEKDAY(Master_Data!N404,2) + 1)</f>
        <v>45992</v>
      </c>
      <c r="G404" s="19">
        <f>EOMONTH(Master_Data!H404,-1)+1</f>
        <v>45962</v>
      </c>
      <c r="H404" s="19">
        <f>IF(Master_Data!J404="","",EOMONTH(Master_Data!J404,-1)+1)</f>
        <v>45962</v>
      </c>
      <c r="I404" s="19">
        <f>IF(Master_Data!M404="","",EOMONTH(Master_Data!M404,-1)+1)</f>
        <v>45992</v>
      </c>
      <c r="J404" s="19">
        <f>IF(Master_Data!N404="","",EOMONTH(Master_Data!N404,-1)+1)</f>
        <v>45992</v>
      </c>
    </row>
    <row r="405" spans="1:10">
      <c r="A405" s="3" t="s">
        <v>826</v>
      </c>
      <c r="B405" s="2" t="str">
        <f>Master_Data!B405</f>
        <v>Architecture</v>
      </c>
      <c r="C405" s="18">
        <f>IF(Master_Data!H405="","",Master_Data!H405 - WEEKDAY(Master_Data!H405,2) + 1)</f>
        <v>46020</v>
      </c>
      <c r="D405" s="18">
        <f>IF(Master_Data!J405="","",Master_Data!J405 - WEEKDAY(Master_Data!J405,2) + 1)</f>
        <v>45985</v>
      </c>
      <c r="E405" s="18">
        <f>IF(Master_Data!M405="","",Master_Data!M405 - WEEKDAY(Master_Data!M405,2) + 1)</f>
        <v>46048</v>
      </c>
      <c r="F405" s="18">
        <f>IF(Master_Data!N405="","",Master_Data!N405 - WEEKDAY(Master_Data!N405,2) + 1)</f>
        <v>45929</v>
      </c>
      <c r="G405" s="19">
        <f>EOMONTH(Master_Data!H405,-1)+1</f>
        <v>45992</v>
      </c>
      <c r="H405" s="19">
        <f>IF(Master_Data!J405="","",EOMONTH(Master_Data!J405,-1)+1)</f>
        <v>45962</v>
      </c>
      <c r="I405" s="19">
        <f>IF(Master_Data!M405="","",EOMONTH(Master_Data!M405,-1)+1)</f>
        <v>46023</v>
      </c>
      <c r="J405" s="19">
        <f>IF(Master_Data!N405="","",EOMONTH(Master_Data!N405,-1)+1)</f>
        <v>45931</v>
      </c>
    </row>
    <row r="406" spans="1:10">
      <c r="A406" s="3" t="s">
        <v>828</v>
      </c>
      <c r="B406" s="2" t="str">
        <f>Master_Data!B406</f>
        <v>Architecture</v>
      </c>
      <c r="C406" s="18">
        <f>IF(Master_Data!H406="","",Master_Data!H406 - WEEKDAY(Master_Data!H406,2) + 1)</f>
        <v>45719</v>
      </c>
      <c r="D406" s="18">
        <f>IF(Master_Data!J406="","",Master_Data!J406 - WEEKDAY(Master_Data!J406,2) + 1)</f>
        <v>45719</v>
      </c>
      <c r="E406" s="18">
        <f>IF(Master_Data!M406="","",Master_Data!M406 - WEEKDAY(Master_Data!M406,2) + 1)</f>
        <v>45747</v>
      </c>
      <c r="F406" s="18">
        <f>IF(Master_Data!N406="","",Master_Data!N406 - WEEKDAY(Master_Data!N406,2) + 1)</f>
        <v>45740</v>
      </c>
      <c r="G406" s="19">
        <f>EOMONTH(Master_Data!H406,-1)+1</f>
        <v>45717</v>
      </c>
      <c r="H406" s="19">
        <f>IF(Master_Data!J406="","",EOMONTH(Master_Data!J406,-1)+1)</f>
        <v>45717</v>
      </c>
      <c r="I406" s="19">
        <f>IF(Master_Data!M406="","",EOMONTH(Master_Data!M406,-1)+1)</f>
        <v>45717</v>
      </c>
      <c r="J406" s="19">
        <f>IF(Master_Data!N406="","",EOMONTH(Master_Data!N406,-1)+1)</f>
        <v>45717</v>
      </c>
    </row>
    <row r="407" spans="1:10">
      <c r="A407" s="3" t="s">
        <v>830</v>
      </c>
      <c r="B407" s="2" t="str">
        <f>Master_Data!B407</f>
        <v>Architecture</v>
      </c>
      <c r="C407" s="18">
        <f>IF(Master_Data!H407="","",Master_Data!H407 - WEEKDAY(Master_Data!H407,2) + 1)</f>
        <v>45719</v>
      </c>
      <c r="D407" s="18">
        <f>IF(Master_Data!J407="","",Master_Data!J407 - WEEKDAY(Master_Data!J407,2) + 1)</f>
        <v>45719</v>
      </c>
      <c r="E407" s="18">
        <f>IF(Master_Data!M407="","",Master_Data!M407 - WEEKDAY(Master_Data!M407,2) + 1)</f>
        <v>45747</v>
      </c>
      <c r="F407" s="18">
        <f>IF(Master_Data!N407="","",Master_Data!N407 - WEEKDAY(Master_Data!N407,2) + 1)</f>
        <v>45740</v>
      </c>
      <c r="G407" s="19">
        <f>EOMONTH(Master_Data!H407,-1)+1</f>
        <v>45717</v>
      </c>
      <c r="H407" s="19">
        <f>IF(Master_Data!J407="","",EOMONTH(Master_Data!J407,-1)+1)</f>
        <v>45717</v>
      </c>
      <c r="I407" s="19">
        <f>IF(Master_Data!M407="","",EOMONTH(Master_Data!M407,-1)+1)</f>
        <v>45717</v>
      </c>
      <c r="J407" s="19">
        <f>IF(Master_Data!N407="","",EOMONTH(Master_Data!N407,-1)+1)</f>
        <v>45717</v>
      </c>
    </row>
    <row r="408" spans="1:10">
      <c r="A408" s="2" t="s">
        <v>832</v>
      </c>
      <c r="B408" s="2" t="str">
        <f>Master_Data!B408</f>
        <v>Architecture</v>
      </c>
      <c r="C408" s="18">
        <f>IF(Master_Data!H408="","",Master_Data!H408 - WEEKDAY(Master_Data!H408,2) + 1)</f>
        <v>45985</v>
      </c>
      <c r="D408" s="18">
        <f>IF(Master_Data!J408="","",Master_Data!J408 - WEEKDAY(Master_Data!J408,2) + 1)</f>
        <v>45985</v>
      </c>
      <c r="E408" s="18">
        <f>IF(Master_Data!M408="","",Master_Data!M408 - WEEKDAY(Master_Data!M408,2) + 1)</f>
        <v>46013</v>
      </c>
      <c r="F408" s="18">
        <f>IF(Master_Data!N408="","",Master_Data!N408 - WEEKDAY(Master_Data!N408,2) + 1)</f>
        <v>45908</v>
      </c>
      <c r="G408" s="19">
        <f>EOMONTH(Master_Data!H408,-1)+1</f>
        <v>45962</v>
      </c>
      <c r="H408" s="19">
        <f>IF(Master_Data!J408="","",EOMONTH(Master_Data!J408,-1)+1)</f>
        <v>45962</v>
      </c>
      <c r="I408" s="19">
        <f>IF(Master_Data!M408="","",EOMONTH(Master_Data!M408,-1)+1)</f>
        <v>45992</v>
      </c>
      <c r="J408" s="19">
        <f>IF(Master_Data!N408="","",EOMONTH(Master_Data!N408,-1)+1)</f>
        <v>45901</v>
      </c>
    </row>
    <row r="409" spans="1:10">
      <c r="A409" s="2" t="s">
        <v>834</v>
      </c>
      <c r="B409" s="2" t="str">
        <f>Master_Data!B409</f>
        <v>Architecture</v>
      </c>
      <c r="C409" s="18">
        <f>IF(Master_Data!H409="","",Master_Data!H409 - WEEKDAY(Master_Data!H409,2) + 1)</f>
        <v>45985</v>
      </c>
      <c r="D409" s="18">
        <f>IF(Master_Data!J409="","",Master_Data!J409 - WEEKDAY(Master_Data!J409,2) + 1)</f>
        <v>45985</v>
      </c>
      <c r="E409" s="18">
        <f>IF(Master_Data!M409="","",Master_Data!M409 - WEEKDAY(Master_Data!M409,2) + 1)</f>
        <v>46013</v>
      </c>
      <c r="F409" s="18">
        <f>IF(Master_Data!N409="","",Master_Data!N409 - WEEKDAY(Master_Data!N409,2) + 1)</f>
        <v>45908</v>
      </c>
      <c r="G409" s="19">
        <f>EOMONTH(Master_Data!H409,-1)+1</f>
        <v>45962</v>
      </c>
      <c r="H409" s="19">
        <f>IF(Master_Data!J409="","",EOMONTH(Master_Data!J409,-1)+1)</f>
        <v>45962</v>
      </c>
      <c r="I409" s="19">
        <f>IF(Master_Data!M409="","",EOMONTH(Master_Data!M409,-1)+1)</f>
        <v>45992</v>
      </c>
      <c r="J409" s="19">
        <f>IF(Master_Data!N409="","",EOMONTH(Master_Data!N409,-1)+1)</f>
        <v>45901</v>
      </c>
    </row>
    <row r="410" spans="1:10">
      <c r="A410" s="2" t="s">
        <v>836</v>
      </c>
      <c r="B410" s="2" t="str">
        <f>Master_Data!B410</f>
        <v>Architecture</v>
      </c>
      <c r="C410" s="18">
        <f>IF(Master_Data!H410="","",Master_Data!H410 - WEEKDAY(Master_Data!H410,2) + 1)</f>
        <v>45985</v>
      </c>
      <c r="D410" s="18">
        <f>IF(Master_Data!J410="","",Master_Data!J410 - WEEKDAY(Master_Data!J410,2) + 1)</f>
        <v>45985</v>
      </c>
      <c r="E410" s="18">
        <f>IF(Master_Data!M410="","",Master_Data!M410 - WEEKDAY(Master_Data!M410,2) + 1)</f>
        <v>46013</v>
      </c>
      <c r="F410" s="18">
        <f>IF(Master_Data!N410="","",Master_Data!N410 - WEEKDAY(Master_Data!N410,2) + 1)</f>
        <v>45908</v>
      </c>
      <c r="G410" s="19">
        <f>EOMONTH(Master_Data!H410,-1)+1</f>
        <v>45962</v>
      </c>
      <c r="H410" s="19">
        <f>IF(Master_Data!J410="","",EOMONTH(Master_Data!J410,-1)+1)</f>
        <v>45962</v>
      </c>
      <c r="I410" s="19">
        <f>IF(Master_Data!M410="","",EOMONTH(Master_Data!M410,-1)+1)</f>
        <v>45992</v>
      </c>
      <c r="J410" s="19">
        <f>IF(Master_Data!N410="","",EOMONTH(Master_Data!N410,-1)+1)</f>
        <v>45901</v>
      </c>
    </row>
    <row r="411" spans="1:10">
      <c r="A411" s="2" t="s">
        <v>838</v>
      </c>
      <c r="B411" s="2" t="str">
        <f>Master_Data!B411</f>
        <v>Architecture</v>
      </c>
      <c r="C411" s="18">
        <f>IF(Master_Data!H411="","",Master_Data!H411 - WEEKDAY(Master_Data!H411,2) + 1)</f>
        <v>45789</v>
      </c>
      <c r="D411" s="18">
        <f>IF(Master_Data!J411="","",Master_Data!J411 - WEEKDAY(Master_Data!J411,2) + 1)</f>
        <v>45796</v>
      </c>
      <c r="E411" s="18">
        <f>IF(Master_Data!M411="","",Master_Data!M411 - WEEKDAY(Master_Data!M411,2) + 1)</f>
        <v>45817</v>
      </c>
      <c r="F411" s="18">
        <f>IF(Master_Data!N411="","",Master_Data!N411 - WEEKDAY(Master_Data!N411,2) + 1)</f>
        <v>45908</v>
      </c>
      <c r="G411" s="19">
        <f>EOMONTH(Master_Data!H411,-1)+1</f>
        <v>45778</v>
      </c>
      <c r="H411" s="19">
        <f>IF(Master_Data!J411="","",EOMONTH(Master_Data!J411,-1)+1)</f>
        <v>45778</v>
      </c>
      <c r="I411" s="19">
        <f>IF(Master_Data!M411="","",EOMONTH(Master_Data!M411,-1)+1)</f>
        <v>45809</v>
      </c>
      <c r="J411" s="19">
        <f>IF(Master_Data!N411="","",EOMONTH(Master_Data!N411,-1)+1)</f>
        <v>45901</v>
      </c>
    </row>
    <row r="412" spans="1:10">
      <c r="A412" s="2" t="s">
        <v>840</v>
      </c>
      <c r="B412" s="2" t="str">
        <f>Master_Data!B412</f>
        <v>Architecture</v>
      </c>
      <c r="C412" s="18">
        <f>IF(Master_Data!H412="","",Master_Data!H412 - WEEKDAY(Master_Data!H412,2) + 1)</f>
        <v>45789</v>
      </c>
      <c r="D412" s="18">
        <f>IF(Master_Data!J412="","",Master_Data!J412 - WEEKDAY(Master_Data!J412,2) + 1)</f>
        <v>45796</v>
      </c>
      <c r="E412" s="18">
        <f>IF(Master_Data!M412="","",Master_Data!M412 - WEEKDAY(Master_Data!M412,2) + 1)</f>
        <v>45817</v>
      </c>
      <c r="F412" s="18">
        <f>IF(Master_Data!N412="","",Master_Data!N412 - WEEKDAY(Master_Data!N412,2) + 1)</f>
        <v>45908</v>
      </c>
      <c r="G412" s="19">
        <f>EOMONTH(Master_Data!H412,-1)+1</f>
        <v>45778</v>
      </c>
      <c r="H412" s="19">
        <f>IF(Master_Data!J412="","",EOMONTH(Master_Data!J412,-1)+1)</f>
        <v>45778</v>
      </c>
      <c r="I412" s="19">
        <f>IF(Master_Data!M412="","",EOMONTH(Master_Data!M412,-1)+1)</f>
        <v>45809</v>
      </c>
      <c r="J412" s="19">
        <f>IF(Master_Data!N412="","",EOMONTH(Master_Data!N412,-1)+1)</f>
        <v>45901</v>
      </c>
    </row>
    <row r="413" spans="1:10">
      <c r="A413" s="3" t="s">
        <v>842</v>
      </c>
      <c r="B413" s="2" t="str">
        <f>Master_Data!B413</f>
        <v>Architecture</v>
      </c>
      <c r="C413" s="18">
        <f>IF(Master_Data!H413="","",Master_Data!H413 - WEEKDAY(Master_Data!H413,2) + 1)</f>
        <v>45992</v>
      </c>
      <c r="D413" s="18">
        <f>IF(Master_Data!J413="","",Master_Data!J413 - WEEKDAY(Master_Data!J413,2) + 1)</f>
        <v>45985</v>
      </c>
      <c r="E413" s="18">
        <f>IF(Master_Data!M413="","",Master_Data!M413 - WEEKDAY(Master_Data!M413,2) + 1)</f>
        <v>46020</v>
      </c>
      <c r="F413" s="18">
        <f>IF(Master_Data!N413="","",Master_Data!N413 - WEEKDAY(Master_Data!N413,2) + 1)</f>
        <v>45992</v>
      </c>
      <c r="G413" s="19">
        <f>EOMONTH(Master_Data!H413,-1)+1</f>
        <v>45992</v>
      </c>
      <c r="H413" s="19">
        <f>IF(Master_Data!J413="","",EOMONTH(Master_Data!J413,-1)+1)</f>
        <v>45962</v>
      </c>
      <c r="I413" s="19">
        <f>IF(Master_Data!M413="","",EOMONTH(Master_Data!M413,-1)+1)</f>
        <v>45992</v>
      </c>
      <c r="J413" s="19">
        <f>IF(Master_Data!N413="","",EOMONTH(Master_Data!N413,-1)+1)</f>
        <v>45992</v>
      </c>
    </row>
    <row r="414" spans="1:10">
      <c r="A414" s="3" t="s">
        <v>844</v>
      </c>
      <c r="B414" s="2" t="str">
        <f>Master_Data!B414</f>
        <v>Architecture</v>
      </c>
      <c r="C414" s="18">
        <f>IF(Master_Data!H414="","",Master_Data!H414 - WEEKDAY(Master_Data!H414,2) + 1)</f>
        <v>45796</v>
      </c>
      <c r="D414" s="18">
        <f>IF(Master_Data!J414="","",Master_Data!J414 - WEEKDAY(Master_Data!J414,2) + 1)</f>
        <v>45831</v>
      </c>
      <c r="E414" s="18">
        <f>IF(Master_Data!M414="","",Master_Data!M414 - WEEKDAY(Master_Data!M414,2) + 1)</f>
        <v>45824</v>
      </c>
      <c r="F414" s="18">
        <f>IF(Master_Data!N414="","",Master_Data!N414 - WEEKDAY(Master_Data!N414,2) + 1)</f>
        <v>46006</v>
      </c>
      <c r="G414" s="19">
        <f>EOMONTH(Master_Data!H414,-1)+1</f>
        <v>45778</v>
      </c>
      <c r="H414" s="19">
        <f>IF(Master_Data!J414="","",EOMONTH(Master_Data!J414,-1)+1)</f>
        <v>45809</v>
      </c>
      <c r="I414" s="19">
        <f>IF(Master_Data!M414="","",EOMONTH(Master_Data!M414,-1)+1)</f>
        <v>45809</v>
      </c>
      <c r="J414" s="19">
        <f>IF(Master_Data!N414="","",EOMONTH(Master_Data!N414,-1)+1)</f>
        <v>45992</v>
      </c>
    </row>
    <row r="415" spans="1:10">
      <c r="A415" s="3" t="s">
        <v>846</v>
      </c>
      <c r="B415" s="2" t="str">
        <f>Master_Data!B415</f>
        <v>Architecture</v>
      </c>
      <c r="C415" s="18">
        <f>IF(Master_Data!H415="","",Master_Data!H415 - WEEKDAY(Master_Data!H415,2) + 1)</f>
        <v>45796</v>
      </c>
      <c r="D415" s="18">
        <f>IF(Master_Data!J415="","",Master_Data!J415 - WEEKDAY(Master_Data!J415,2) + 1)</f>
        <v>45831</v>
      </c>
      <c r="E415" s="18">
        <f>IF(Master_Data!M415="","",Master_Data!M415 - WEEKDAY(Master_Data!M415,2) + 1)</f>
        <v>45824</v>
      </c>
      <c r="F415" s="18">
        <f>IF(Master_Data!N415="","",Master_Data!N415 - WEEKDAY(Master_Data!N415,2) + 1)</f>
        <v>46006</v>
      </c>
      <c r="G415" s="19">
        <f>EOMONTH(Master_Data!H415,-1)+1</f>
        <v>45778</v>
      </c>
      <c r="H415" s="19">
        <f>IF(Master_Data!J415="","",EOMONTH(Master_Data!J415,-1)+1)</f>
        <v>45809</v>
      </c>
      <c r="I415" s="19">
        <f>IF(Master_Data!M415="","",EOMONTH(Master_Data!M415,-1)+1)</f>
        <v>45809</v>
      </c>
      <c r="J415" s="19">
        <f>IF(Master_Data!N415="","",EOMONTH(Master_Data!N415,-1)+1)</f>
        <v>45992</v>
      </c>
    </row>
    <row r="416" spans="1:10">
      <c r="A416" s="3" t="s">
        <v>848</v>
      </c>
      <c r="B416" s="2" t="str">
        <f>Master_Data!B416</f>
        <v>Architecture</v>
      </c>
      <c r="C416" s="18">
        <f>IF(Master_Data!H416="","",Master_Data!H416 - WEEKDAY(Master_Data!H416,2) + 1)</f>
        <v>45796</v>
      </c>
      <c r="D416" s="18">
        <f>IF(Master_Data!J416="","",Master_Data!J416 - WEEKDAY(Master_Data!J416,2) + 1)</f>
        <v>45831</v>
      </c>
      <c r="E416" s="18">
        <f>IF(Master_Data!M416="","",Master_Data!M416 - WEEKDAY(Master_Data!M416,2) + 1)</f>
        <v>45824</v>
      </c>
      <c r="F416" s="18">
        <f>IF(Master_Data!N416="","",Master_Data!N416 - WEEKDAY(Master_Data!N416,2) + 1)</f>
        <v>45838</v>
      </c>
      <c r="G416" s="19">
        <f>EOMONTH(Master_Data!H416,-1)+1</f>
        <v>45778</v>
      </c>
      <c r="H416" s="19">
        <f>IF(Master_Data!J416="","",EOMONTH(Master_Data!J416,-1)+1)</f>
        <v>45809</v>
      </c>
      <c r="I416" s="19">
        <f>IF(Master_Data!M416="","",EOMONTH(Master_Data!M416,-1)+1)</f>
        <v>45809</v>
      </c>
      <c r="J416" s="19">
        <f>IF(Master_Data!N416="","",EOMONTH(Master_Data!N416,-1)+1)</f>
        <v>45839</v>
      </c>
    </row>
    <row r="417" spans="1:10">
      <c r="A417" s="3" t="s">
        <v>850</v>
      </c>
      <c r="B417" s="2" t="str">
        <f>Master_Data!B417</f>
        <v>Architecture</v>
      </c>
      <c r="C417" s="18">
        <f>IF(Master_Data!H417="","",Master_Data!H417 - WEEKDAY(Master_Data!H417,2) + 1)</f>
        <v>45831</v>
      </c>
      <c r="D417" s="18">
        <f>IF(Master_Data!J417="","",Master_Data!J417 - WEEKDAY(Master_Data!J417,2) + 1)</f>
        <v>45831</v>
      </c>
      <c r="E417" s="18">
        <f>IF(Master_Data!M417="","",Master_Data!M417 - WEEKDAY(Master_Data!M417,2) + 1)</f>
        <v>45859</v>
      </c>
      <c r="F417" s="18">
        <f>IF(Master_Data!N417="","",Master_Data!N417 - WEEKDAY(Master_Data!N417,2) + 1)</f>
        <v>45838</v>
      </c>
      <c r="G417" s="19">
        <f>EOMONTH(Master_Data!H417,-1)+1</f>
        <v>45809</v>
      </c>
      <c r="H417" s="19">
        <f>IF(Master_Data!J417="","",EOMONTH(Master_Data!J417,-1)+1)</f>
        <v>45809</v>
      </c>
      <c r="I417" s="19">
        <f>IF(Master_Data!M417="","",EOMONTH(Master_Data!M417,-1)+1)</f>
        <v>45839</v>
      </c>
      <c r="J417" s="19">
        <f>IF(Master_Data!N417="","",EOMONTH(Master_Data!N417,-1)+1)</f>
        <v>45839</v>
      </c>
    </row>
    <row r="418" spans="1:10">
      <c r="A418" s="3" t="s">
        <v>852</v>
      </c>
      <c r="B418" s="2" t="str">
        <f>Master_Data!B418</f>
        <v>Architecture</v>
      </c>
      <c r="C418" s="18">
        <f>IF(Master_Data!H418="","",Master_Data!H418 - WEEKDAY(Master_Data!H418,2) + 1)</f>
        <v>45810</v>
      </c>
      <c r="D418" s="18">
        <f>IF(Master_Data!J418="","",Master_Data!J418 - WEEKDAY(Master_Data!J418,2) + 1)</f>
        <v>45831</v>
      </c>
      <c r="E418" s="18">
        <f>IF(Master_Data!M418="","",Master_Data!M418 - WEEKDAY(Master_Data!M418,2) + 1)</f>
        <v>45838</v>
      </c>
      <c r="F418" s="18">
        <f>IF(Master_Data!N418="","",Master_Data!N418 - WEEKDAY(Master_Data!N418,2) + 1)</f>
        <v>45838</v>
      </c>
      <c r="G418" s="19">
        <f>EOMONTH(Master_Data!H418,-1)+1</f>
        <v>45809</v>
      </c>
      <c r="H418" s="19">
        <f>IF(Master_Data!J418="","",EOMONTH(Master_Data!J418,-1)+1)</f>
        <v>45809</v>
      </c>
      <c r="I418" s="19">
        <f>IF(Master_Data!M418="","",EOMONTH(Master_Data!M418,-1)+1)</f>
        <v>45839</v>
      </c>
      <c r="J418" s="19">
        <f>IF(Master_Data!N418="","",EOMONTH(Master_Data!N418,-1)+1)</f>
        <v>45839</v>
      </c>
    </row>
    <row r="419" spans="1:10">
      <c r="A419" s="2" t="s">
        <v>853</v>
      </c>
      <c r="B419" s="2" t="str">
        <f>Master_Data!B419</f>
        <v>Architecture</v>
      </c>
      <c r="C419" s="18">
        <f>IF(Master_Data!H419="","",Master_Data!H419 - WEEKDAY(Master_Data!H419,2) + 1)</f>
        <v>45999</v>
      </c>
      <c r="D419" s="18">
        <f>IF(Master_Data!J419="","",Master_Data!J419 - WEEKDAY(Master_Data!J419,2) + 1)</f>
        <v>46090</v>
      </c>
      <c r="E419" s="18">
        <f>IF(Master_Data!M419="","",Master_Data!M419 - WEEKDAY(Master_Data!M419,2) + 1)</f>
        <v>46027</v>
      </c>
      <c r="F419" s="18">
        <f>IF(Master_Data!N419="","",Master_Data!N419 - WEEKDAY(Master_Data!N419,2) + 1)</f>
        <v>46132</v>
      </c>
      <c r="G419" s="19">
        <f>EOMONTH(Master_Data!H419,-1)+1</f>
        <v>45992</v>
      </c>
      <c r="H419" s="19">
        <f>IF(Master_Data!J419="","",EOMONTH(Master_Data!J419,-1)+1)</f>
        <v>46082</v>
      </c>
      <c r="I419" s="19">
        <f>IF(Master_Data!M419="","",EOMONTH(Master_Data!M419,-1)+1)</f>
        <v>46023</v>
      </c>
      <c r="J419" s="19">
        <f>IF(Master_Data!N419="","",EOMONTH(Master_Data!N419,-1)+1)</f>
        <v>46113</v>
      </c>
    </row>
    <row r="420" spans="1:10">
      <c r="A420" s="5" t="s">
        <v>855</v>
      </c>
      <c r="B420" s="2" t="str">
        <f>Master_Data!B420</f>
        <v>Architecture</v>
      </c>
      <c r="C420" s="18">
        <f>IF(Master_Data!H420="","",Master_Data!H420 - WEEKDAY(Master_Data!H420,2) + 1)</f>
        <v>45992</v>
      </c>
      <c r="D420" s="18">
        <f>IF(Master_Data!J420="","",Master_Data!J420 - WEEKDAY(Master_Data!J420,2) + 1)</f>
        <v>45992</v>
      </c>
      <c r="E420" s="18">
        <f>IF(Master_Data!M420="","",Master_Data!M420 - WEEKDAY(Master_Data!M420,2) + 1)</f>
        <v>46020</v>
      </c>
      <c r="F420" s="18">
        <f>IF(Master_Data!N420="","",Master_Data!N420 - WEEKDAY(Master_Data!N420,2) + 1)</f>
        <v>46132</v>
      </c>
      <c r="G420" s="19">
        <f>EOMONTH(Master_Data!H420,-1)+1</f>
        <v>45992</v>
      </c>
      <c r="H420" s="19">
        <f>IF(Master_Data!J420="","",EOMONTH(Master_Data!J420,-1)+1)</f>
        <v>45992</v>
      </c>
      <c r="I420" s="19">
        <f>IF(Master_Data!M420="","",EOMONTH(Master_Data!M420,-1)+1)</f>
        <v>45992</v>
      </c>
      <c r="J420" s="19">
        <f>IF(Master_Data!N420="","",EOMONTH(Master_Data!N420,-1)+1)</f>
        <v>46113</v>
      </c>
    </row>
    <row r="421" spans="1:10">
      <c r="A421" s="5" t="s">
        <v>857</v>
      </c>
      <c r="B421" s="2" t="str">
        <f>Master_Data!B421</f>
        <v>Architecture</v>
      </c>
      <c r="C421" s="18">
        <f>IF(Master_Data!H421="","",Master_Data!H421 - WEEKDAY(Master_Data!H421,2) + 1)</f>
        <v>45992</v>
      </c>
      <c r="D421" s="18">
        <f>IF(Master_Data!J421="","",Master_Data!J421 - WEEKDAY(Master_Data!J421,2) + 1)</f>
        <v>45992</v>
      </c>
      <c r="E421" s="18">
        <f>IF(Master_Data!M421="","",Master_Data!M421 - WEEKDAY(Master_Data!M421,2) + 1)</f>
        <v>46020</v>
      </c>
      <c r="F421" s="18">
        <f>IF(Master_Data!N421="","",Master_Data!N421 - WEEKDAY(Master_Data!N421,2) + 1)</f>
        <v>46132</v>
      </c>
      <c r="G421" s="19">
        <f>EOMONTH(Master_Data!H421,-1)+1</f>
        <v>45992</v>
      </c>
      <c r="H421" s="19">
        <f>IF(Master_Data!J421="","",EOMONTH(Master_Data!J421,-1)+1)</f>
        <v>45992</v>
      </c>
      <c r="I421" s="19">
        <f>IF(Master_Data!M421="","",EOMONTH(Master_Data!M421,-1)+1)</f>
        <v>45992</v>
      </c>
      <c r="J421" s="19">
        <f>IF(Master_Data!N421="","",EOMONTH(Master_Data!N421,-1)+1)</f>
        <v>46113</v>
      </c>
    </row>
    <row r="422" spans="1:10">
      <c r="A422" s="3" t="s">
        <v>859</v>
      </c>
      <c r="B422" s="2" t="str">
        <f>Master_Data!B422</f>
        <v>Architecture</v>
      </c>
      <c r="C422" s="18">
        <f>IF(Master_Data!H422="","",Master_Data!H422 - WEEKDAY(Master_Data!H422,2) + 1)</f>
        <v>45719</v>
      </c>
      <c r="D422" s="18">
        <f>IF(Master_Data!J422="","",Master_Data!J422 - WEEKDAY(Master_Data!J422,2) + 1)</f>
        <v>45719</v>
      </c>
      <c r="E422" s="18">
        <f>IF(Master_Data!M422="","",Master_Data!M422 - WEEKDAY(Master_Data!M422,2) + 1)</f>
        <v>45747</v>
      </c>
      <c r="F422" s="18">
        <f>IF(Master_Data!N422="","",Master_Data!N422 - WEEKDAY(Master_Data!N422,2) + 1)</f>
        <v>45740</v>
      </c>
      <c r="G422" s="19">
        <f>EOMONTH(Master_Data!H422,-1)+1</f>
        <v>45717</v>
      </c>
      <c r="H422" s="19">
        <f>IF(Master_Data!J422="","",EOMONTH(Master_Data!J422,-1)+1)</f>
        <v>45717</v>
      </c>
      <c r="I422" s="19">
        <f>IF(Master_Data!M422="","",EOMONTH(Master_Data!M422,-1)+1)</f>
        <v>45717</v>
      </c>
      <c r="J422" s="19">
        <f>IF(Master_Data!N422="","",EOMONTH(Master_Data!N422,-1)+1)</f>
        <v>45717</v>
      </c>
    </row>
    <row r="423" spans="1:10">
      <c r="A423" s="3" t="s">
        <v>861</v>
      </c>
      <c r="B423" s="2" t="str">
        <f>Master_Data!B423</f>
        <v>Architecture</v>
      </c>
      <c r="C423" s="18">
        <f>IF(Master_Data!H423="","",Master_Data!H423 - WEEKDAY(Master_Data!H423,2) + 1)</f>
        <v>45719</v>
      </c>
      <c r="D423" s="18">
        <f>IF(Master_Data!J423="","",Master_Data!J423 - WEEKDAY(Master_Data!J423,2) + 1)</f>
        <v>45719</v>
      </c>
      <c r="E423" s="18">
        <f>IF(Master_Data!M423="","",Master_Data!M423 - WEEKDAY(Master_Data!M423,2) + 1)</f>
        <v>45747</v>
      </c>
      <c r="F423" s="18">
        <f>IF(Master_Data!N423="","",Master_Data!N423 - WEEKDAY(Master_Data!N423,2) + 1)</f>
        <v>45740</v>
      </c>
      <c r="G423" s="19">
        <f>EOMONTH(Master_Data!H423,-1)+1</f>
        <v>45717</v>
      </c>
      <c r="H423" s="19">
        <f>IF(Master_Data!J423="","",EOMONTH(Master_Data!J423,-1)+1)</f>
        <v>45717</v>
      </c>
      <c r="I423" s="19">
        <f>IF(Master_Data!M423="","",EOMONTH(Master_Data!M423,-1)+1)</f>
        <v>45717</v>
      </c>
      <c r="J423" s="19">
        <f>IF(Master_Data!N423="","",EOMONTH(Master_Data!N423,-1)+1)</f>
        <v>45717</v>
      </c>
    </row>
    <row r="424" spans="1:10">
      <c r="A424" s="2" t="s">
        <v>863</v>
      </c>
      <c r="B424" s="2" t="str">
        <f>Master_Data!B424</f>
        <v>Architecture</v>
      </c>
      <c r="C424" s="18">
        <f>IF(Master_Data!H424="","",Master_Data!H424 - WEEKDAY(Master_Data!H424,2) + 1)</f>
        <v>45992</v>
      </c>
      <c r="D424" s="18">
        <f>IF(Master_Data!J424="","",Master_Data!J424 - WEEKDAY(Master_Data!J424,2) + 1)</f>
        <v>45992</v>
      </c>
      <c r="E424" s="18">
        <f>IF(Master_Data!M424="","",Master_Data!M424 - WEEKDAY(Master_Data!M424,2) + 1)</f>
        <v>46020</v>
      </c>
      <c r="F424" s="18">
        <f>IF(Master_Data!N424="","",Master_Data!N424 - WEEKDAY(Master_Data!N424,2) + 1)</f>
        <v>45908</v>
      </c>
      <c r="G424" s="19">
        <f>EOMONTH(Master_Data!H424,-1)+1</f>
        <v>45992</v>
      </c>
      <c r="H424" s="19">
        <f>IF(Master_Data!J424="","",EOMONTH(Master_Data!J424,-1)+1)</f>
        <v>45992</v>
      </c>
      <c r="I424" s="19">
        <f>IF(Master_Data!M424="","",EOMONTH(Master_Data!M424,-1)+1)</f>
        <v>46023</v>
      </c>
      <c r="J424" s="19">
        <f>IF(Master_Data!N424="","",EOMONTH(Master_Data!N424,-1)+1)</f>
        <v>45901</v>
      </c>
    </row>
    <row r="425" spans="1:10">
      <c r="A425" s="2" t="s">
        <v>865</v>
      </c>
      <c r="B425" s="2" t="str">
        <f>Master_Data!B425</f>
        <v>Architecture</v>
      </c>
      <c r="C425" s="18">
        <f>IF(Master_Data!H425="","",Master_Data!H425 - WEEKDAY(Master_Data!H425,2) + 1)</f>
        <v>45992</v>
      </c>
      <c r="D425" s="18">
        <f>IF(Master_Data!J425="","",Master_Data!J425 - WEEKDAY(Master_Data!J425,2) + 1)</f>
        <v>45992</v>
      </c>
      <c r="E425" s="18">
        <f>IF(Master_Data!M425="","",Master_Data!M425 - WEEKDAY(Master_Data!M425,2) + 1)</f>
        <v>46020</v>
      </c>
      <c r="F425" s="18">
        <f>IF(Master_Data!N425="","",Master_Data!N425 - WEEKDAY(Master_Data!N425,2) + 1)</f>
        <v>45908</v>
      </c>
      <c r="G425" s="19">
        <f>EOMONTH(Master_Data!H425,-1)+1</f>
        <v>45992</v>
      </c>
      <c r="H425" s="19">
        <f>IF(Master_Data!J425="","",EOMONTH(Master_Data!J425,-1)+1)</f>
        <v>45992</v>
      </c>
      <c r="I425" s="19">
        <f>IF(Master_Data!M425="","",EOMONTH(Master_Data!M425,-1)+1)</f>
        <v>46023</v>
      </c>
      <c r="J425" s="19">
        <f>IF(Master_Data!N425="","",EOMONTH(Master_Data!N425,-1)+1)</f>
        <v>45901</v>
      </c>
    </row>
    <row r="426" spans="1:10">
      <c r="A426" s="2" t="s">
        <v>867</v>
      </c>
      <c r="B426" s="2" t="str">
        <f>Master_Data!B426</f>
        <v>Architecture</v>
      </c>
      <c r="C426" s="18">
        <f>IF(Master_Data!H426="","",Master_Data!H426 - WEEKDAY(Master_Data!H426,2) + 1)</f>
        <v>45992</v>
      </c>
      <c r="D426" s="18">
        <f>IF(Master_Data!J426="","",Master_Data!J426 - WEEKDAY(Master_Data!J426,2) + 1)</f>
        <v>45992</v>
      </c>
      <c r="E426" s="18">
        <f>IF(Master_Data!M426="","",Master_Data!M426 - WEEKDAY(Master_Data!M426,2) + 1)</f>
        <v>46020</v>
      </c>
      <c r="F426" s="18">
        <f>IF(Master_Data!N426="","",Master_Data!N426 - WEEKDAY(Master_Data!N426,2) + 1)</f>
        <v>45908</v>
      </c>
      <c r="G426" s="19">
        <f>EOMONTH(Master_Data!H426,-1)+1</f>
        <v>45992</v>
      </c>
      <c r="H426" s="19">
        <f>IF(Master_Data!J426="","",EOMONTH(Master_Data!J426,-1)+1)</f>
        <v>45992</v>
      </c>
      <c r="I426" s="19">
        <f>IF(Master_Data!M426="","",EOMONTH(Master_Data!M426,-1)+1)</f>
        <v>46023</v>
      </c>
      <c r="J426" s="19">
        <f>IF(Master_Data!N426="","",EOMONTH(Master_Data!N426,-1)+1)</f>
        <v>45901</v>
      </c>
    </row>
    <row r="427" spans="1:10">
      <c r="A427" s="2" t="s">
        <v>869</v>
      </c>
      <c r="B427" s="2" t="str">
        <f>Master_Data!B427</f>
        <v>Architecture</v>
      </c>
      <c r="C427" s="18">
        <f>IF(Master_Data!H427="","",Master_Data!H427 - WEEKDAY(Master_Data!H427,2) + 1)</f>
        <v>45789</v>
      </c>
      <c r="D427" s="18">
        <f>IF(Master_Data!J427="","",Master_Data!J427 - WEEKDAY(Master_Data!J427,2) + 1)</f>
        <v>45810</v>
      </c>
      <c r="E427" s="18">
        <f>IF(Master_Data!M427="","",Master_Data!M427 - WEEKDAY(Master_Data!M427,2) + 1)</f>
        <v>45817</v>
      </c>
      <c r="F427" s="18">
        <f>IF(Master_Data!N427="","",Master_Data!N427 - WEEKDAY(Master_Data!N427,2) + 1)</f>
        <v>45908</v>
      </c>
      <c r="G427" s="19">
        <f>EOMONTH(Master_Data!H427,-1)+1</f>
        <v>45778</v>
      </c>
      <c r="H427" s="19">
        <f>IF(Master_Data!J427="","",EOMONTH(Master_Data!J427,-1)+1)</f>
        <v>45809</v>
      </c>
      <c r="I427" s="19">
        <f>IF(Master_Data!M427="","",EOMONTH(Master_Data!M427,-1)+1)</f>
        <v>45809</v>
      </c>
      <c r="J427" s="19">
        <f>IF(Master_Data!N427="","",EOMONTH(Master_Data!N427,-1)+1)</f>
        <v>45901</v>
      </c>
    </row>
    <row r="428" spans="1:10">
      <c r="A428" s="2" t="s">
        <v>871</v>
      </c>
      <c r="B428" s="2" t="str">
        <f>Master_Data!B428</f>
        <v>Architecture</v>
      </c>
      <c r="C428" s="18">
        <f>IF(Master_Data!H428="","",Master_Data!H428 - WEEKDAY(Master_Data!H428,2) + 1)</f>
        <v>45789</v>
      </c>
      <c r="D428" s="18">
        <f>IF(Master_Data!J428="","",Master_Data!J428 - WEEKDAY(Master_Data!J428,2) + 1)</f>
        <v>45810</v>
      </c>
      <c r="E428" s="18">
        <f>IF(Master_Data!M428="","",Master_Data!M428 - WEEKDAY(Master_Data!M428,2) + 1)</f>
        <v>45817</v>
      </c>
      <c r="F428" s="18">
        <f>IF(Master_Data!N428="","",Master_Data!N428 - WEEKDAY(Master_Data!N428,2) + 1)</f>
        <v>45908</v>
      </c>
      <c r="G428" s="19">
        <f>EOMONTH(Master_Data!H428,-1)+1</f>
        <v>45778</v>
      </c>
      <c r="H428" s="19">
        <f>IF(Master_Data!J428="","",EOMONTH(Master_Data!J428,-1)+1)</f>
        <v>45809</v>
      </c>
      <c r="I428" s="19">
        <f>IF(Master_Data!M428="","",EOMONTH(Master_Data!M428,-1)+1)</f>
        <v>45809</v>
      </c>
      <c r="J428" s="19">
        <f>IF(Master_Data!N428="","",EOMONTH(Master_Data!N428,-1)+1)</f>
        <v>45901</v>
      </c>
    </row>
    <row r="429" spans="1:10">
      <c r="A429" s="3" t="s">
        <v>873</v>
      </c>
      <c r="B429" s="2" t="str">
        <f>Master_Data!B429</f>
        <v>Architecture</v>
      </c>
      <c r="C429" s="18">
        <f>IF(Master_Data!H429="","",Master_Data!H429 - WEEKDAY(Master_Data!H429,2) + 1)</f>
        <v>45985</v>
      </c>
      <c r="D429" s="18">
        <f>IF(Master_Data!J429="","",Master_Data!J429 - WEEKDAY(Master_Data!J429,2) + 1)</f>
        <v>45950</v>
      </c>
      <c r="E429" s="18">
        <f>IF(Master_Data!M429="","",Master_Data!M429 - WEEKDAY(Master_Data!M429,2) + 1)</f>
        <v>46013</v>
      </c>
      <c r="F429" s="18">
        <f>IF(Master_Data!N429="","",Master_Data!N429 - WEEKDAY(Master_Data!N429,2) + 1)</f>
        <v>45845</v>
      </c>
      <c r="G429" s="19">
        <f>EOMONTH(Master_Data!H429,-1)+1</f>
        <v>45962</v>
      </c>
      <c r="H429" s="19">
        <f>IF(Master_Data!J429="","",EOMONTH(Master_Data!J429,-1)+1)</f>
        <v>45931</v>
      </c>
      <c r="I429" s="19">
        <f>IF(Master_Data!M429="","",EOMONTH(Master_Data!M429,-1)+1)</f>
        <v>45992</v>
      </c>
      <c r="J429" s="19">
        <f>IF(Master_Data!N429="","",EOMONTH(Master_Data!N429,-1)+1)</f>
        <v>45839</v>
      </c>
    </row>
    <row r="430" spans="1:10">
      <c r="A430" s="2" t="s">
        <v>875</v>
      </c>
      <c r="B430" s="2" t="str">
        <f>Master_Data!B430</f>
        <v>Architecture</v>
      </c>
      <c r="C430" s="18">
        <f>IF(Master_Data!H430="","",Master_Data!H430 - WEEKDAY(Master_Data!H430,2) + 1)</f>
        <v>45999</v>
      </c>
      <c r="D430" s="18">
        <f>IF(Master_Data!J430="","",Master_Data!J430 - WEEKDAY(Master_Data!J430,2) + 1)</f>
        <v>46083</v>
      </c>
      <c r="E430" s="18">
        <f>IF(Master_Data!M430="","",Master_Data!M430 - WEEKDAY(Master_Data!M430,2) + 1)</f>
        <v>46027</v>
      </c>
      <c r="F430" s="18">
        <f>IF(Master_Data!N430="","",Master_Data!N430 - WEEKDAY(Master_Data!N430,2) + 1)</f>
        <v>46132</v>
      </c>
      <c r="G430" s="19">
        <f>EOMONTH(Master_Data!H430,-1)+1</f>
        <v>45992</v>
      </c>
      <c r="H430" s="19">
        <f>IF(Master_Data!J430="","",EOMONTH(Master_Data!J430,-1)+1)</f>
        <v>46082</v>
      </c>
      <c r="I430" s="19">
        <f>IF(Master_Data!M430="","",EOMONTH(Master_Data!M430,-1)+1)</f>
        <v>46023</v>
      </c>
      <c r="J430" s="19">
        <f>IF(Master_Data!N430="","",EOMONTH(Master_Data!N430,-1)+1)</f>
        <v>46113</v>
      </c>
    </row>
    <row r="431" spans="1:10">
      <c r="A431" s="2" t="s">
        <v>877</v>
      </c>
      <c r="B431" s="2" t="str">
        <f>Master_Data!B431</f>
        <v>Architecture</v>
      </c>
      <c r="C431" s="18">
        <f>IF(Master_Data!H431="","",Master_Data!H431 - WEEKDAY(Master_Data!H431,2) + 1)</f>
        <v>45992</v>
      </c>
      <c r="D431" s="18">
        <f>IF(Master_Data!J431="","",Master_Data!J431 - WEEKDAY(Master_Data!J431,2) + 1)</f>
        <v>45992</v>
      </c>
      <c r="E431" s="18">
        <f>IF(Master_Data!M431="","",Master_Data!M431 - WEEKDAY(Master_Data!M431,2) + 1)</f>
        <v>46020</v>
      </c>
      <c r="F431" s="18">
        <f>IF(Master_Data!N431="","",Master_Data!N431 - WEEKDAY(Master_Data!N431,2) + 1)</f>
        <v>45999</v>
      </c>
      <c r="G431" s="19">
        <f>EOMONTH(Master_Data!H431,-1)+1</f>
        <v>45992</v>
      </c>
      <c r="H431" s="19">
        <f>IF(Master_Data!J431="","",EOMONTH(Master_Data!J431,-1)+1)</f>
        <v>45992</v>
      </c>
      <c r="I431" s="19">
        <f>IF(Master_Data!M431="","",EOMONTH(Master_Data!M431,-1)+1)</f>
        <v>46023</v>
      </c>
      <c r="J431" s="19">
        <f>IF(Master_Data!N431="","",EOMONTH(Master_Data!N431,-1)+1)</f>
        <v>45992</v>
      </c>
    </row>
    <row r="432" spans="1:10">
      <c r="A432" s="3" t="s">
        <v>879</v>
      </c>
      <c r="B432" s="2" t="str">
        <f>Master_Data!B432</f>
        <v>Architecture</v>
      </c>
      <c r="C432" s="18">
        <f>IF(Master_Data!H432="","",Master_Data!H432 - WEEKDAY(Master_Data!H432,2) + 1)</f>
        <v>45985</v>
      </c>
      <c r="D432" s="18">
        <f>IF(Master_Data!J432="","",Master_Data!J432 - WEEKDAY(Master_Data!J432,2) + 1)</f>
        <v>45950</v>
      </c>
      <c r="E432" s="18">
        <f>IF(Master_Data!M432="","",Master_Data!M432 - WEEKDAY(Master_Data!M432,2) + 1)</f>
        <v>46013</v>
      </c>
      <c r="F432" s="18">
        <f>IF(Master_Data!N432="","",Master_Data!N432 - WEEKDAY(Master_Data!N432,2) + 1)</f>
        <v>45845</v>
      </c>
      <c r="G432" s="19">
        <f>EOMONTH(Master_Data!H432,-1)+1</f>
        <v>45962</v>
      </c>
      <c r="H432" s="19">
        <f>IF(Master_Data!J432="","",EOMONTH(Master_Data!J432,-1)+1)</f>
        <v>45931</v>
      </c>
      <c r="I432" s="19">
        <f>IF(Master_Data!M432="","",EOMONTH(Master_Data!M432,-1)+1)</f>
        <v>45992</v>
      </c>
      <c r="J432" s="19">
        <f>IF(Master_Data!N432="","",EOMONTH(Master_Data!N432,-1)+1)</f>
        <v>45839</v>
      </c>
    </row>
    <row r="433" spans="1:10">
      <c r="A433" s="2" t="s">
        <v>881</v>
      </c>
      <c r="B433" s="2" t="str">
        <f>Master_Data!B433</f>
        <v>Architecture</v>
      </c>
      <c r="C433" s="18">
        <f>IF(Master_Data!H433="","",Master_Data!H433 - WEEKDAY(Master_Data!H433,2) + 1)</f>
        <v>45992</v>
      </c>
      <c r="D433" s="18">
        <f>IF(Master_Data!J433="","",Master_Data!J433 - WEEKDAY(Master_Data!J433,2) + 1)</f>
        <v>45992</v>
      </c>
      <c r="E433" s="18">
        <f>IF(Master_Data!M433="","",Master_Data!M433 - WEEKDAY(Master_Data!M433,2) + 1)</f>
        <v>45971</v>
      </c>
      <c r="F433" s="18">
        <f>IF(Master_Data!N433="","",Master_Data!N433 - WEEKDAY(Master_Data!N433,2) + 1)</f>
        <v>45999</v>
      </c>
      <c r="G433" s="19">
        <f>EOMONTH(Master_Data!H433,-1)+1</f>
        <v>45992</v>
      </c>
      <c r="H433" s="19">
        <f>IF(Master_Data!J433="","",EOMONTH(Master_Data!J433,-1)+1)</f>
        <v>45992</v>
      </c>
      <c r="I433" s="19">
        <f>IF(Master_Data!M433="","",EOMONTH(Master_Data!M433,-1)+1)</f>
        <v>45962</v>
      </c>
      <c r="J433" s="19">
        <f>IF(Master_Data!N433="","",EOMONTH(Master_Data!N433,-1)+1)</f>
        <v>45992</v>
      </c>
    </row>
    <row r="434" spans="1:10">
      <c r="A434" s="5" t="s">
        <v>883</v>
      </c>
      <c r="B434" s="2" t="str">
        <f>Master_Data!B434</f>
        <v>Architecture</v>
      </c>
      <c r="C434" s="18">
        <f>IF(Master_Data!H434="","",Master_Data!H434 - WEEKDAY(Master_Data!H434,2) + 1)</f>
        <v>45992</v>
      </c>
      <c r="D434" s="18">
        <f>IF(Master_Data!J434="","",Master_Data!J434 - WEEKDAY(Master_Data!J434,2) + 1)</f>
        <v>45992</v>
      </c>
      <c r="E434" s="18">
        <f>IF(Master_Data!M434="","",Master_Data!M434 - WEEKDAY(Master_Data!M434,2) + 1)</f>
        <v>46020</v>
      </c>
      <c r="F434" s="18">
        <f>IF(Master_Data!N434="","",Master_Data!N434 - WEEKDAY(Master_Data!N434,2) + 1)</f>
        <v>46027</v>
      </c>
      <c r="G434" s="19">
        <f>EOMONTH(Master_Data!H434,-1)+1</f>
        <v>45992</v>
      </c>
      <c r="H434" s="19">
        <f>IF(Master_Data!J434="","",EOMONTH(Master_Data!J434,-1)+1)</f>
        <v>45992</v>
      </c>
      <c r="I434" s="19">
        <f>IF(Master_Data!M434="","",EOMONTH(Master_Data!M434,-1)+1)</f>
        <v>46023</v>
      </c>
      <c r="J434" s="19">
        <f>IF(Master_Data!N434="","",EOMONTH(Master_Data!N434,-1)+1)</f>
        <v>46023</v>
      </c>
    </row>
    <row r="435" spans="1:10">
      <c r="A435" s="3" t="s">
        <v>885</v>
      </c>
      <c r="B435" s="2" t="str">
        <f>Master_Data!B435</f>
        <v>Architecture</v>
      </c>
      <c r="C435" s="18">
        <f>IF(Master_Data!H435="","",Master_Data!H435 - WEEKDAY(Master_Data!H435,2) + 1)</f>
        <v>45719</v>
      </c>
      <c r="D435" s="18">
        <f>IF(Master_Data!J435="","",Master_Data!J435 - WEEKDAY(Master_Data!J435,2) + 1)</f>
        <v>45719</v>
      </c>
      <c r="E435" s="18">
        <f>IF(Master_Data!M435="","",Master_Data!M435 - WEEKDAY(Master_Data!M435,2) + 1)</f>
        <v>45747</v>
      </c>
      <c r="F435" s="18">
        <f>IF(Master_Data!N435="","",Master_Data!N435 - WEEKDAY(Master_Data!N435,2) + 1)</f>
        <v>45740</v>
      </c>
      <c r="G435" s="19">
        <f>EOMONTH(Master_Data!H435,-1)+1</f>
        <v>45717</v>
      </c>
      <c r="H435" s="19">
        <f>IF(Master_Data!J435="","",EOMONTH(Master_Data!J435,-1)+1)</f>
        <v>45717</v>
      </c>
      <c r="I435" s="19">
        <f>IF(Master_Data!M435="","",EOMONTH(Master_Data!M435,-1)+1)</f>
        <v>45717</v>
      </c>
      <c r="J435" s="19">
        <f>IF(Master_Data!N435="","",EOMONTH(Master_Data!N435,-1)+1)</f>
        <v>45717</v>
      </c>
    </row>
    <row r="436" spans="1:10">
      <c r="A436" s="3" t="s">
        <v>887</v>
      </c>
      <c r="B436" s="2" t="str">
        <f>Master_Data!B436</f>
        <v>Architecture</v>
      </c>
      <c r="C436" s="18">
        <f>IF(Master_Data!H436="","",Master_Data!H436 - WEEKDAY(Master_Data!H436,2) + 1)</f>
        <v>45719</v>
      </c>
      <c r="D436" s="18">
        <f>IF(Master_Data!J436="","",Master_Data!J436 - WEEKDAY(Master_Data!J436,2) + 1)</f>
        <v>45719</v>
      </c>
      <c r="E436" s="18">
        <f>IF(Master_Data!M436="","",Master_Data!M436 - WEEKDAY(Master_Data!M436,2) + 1)</f>
        <v>45747</v>
      </c>
      <c r="F436" s="18">
        <f>IF(Master_Data!N436="","",Master_Data!N436 - WEEKDAY(Master_Data!N436,2) + 1)</f>
        <v>45740</v>
      </c>
      <c r="G436" s="19">
        <f>EOMONTH(Master_Data!H436,-1)+1</f>
        <v>45717</v>
      </c>
      <c r="H436" s="19">
        <f>IF(Master_Data!J436="","",EOMONTH(Master_Data!J436,-1)+1)</f>
        <v>45717</v>
      </c>
      <c r="I436" s="19">
        <f>IF(Master_Data!M436="","",EOMONTH(Master_Data!M436,-1)+1)</f>
        <v>45717</v>
      </c>
      <c r="J436" s="19">
        <f>IF(Master_Data!N436="","",EOMONTH(Master_Data!N436,-1)+1)</f>
        <v>45717</v>
      </c>
    </row>
    <row r="437" spans="1:10">
      <c r="A437" s="2" t="s">
        <v>889</v>
      </c>
      <c r="B437" s="2" t="str">
        <f>Master_Data!B437</f>
        <v>Architecture</v>
      </c>
      <c r="C437" s="18">
        <f>IF(Master_Data!H437="","",Master_Data!H437 - WEEKDAY(Master_Data!H437,2) + 1)</f>
        <v>45999</v>
      </c>
      <c r="D437" s="18">
        <f>IF(Master_Data!J437="","",Master_Data!J437 - WEEKDAY(Master_Data!J437,2) + 1)</f>
        <v>45999</v>
      </c>
      <c r="E437" s="18">
        <f>IF(Master_Data!M437="","",Master_Data!M437 - WEEKDAY(Master_Data!M437,2) + 1)</f>
        <v>46027</v>
      </c>
      <c r="F437" s="18">
        <f>IF(Master_Data!N437="","",Master_Data!N437 - WEEKDAY(Master_Data!N437,2) + 1)</f>
        <v>46027</v>
      </c>
      <c r="G437" s="19">
        <f>EOMONTH(Master_Data!H437,-1)+1</f>
        <v>45992</v>
      </c>
      <c r="H437" s="19">
        <f>IF(Master_Data!J437="","",EOMONTH(Master_Data!J437,-1)+1)</f>
        <v>45992</v>
      </c>
      <c r="I437" s="19">
        <f>IF(Master_Data!M437="","",EOMONTH(Master_Data!M437,-1)+1)</f>
        <v>46023</v>
      </c>
      <c r="J437" s="19">
        <f>IF(Master_Data!N437="","",EOMONTH(Master_Data!N437,-1)+1)</f>
        <v>46023</v>
      </c>
    </row>
    <row r="438" spans="1:10">
      <c r="A438" s="2" t="s">
        <v>891</v>
      </c>
      <c r="B438" s="2" t="str">
        <f>Master_Data!B438</f>
        <v>Architecture</v>
      </c>
      <c r="C438" s="18">
        <f>IF(Master_Data!H438="","",Master_Data!H438 - WEEKDAY(Master_Data!H438,2) + 1)</f>
        <v>45999</v>
      </c>
      <c r="D438" s="18">
        <f>IF(Master_Data!J438="","",Master_Data!J438 - WEEKDAY(Master_Data!J438,2) + 1)</f>
        <v>45810</v>
      </c>
      <c r="E438" s="18">
        <f>IF(Master_Data!M438="","",Master_Data!M438 - WEEKDAY(Master_Data!M438,2) + 1)</f>
        <v>46027</v>
      </c>
      <c r="F438" s="18">
        <f>IF(Master_Data!N438="","",Master_Data!N438 - WEEKDAY(Master_Data!N438,2) + 1)</f>
        <v>45908</v>
      </c>
      <c r="G438" s="19">
        <f>EOMONTH(Master_Data!H438,-1)+1</f>
        <v>45992</v>
      </c>
      <c r="H438" s="19">
        <f>IF(Master_Data!J438="","",EOMONTH(Master_Data!J438,-1)+1)</f>
        <v>45809</v>
      </c>
      <c r="I438" s="19">
        <f>IF(Master_Data!M438="","",EOMONTH(Master_Data!M438,-1)+1)</f>
        <v>46023</v>
      </c>
      <c r="J438" s="19">
        <f>IF(Master_Data!N438="","",EOMONTH(Master_Data!N438,-1)+1)</f>
        <v>45901</v>
      </c>
    </row>
    <row r="439" spans="1:10">
      <c r="A439" s="2" t="s">
        <v>893</v>
      </c>
      <c r="B439" s="2" t="str">
        <f>Master_Data!B439</f>
        <v>Architecture</v>
      </c>
      <c r="C439" s="18">
        <f>IF(Master_Data!H439="","",Master_Data!H439 - WEEKDAY(Master_Data!H439,2) + 1)</f>
        <v>45999</v>
      </c>
      <c r="D439" s="18">
        <f>IF(Master_Data!J439="","",Master_Data!J439 - WEEKDAY(Master_Data!J439,2) + 1)</f>
        <v>45810</v>
      </c>
      <c r="E439" s="18">
        <f>IF(Master_Data!M439="","",Master_Data!M439 - WEEKDAY(Master_Data!M439,2) + 1)</f>
        <v>46027</v>
      </c>
      <c r="F439" s="18">
        <f>IF(Master_Data!N439="","",Master_Data!N439 - WEEKDAY(Master_Data!N439,2) + 1)</f>
        <v>45908</v>
      </c>
      <c r="G439" s="19">
        <f>EOMONTH(Master_Data!H439,-1)+1</f>
        <v>45992</v>
      </c>
      <c r="H439" s="19">
        <f>IF(Master_Data!J439="","",EOMONTH(Master_Data!J439,-1)+1)</f>
        <v>45809</v>
      </c>
      <c r="I439" s="19">
        <f>IF(Master_Data!M439="","",EOMONTH(Master_Data!M439,-1)+1)</f>
        <v>46023</v>
      </c>
      <c r="J439" s="19">
        <f>IF(Master_Data!N439="","",EOMONTH(Master_Data!N439,-1)+1)</f>
        <v>45901</v>
      </c>
    </row>
    <row r="440" spans="1:10">
      <c r="A440" s="2" t="s">
        <v>895</v>
      </c>
      <c r="B440" s="2" t="str">
        <f>Master_Data!B440</f>
        <v>Architecture</v>
      </c>
      <c r="C440" s="18">
        <f>IF(Master_Data!H440="","",Master_Data!H440 - WEEKDAY(Master_Data!H440,2) + 1)</f>
        <v>45999</v>
      </c>
      <c r="D440" s="18">
        <f>IF(Master_Data!J440="","",Master_Data!J440 - WEEKDAY(Master_Data!J440,2) + 1)</f>
        <v>45999</v>
      </c>
      <c r="E440" s="18">
        <f>IF(Master_Data!M440="","",Master_Data!M440 - WEEKDAY(Master_Data!M440,2) + 1)</f>
        <v>46027</v>
      </c>
      <c r="F440" s="18">
        <f>IF(Master_Data!N440="","",Master_Data!N440 - WEEKDAY(Master_Data!N440,2) + 1)</f>
        <v>45999</v>
      </c>
      <c r="G440" s="19">
        <f>EOMONTH(Master_Data!H440,-1)+1</f>
        <v>45992</v>
      </c>
      <c r="H440" s="19">
        <f>IF(Master_Data!J440="","",EOMONTH(Master_Data!J440,-1)+1)</f>
        <v>45992</v>
      </c>
      <c r="I440" s="19">
        <f>IF(Master_Data!M440="","",EOMONTH(Master_Data!M440,-1)+1)</f>
        <v>46023</v>
      </c>
      <c r="J440" s="19">
        <f>IF(Master_Data!N440="","",EOMONTH(Master_Data!N440,-1)+1)</f>
        <v>45992</v>
      </c>
    </row>
    <row r="441" spans="1:10">
      <c r="A441" s="3" t="s">
        <v>897</v>
      </c>
      <c r="B441" s="2" t="str">
        <f>Master_Data!B441</f>
        <v>Architecture</v>
      </c>
      <c r="C441" s="18">
        <f>IF(Master_Data!H441="","",Master_Data!H441 - WEEKDAY(Master_Data!H441,2) + 1)</f>
        <v>45866</v>
      </c>
      <c r="D441" s="18">
        <f>IF(Master_Data!J441="","",Master_Data!J441 - WEEKDAY(Master_Data!J441,2) + 1)</f>
        <v>45866</v>
      </c>
      <c r="E441" s="18">
        <f>IF(Master_Data!M441="","",Master_Data!M441 - WEEKDAY(Master_Data!M441,2) + 1)</f>
        <v>45894</v>
      </c>
      <c r="F441" s="18">
        <f>IF(Master_Data!N441="","",Master_Data!N441 - WEEKDAY(Master_Data!N441,2) + 1)</f>
        <v>45880</v>
      </c>
      <c r="G441" s="19">
        <f>EOMONTH(Master_Data!H441,-1)+1</f>
        <v>45870</v>
      </c>
      <c r="H441" s="19">
        <f>IF(Master_Data!J441="","",EOMONTH(Master_Data!J441,-1)+1)</f>
        <v>45870</v>
      </c>
      <c r="I441" s="19">
        <f>IF(Master_Data!M441="","",EOMONTH(Master_Data!M441,-1)+1)</f>
        <v>45870</v>
      </c>
      <c r="J441" s="19">
        <f>IF(Master_Data!N441="","",EOMONTH(Master_Data!N441,-1)+1)</f>
        <v>45870</v>
      </c>
    </row>
    <row r="442" spans="1:10">
      <c r="A442" s="2" t="s">
        <v>899</v>
      </c>
      <c r="B442" s="2" t="str">
        <f>Master_Data!B442</f>
        <v>Architecture</v>
      </c>
      <c r="C442" s="18">
        <f>IF(Master_Data!H442="","",Master_Data!H442 - WEEKDAY(Master_Data!H442,2) + 1)</f>
        <v>45999</v>
      </c>
      <c r="D442" s="18">
        <f>IF(Master_Data!J442="","",Master_Data!J442 - WEEKDAY(Master_Data!J442,2) + 1)</f>
        <v>45999</v>
      </c>
      <c r="E442" s="18">
        <f>IF(Master_Data!M442="","",Master_Data!M442 - WEEKDAY(Master_Data!M442,2) + 1)</f>
        <v>46027</v>
      </c>
      <c r="F442" s="18">
        <f>IF(Master_Data!N442="","",Master_Data!N442 - WEEKDAY(Master_Data!N442,2) + 1)</f>
        <v>45999</v>
      </c>
      <c r="G442" s="19">
        <f>EOMONTH(Master_Data!H442,-1)+1</f>
        <v>45992</v>
      </c>
      <c r="H442" s="19">
        <f>IF(Master_Data!J442="","",EOMONTH(Master_Data!J442,-1)+1)</f>
        <v>45992</v>
      </c>
      <c r="I442" s="19">
        <f>IF(Master_Data!M442="","",EOMONTH(Master_Data!M442,-1)+1)</f>
        <v>46023</v>
      </c>
      <c r="J442" s="19">
        <f>IF(Master_Data!N442="","",EOMONTH(Master_Data!N442,-1)+1)</f>
        <v>45992</v>
      </c>
    </row>
    <row r="443" spans="1:10">
      <c r="A443" s="2" t="s">
        <v>901</v>
      </c>
      <c r="B443" s="2" t="str">
        <f>Master_Data!B443</f>
        <v>Architecture</v>
      </c>
      <c r="C443" s="18">
        <f>IF(Master_Data!H443="","",Master_Data!H443 - WEEKDAY(Master_Data!H443,2) + 1)</f>
        <v>45999</v>
      </c>
      <c r="D443" s="18">
        <f>IF(Master_Data!J443="","",Master_Data!J443 - WEEKDAY(Master_Data!J443,2) + 1)</f>
        <v>46083</v>
      </c>
      <c r="E443" s="18">
        <f>IF(Master_Data!M443="","",Master_Data!M443 - WEEKDAY(Master_Data!M443,2) + 1)</f>
        <v>46027</v>
      </c>
      <c r="F443" s="18">
        <f>IF(Master_Data!N443="","",Master_Data!N443 - WEEKDAY(Master_Data!N443,2) + 1)</f>
        <v>46132</v>
      </c>
      <c r="G443" s="19">
        <f>EOMONTH(Master_Data!H443,-1)+1</f>
        <v>45992</v>
      </c>
      <c r="H443" s="19">
        <f>IF(Master_Data!J443="","",EOMONTH(Master_Data!J443,-1)+1)</f>
        <v>46082</v>
      </c>
      <c r="I443" s="19">
        <f>IF(Master_Data!M443="","",EOMONTH(Master_Data!M443,-1)+1)</f>
        <v>46023</v>
      </c>
      <c r="J443" s="19">
        <f>IF(Master_Data!N443="","",EOMONTH(Master_Data!N443,-1)+1)</f>
        <v>46113</v>
      </c>
    </row>
    <row r="444" spans="1:10">
      <c r="A444" s="2" t="s">
        <v>903</v>
      </c>
      <c r="B444" s="2" t="str">
        <f>Master_Data!B444</f>
        <v>Architecture</v>
      </c>
      <c r="C444" s="18">
        <f>IF(Master_Data!H444="","",Master_Data!H444 - WEEKDAY(Master_Data!H444,2) + 1)</f>
        <v>45999</v>
      </c>
      <c r="D444" s="18">
        <f>IF(Master_Data!J444="","",Master_Data!J444 - WEEKDAY(Master_Data!J444,2) + 1)</f>
        <v>45894</v>
      </c>
      <c r="E444" s="18">
        <f>IF(Master_Data!M444="","",Master_Data!M444 - WEEKDAY(Master_Data!M444,2) + 1)</f>
        <v>46027</v>
      </c>
      <c r="F444" s="18">
        <f>IF(Master_Data!N444="","",Master_Data!N444 - WEEKDAY(Master_Data!N444,2) + 1)</f>
        <v>45999</v>
      </c>
      <c r="G444" s="19">
        <f>EOMONTH(Master_Data!H444,-1)+1</f>
        <v>45992</v>
      </c>
      <c r="H444" s="19">
        <f>IF(Master_Data!J444="","",EOMONTH(Master_Data!J444,-1)+1)</f>
        <v>45870</v>
      </c>
      <c r="I444" s="19">
        <f>IF(Master_Data!M444="","",EOMONTH(Master_Data!M444,-1)+1)</f>
        <v>46023</v>
      </c>
      <c r="J444" s="19">
        <f>IF(Master_Data!N444="","",EOMONTH(Master_Data!N444,-1)+1)</f>
        <v>45992</v>
      </c>
    </row>
    <row r="445" spans="1:10">
      <c r="A445" s="2" t="s">
        <v>905</v>
      </c>
      <c r="B445" s="2" t="str">
        <f>Master_Data!B445</f>
        <v>Architecture</v>
      </c>
      <c r="C445" s="18">
        <f>IF(Master_Data!H445="","",Master_Data!H445 - WEEKDAY(Master_Data!H445,2) + 1)</f>
        <v>45999</v>
      </c>
      <c r="D445" s="18">
        <f>IF(Master_Data!J445="","",Master_Data!J445 - WEEKDAY(Master_Data!J445,2) + 1)</f>
        <v>45999</v>
      </c>
      <c r="E445" s="18">
        <f>IF(Master_Data!M445="","",Master_Data!M445 - WEEKDAY(Master_Data!M445,2) + 1)</f>
        <v>46027</v>
      </c>
      <c r="F445" s="18">
        <f>IF(Master_Data!N445="","",Master_Data!N445 - WEEKDAY(Master_Data!N445,2) + 1)</f>
        <v>45999</v>
      </c>
      <c r="G445" s="19">
        <f>EOMONTH(Master_Data!H445,-1)+1</f>
        <v>45992</v>
      </c>
      <c r="H445" s="19">
        <f>IF(Master_Data!J445="","",EOMONTH(Master_Data!J445,-1)+1)</f>
        <v>45992</v>
      </c>
      <c r="I445" s="19">
        <f>IF(Master_Data!M445="","",EOMONTH(Master_Data!M445,-1)+1)</f>
        <v>46023</v>
      </c>
      <c r="J445" s="19">
        <f>IF(Master_Data!N445="","",EOMONTH(Master_Data!N445,-1)+1)</f>
        <v>45992</v>
      </c>
    </row>
    <row r="446" spans="1:10">
      <c r="A446" s="5" t="s">
        <v>907</v>
      </c>
      <c r="B446" s="2" t="str">
        <f>Master_Data!B446</f>
        <v>Architecture</v>
      </c>
      <c r="C446" s="18">
        <f>IF(Master_Data!H446="","",Master_Data!H446 - WEEKDAY(Master_Data!H446,2) + 1)</f>
        <v>45999</v>
      </c>
      <c r="D446" s="18">
        <f>IF(Master_Data!J446="","",Master_Data!J446 - WEEKDAY(Master_Data!J446,2) + 1)</f>
        <v>45999</v>
      </c>
      <c r="E446" s="18">
        <f>IF(Master_Data!M446="","",Master_Data!M446 - WEEKDAY(Master_Data!M446,2) + 1)</f>
        <v>46027</v>
      </c>
      <c r="F446" s="18">
        <f>IF(Master_Data!N446="","",Master_Data!N446 - WEEKDAY(Master_Data!N446,2) + 1)</f>
        <v>46027</v>
      </c>
      <c r="G446" s="19">
        <f>EOMONTH(Master_Data!H446,-1)+1</f>
        <v>45992</v>
      </c>
      <c r="H446" s="19">
        <f>IF(Master_Data!J446="","",EOMONTH(Master_Data!J446,-1)+1)</f>
        <v>45992</v>
      </c>
      <c r="I446" s="19">
        <f>IF(Master_Data!M446="","",EOMONTH(Master_Data!M446,-1)+1)</f>
        <v>46023</v>
      </c>
      <c r="J446" s="19">
        <f>IF(Master_Data!N446="","",EOMONTH(Master_Data!N446,-1)+1)</f>
        <v>46023</v>
      </c>
    </row>
    <row r="447" spans="1:10">
      <c r="A447" s="2" t="s">
        <v>909</v>
      </c>
      <c r="B447" s="2" t="str">
        <f>Master_Data!B447</f>
        <v>Architecture</v>
      </c>
      <c r="C447" s="18">
        <f>IF(Master_Data!H447="","",Master_Data!H447 - WEEKDAY(Master_Data!H447,2) + 1)</f>
        <v>45719</v>
      </c>
      <c r="D447" s="18">
        <f>IF(Master_Data!J447="","",Master_Data!J447 - WEEKDAY(Master_Data!J447,2) + 1)</f>
        <v>45719</v>
      </c>
      <c r="E447" s="18">
        <f>IF(Master_Data!M447="","",Master_Data!M447 - WEEKDAY(Master_Data!M447,2) + 1)</f>
        <v>45747</v>
      </c>
      <c r="F447" s="18">
        <f>IF(Master_Data!N447="","",Master_Data!N447 - WEEKDAY(Master_Data!N447,2) + 1)</f>
        <v>45740</v>
      </c>
      <c r="G447" s="19">
        <f>EOMONTH(Master_Data!H447,-1)+1</f>
        <v>45717</v>
      </c>
      <c r="H447" s="19">
        <f>IF(Master_Data!J447="","",EOMONTH(Master_Data!J447,-1)+1)</f>
        <v>45717</v>
      </c>
      <c r="I447" s="19">
        <f>IF(Master_Data!M447="","",EOMONTH(Master_Data!M447,-1)+1)</f>
        <v>45717</v>
      </c>
      <c r="J447" s="19">
        <f>IF(Master_Data!N447="","",EOMONTH(Master_Data!N447,-1)+1)</f>
        <v>45717</v>
      </c>
    </row>
    <row r="448" spans="1:10">
      <c r="A448" s="2" t="s">
        <v>911</v>
      </c>
      <c r="B448" s="2" t="str">
        <f>Master_Data!B448</f>
        <v>Architecture</v>
      </c>
      <c r="C448" s="18">
        <f>IF(Master_Data!H448="","",Master_Data!H448 - WEEKDAY(Master_Data!H448,2) + 1)</f>
        <v>45719</v>
      </c>
      <c r="D448" s="18">
        <f>IF(Master_Data!J448="","",Master_Data!J448 - WEEKDAY(Master_Data!J448,2) + 1)</f>
        <v>45719</v>
      </c>
      <c r="E448" s="18">
        <f>IF(Master_Data!M448="","",Master_Data!M448 - WEEKDAY(Master_Data!M448,2) + 1)</f>
        <v>45747</v>
      </c>
      <c r="F448" s="18">
        <f>IF(Master_Data!N448="","",Master_Data!N448 - WEEKDAY(Master_Data!N448,2) + 1)</f>
        <v>45740</v>
      </c>
      <c r="G448" s="19">
        <f>EOMONTH(Master_Data!H448,-1)+1</f>
        <v>45717</v>
      </c>
      <c r="H448" s="19">
        <f>IF(Master_Data!J448="","",EOMONTH(Master_Data!J448,-1)+1)</f>
        <v>45717</v>
      </c>
      <c r="I448" s="19">
        <f>IF(Master_Data!M448="","",EOMONTH(Master_Data!M448,-1)+1)</f>
        <v>45717</v>
      </c>
      <c r="J448" s="19">
        <f>IF(Master_Data!N448="","",EOMONTH(Master_Data!N448,-1)+1)</f>
        <v>45717</v>
      </c>
    </row>
    <row r="449" spans="1:10">
      <c r="A449" s="2" t="s">
        <v>913</v>
      </c>
      <c r="B449" s="2" t="str">
        <f>Master_Data!B449</f>
        <v>Architecture</v>
      </c>
      <c r="C449" s="18">
        <f>IF(Master_Data!H449="","",Master_Data!H449 - WEEKDAY(Master_Data!H449,2) + 1)</f>
        <v>45796</v>
      </c>
      <c r="D449" s="18">
        <f>IF(Master_Data!J449="","",Master_Data!J449 - WEEKDAY(Master_Data!J449,2) + 1)</f>
        <v>45817</v>
      </c>
      <c r="E449" s="18">
        <f>IF(Master_Data!M449="","",Master_Data!M449 - WEEKDAY(Master_Data!M449,2) + 1)</f>
        <v>45824</v>
      </c>
      <c r="F449" s="18">
        <f>IF(Master_Data!N449="","",Master_Data!N449 - WEEKDAY(Master_Data!N449,2) + 1)</f>
        <v>45999</v>
      </c>
      <c r="G449" s="19">
        <f>EOMONTH(Master_Data!H449,-1)+1</f>
        <v>45778</v>
      </c>
      <c r="H449" s="19">
        <f>IF(Master_Data!J449="","",EOMONTH(Master_Data!J449,-1)+1)</f>
        <v>45809</v>
      </c>
      <c r="I449" s="19">
        <f>IF(Master_Data!M449="","",EOMONTH(Master_Data!M449,-1)+1)</f>
        <v>45809</v>
      </c>
      <c r="J449" s="19">
        <f>IF(Master_Data!N449="","",EOMONTH(Master_Data!N449,-1)+1)</f>
        <v>45992</v>
      </c>
    </row>
    <row r="450" spans="1:10">
      <c r="A450" s="2" t="s">
        <v>915</v>
      </c>
      <c r="B450" s="2" t="str">
        <f>Master_Data!B450</f>
        <v>Architecture</v>
      </c>
      <c r="C450" s="18">
        <f>IF(Master_Data!H450="","",Master_Data!H450 - WEEKDAY(Master_Data!H450,2) + 1)</f>
        <v>45796</v>
      </c>
      <c r="D450" s="18">
        <f>IF(Master_Data!J450="","",Master_Data!J450 - WEEKDAY(Master_Data!J450,2) + 1)</f>
        <v>45817</v>
      </c>
      <c r="E450" s="18">
        <f>IF(Master_Data!M450="","",Master_Data!M450 - WEEKDAY(Master_Data!M450,2) + 1)</f>
        <v>45824</v>
      </c>
      <c r="F450" s="18">
        <f>IF(Master_Data!N450="","",Master_Data!N450 - WEEKDAY(Master_Data!N450,2) + 1)</f>
        <v>45999</v>
      </c>
      <c r="G450" s="19">
        <f>EOMONTH(Master_Data!H450,-1)+1</f>
        <v>45778</v>
      </c>
      <c r="H450" s="19">
        <f>IF(Master_Data!J450="","",EOMONTH(Master_Data!J450,-1)+1)</f>
        <v>45809</v>
      </c>
      <c r="I450" s="19">
        <f>IF(Master_Data!M450="","",EOMONTH(Master_Data!M450,-1)+1)</f>
        <v>45809</v>
      </c>
      <c r="J450" s="19">
        <f>IF(Master_Data!N450="","",EOMONTH(Master_Data!N450,-1)+1)</f>
        <v>45992</v>
      </c>
    </row>
    <row r="451" spans="1:10">
      <c r="A451" s="2" t="s">
        <v>917</v>
      </c>
      <c r="B451" s="2" t="str">
        <f>Master_Data!B451</f>
        <v>Architecture</v>
      </c>
      <c r="C451" s="18">
        <f>IF(Master_Data!H451="","",Master_Data!H451 - WEEKDAY(Master_Data!H451,2) + 1)</f>
        <v>45817</v>
      </c>
      <c r="D451" s="18">
        <f>IF(Master_Data!J451="","",Master_Data!J451 - WEEKDAY(Master_Data!J451,2) + 1)</f>
        <v>45859</v>
      </c>
      <c r="E451" s="18">
        <f>IF(Master_Data!M451="","",Master_Data!M451 - WEEKDAY(Master_Data!M451,2) + 1)</f>
        <v>45845</v>
      </c>
      <c r="F451" s="18">
        <f>IF(Master_Data!N451="","",Master_Data!N451 - WEEKDAY(Master_Data!N451,2) + 1)</f>
        <v>45880</v>
      </c>
      <c r="G451" s="19">
        <f>EOMONTH(Master_Data!H451,-1)+1</f>
        <v>45809</v>
      </c>
      <c r="H451" s="19">
        <f>IF(Master_Data!J451="","",EOMONTH(Master_Data!J451,-1)+1)</f>
        <v>45839</v>
      </c>
      <c r="I451" s="19">
        <f>IF(Master_Data!M451="","",EOMONTH(Master_Data!M451,-1)+1)</f>
        <v>45839</v>
      </c>
      <c r="J451" s="19">
        <f>IF(Master_Data!N451="","",EOMONTH(Master_Data!N451,-1)+1)</f>
        <v>45870</v>
      </c>
    </row>
    <row r="452" spans="1:10">
      <c r="A452" s="3" t="s">
        <v>919</v>
      </c>
      <c r="B452" s="2" t="str">
        <f>Master_Data!B452</f>
        <v>Architecture</v>
      </c>
      <c r="C452" s="18">
        <f>IF(Master_Data!H452="","",Master_Data!H452 - WEEKDAY(Master_Data!H452,2) + 1)</f>
        <v>46006</v>
      </c>
      <c r="D452" s="18">
        <f>IF(Master_Data!J452="","",Master_Data!J452 - WEEKDAY(Master_Data!J452,2) + 1)</f>
        <v>45999</v>
      </c>
      <c r="E452" s="18">
        <f>IF(Master_Data!M452="","",Master_Data!M452 - WEEKDAY(Master_Data!M452,2) + 1)</f>
        <v>46034</v>
      </c>
      <c r="F452" s="18">
        <f>IF(Master_Data!N452="","",Master_Data!N452 - WEEKDAY(Master_Data!N452,2) + 1)</f>
        <v>45999</v>
      </c>
      <c r="G452" s="19">
        <f>EOMONTH(Master_Data!H452,-1)+1</f>
        <v>45992</v>
      </c>
      <c r="H452" s="19">
        <f>IF(Master_Data!J452="","",EOMONTH(Master_Data!J452,-1)+1)</f>
        <v>45992</v>
      </c>
      <c r="I452" s="19">
        <f>IF(Master_Data!M452="","",EOMONTH(Master_Data!M452,-1)+1)</f>
        <v>46023</v>
      </c>
      <c r="J452" s="19">
        <f>IF(Master_Data!N452="","",EOMONTH(Master_Data!N452,-1)+1)</f>
        <v>45992</v>
      </c>
    </row>
    <row r="453" spans="1:10">
      <c r="A453" s="2" t="s">
        <v>921</v>
      </c>
      <c r="B453" s="2" t="str">
        <f>Master_Data!B453</f>
        <v>Architecture</v>
      </c>
      <c r="C453" s="18">
        <f>IF(Master_Data!H453="","",Master_Data!H453 - WEEKDAY(Master_Data!H453,2) + 1)</f>
        <v>46006</v>
      </c>
      <c r="D453" s="18">
        <f>IF(Master_Data!J453="","",Master_Data!J453 - WEEKDAY(Master_Data!J453,2) + 1)</f>
        <v>46090</v>
      </c>
      <c r="E453" s="18">
        <f>IF(Master_Data!M453="","",Master_Data!M453 - WEEKDAY(Master_Data!M453,2) + 1)</f>
        <v>45971</v>
      </c>
      <c r="F453" s="18">
        <f>IF(Master_Data!N453="","",Master_Data!N453 - WEEKDAY(Master_Data!N453,2) + 1)</f>
        <v>46132</v>
      </c>
      <c r="G453" s="19">
        <f>EOMONTH(Master_Data!H453,-1)+1</f>
        <v>45992</v>
      </c>
      <c r="H453" s="19">
        <f>IF(Master_Data!J453="","",EOMONTH(Master_Data!J453,-1)+1)</f>
        <v>46082</v>
      </c>
      <c r="I453" s="19">
        <f>IF(Master_Data!M453="","",EOMONTH(Master_Data!M453,-1)+1)</f>
        <v>45962</v>
      </c>
      <c r="J453" s="19">
        <f>IF(Master_Data!N453="","",EOMONTH(Master_Data!N453,-1)+1)</f>
        <v>46113</v>
      </c>
    </row>
    <row r="454" spans="1:10">
      <c r="A454" s="3" t="s">
        <v>923</v>
      </c>
      <c r="B454" s="2" t="str">
        <f>Master_Data!B454</f>
        <v>Architecture</v>
      </c>
      <c r="C454" s="18">
        <f>IF(Master_Data!H454="","",Master_Data!H454 - WEEKDAY(Master_Data!H454,2) + 1)</f>
        <v>46006</v>
      </c>
      <c r="D454" s="18">
        <f>IF(Master_Data!J454="","",Master_Data!J454 - WEEKDAY(Master_Data!J454,2) + 1)</f>
        <v>45999</v>
      </c>
      <c r="E454" s="18">
        <f>IF(Master_Data!M454="","",Master_Data!M454 - WEEKDAY(Master_Data!M454,2) + 1)</f>
        <v>45971</v>
      </c>
      <c r="F454" s="18">
        <f>IF(Master_Data!N454="","",Master_Data!N454 - WEEKDAY(Master_Data!N454,2) + 1)</f>
        <v>46006</v>
      </c>
      <c r="G454" s="19">
        <f>EOMONTH(Master_Data!H454,-1)+1</f>
        <v>45992</v>
      </c>
      <c r="H454" s="19">
        <f>IF(Master_Data!J454="","",EOMONTH(Master_Data!J454,-1)+1)</f>
        <v>45992</v>
      </c>
      <c r="I454" s="19">
        <f>IF(Master_Data!M454="","",EOMONTH(Master_Data!M454,-1)+1)</f>
        <v>45962</v>
      </c>
      <c r="J454" s="19">
        <f>IF(Master_Data!N454="","",EOMONTH(Master_Data!N454,-1)+1)</f>
        <v>45992</v>
      </c>
    </row>
    <row r="455" spans="1:10">
      <c r="A455" s="3" t="s">
        <v>925</v>
      </c>
      <c r="B455" s="2" t="str">
        <f>Master_Data!B455</f>
        <v>Architecture</v>
      </c>
      <c r="C455" s="18">
        <f>IF(Master_Data!H455="","",Master_Data!H455 - WEEKDAY(Master_Data!H455,2) + 1)</f>
        <v>46006</v>
      </c>
      <c r="D455" s="18">
        <f>IF(Master_Data!J455="","",Master_Data!J455 - WEEKDAY(Master_Data!J455,2) + 1)</f>
        <v>45999</v>
      </c>
      <c r="E455" s="18">
        <f>IF(Master_Data!M455="","",Master_Data!M455 - WEEKDAY(Master_Data!M455,2) + 1)</f>
        <v>45971</v>
      </c>
      <c r="F455" s="18">
        <f>IF(Master_Data!N455="","",Master_Data!N455 - WEEKDAY(Master_Data!N455,2) + 1)</f>
        <v>46006</v>
      </c>
      <c r="G455" s="19">
        <f>EOMONTH(Master_Data!H455,-1)+1</f>
        <v>45992</v>
      </c>
      <c r="H455" s="19">
        <f>IF(Master_Data!J455="","",EOMONTH(Master_Data!J455,-1)+1)</f>
        <v>45992</v>
      </c>
      <c r="I455" s="19">
        <f>IF(Master_Data!M455="","",EOMONTH(Master_Data!M455,-1)+1)</f>
        <v>45962</v>
      </c>
      <c r="J455" s="19">
        <f>IF(Master_Data!N455="","",EOMONTH(Master_Data!N455,-1)+1)</f>
        <v>45992</v>
      </c>
    </row>
    <row r="456" spans="1:10">
      <c r="A456" s="2" t="s">
        <v>927</v>
      </c>
      <c r="B456" s="2" t="str">
        <f>Master_Data!B456</f>
        <v>Architecture</v>
      </c>
      <c r="C456" s="18">
        <f>IF(Master_Data!H456="","",Master_Data!H456 - WEEKDAY(Master_Data!H456,2) + 1)</f>
        <v>46006</v>
      </c>
      <c r="D456" s="18">
        <f>IF(Master_Data!J456="","",Master_Data!J456 - WEEKDAY(Master_Data!J456,2) + 1)</f>
        <v>46027</v>
      </c>
      <c r="E456" s="18">
        <f>IF(Master_Data!M456="","",Master_Data!M456 - WEEKDAY(Master_Data!M456,2) + 1)</f>
        <v>45971</v>
      </c>
      <c r="F456" s="18">
        <f>IF(Master_Data!N456="","",Master_Data!N456 - WEEKDAY(Master_Data!N456,2) + 1)</f>
        <v>46006</v>
      </c>
      <c r="G456" s="19">
        <f>EOMONTH(Master_Data!H456,-1)+1</f>
        <v>45992</v>
      </c>
      <c r="H456" s="19">
        <f>IF(Master_Data!J456="","",EOMONTH(Master_Data!J456,-1)+1)</f>
        <v>46023</v>
      </c>
      <c r="I456" s="19">
        <f>IF(Master_Data!M456="","",EOMONTH(Master_Data!M456,-1)+1)</f>
        <v>45962</v>
      </c>
      <c r="J456" s="19">
        <f>IF(Master_Data!N456="","",EOMONTH(Master_Data!N456,-1)+1)</f>
        <v>45992</v>
      </c>
    </row>
    <row r="457" spans="1:10">
      <c r="A457" s="2" t="s">
        <v>930</v>
      </c>
      <c r="B457" s="2" t="str">
        <f>Master_Data!B457</f>
        <v>Architecture</v>
      </c>
      <c r="C457" s="18">
        <f>IF(Master_Data!H457="","",Master_Data!H457 - WEEKDAY(Master_Data!H457,2) + 1)</f>
        <v>46006</v>
      </c>
      <c r="D457" s="18">
        <f>IF(Master_Data!J457="","",Master_Data!J457 - WEEKDAY(Master_Data!J457,2) + 1)</f>
        <v>46006</v>
      </c>
      <c r="E457" s="18">
        <f>IF(Master_Data!M457="","",Master_Data!M457 - WEEKDAY(Master_Data!M457,2) + 1)</f>
        <v>46034</v>
      </c>
      <c r="F457" s="18">
        <f>IF(Master_Data!N457="","",Master_Data!N457 - WEEKDAY(Master_Data!N457,2) + 1)</f>
        <v>46132</v>
      </c>
      <c r="G457" s="19">
        <f>EOMONTH(Master_Data!H457,-1)+1</f>
        <v>45992</v>
      </c>
      <c r="H457" s="19">
        <f>IF(Master_Data!J457="","",EOMONTH(Master_Data!J457,-1)+1)</f>
        <v>45992</v>
      </c>
      <c r="I457" s="19">
        <f>IF(Master_Data!M457="","",EOMONTH(Master_Data!M457,-1)+1)</f>
        <v>46023</v>
      </c>
      <c r="J457" s="19">
        <f>IF(Master_Data!N457="","",EOMONTH(Master_Data!N457,-1)+1)</f>
        <v>46113</v>
      </c>
    </row>
    <row r="458" spans="1:10">
      <c r="A458" s="4" t="s">
        <v>932</v>
      </c>
      <c r="B458" s="2" t="str">
        <f>Master_Data!B458</f>
        <v>Architecture</v>
      </c>
      <c r="C458" s="18">
        <f>IF(Master_Data!H458="","",Master_Data!H458 - WEEKDAY(Master_Data!H458,2) + 1)</f>
        <v>46006</v>
      </c>
      <c r="D458" s="18">
        <f>IF(Master_Data!J458="","",Master_Data!J458 - WEEKDAY(Master_Data!J458,2) + 1)</f>
        <v>45999</v>
      </c>
      <c r="E458" s="18">
        <f>IF(Master_Data!M458="","",Master_Data!M458 - WEEKDAY(Master_Data!M458,2) + 1)</f>
        <v>46034</v>
      </c>
      <c r="F458" s="18">
        <f>IF(Master_Data!N458="","",Master_Data!N458 - WEEKDAY(Master_Data!N458,2) + 1)</f>
        <v>45999</v>
      </c>
      <c r="G458" s="19">
        <f>EOMONTH(Master_Data!H458,-1)+1</f>
        <v>45992</v>
      </c>
      <c r="H458" s="19">
        <f>IF(Master_Data!J458="","",EOMONTH(Master_Data!J458,-1)+1)</f>
        <v>45992</v>
      </c>
      <c r="I458" s="19">
        <f>IF(Master_Data!M458="","",EOMONTH(Master_Data!M458,-1)+1)</f>
        <v>46023</v>
      </c>
      <c r="J458" s="19">
        <f>IF(Master_Data!N458="","",EOMONTH(Master_Data!N458,-1)+1)</f>
        <v>45992</v>
      </c>
    </row>
    <row r="459" spans="1:10">
      <c r="A459" s="2" t="s">
        <v>934</v>
      </c>
      <c r="B459" s="2" t="str">
        <f>Master_Data!B459</f>
        <v>Architecture</v>
      </c>
      <c r="C459" s="18">
        <f>IF(Master_Data!H459="","",Master_Data!H459 - WEEKDAY(Master_Data!H459,2) + 1)</f>
        <v>46006</v>
      </c>
      <c r="D459" s="18">
        <f>IF(Master_Data!J459="","",Master_Data!J459 - WEEKDAY(Master_Data!J459,2) + 1)</f>
        <v>46006</v>
      </c>
      <c r="E459" s="18">
        <f>IF(Master_Data!M459="","",Master_Data!M459 - WEEKDAY(Master_Data!M459,2) + 1)</f>
        <v>46034</v>
      </c>
      <c r="F459" s="18">
        <f>IF(Master_Data!N459="","",Master_Data!N459 - WEEKDAY(Master_Data!N459,2) + 1)</f>
        <v>46132</v>
      </c>
      <c r="G459" s="19">
        <f>EOMONTH(Master_Data!H459,-1)+1</f>
        <v>45992</v>
      </c>
      <c r="H459" s="19">
        <f>IF(Master_Data!J459="","",EOMONTH(Master_Data!J459,-1)+1)</f>
        <v>45992</v>
      </c>
      <c r="I459" s="19">
        <f>IF(Master_Data!M459="","",EOMONTH(Master_Data!M459,-1)+1)</f>
        <v>46023</v>
      </c>
      <c r="J459" s="19">
        <f>IF(Master_Data!N459="","",EOMONTH(Master_Data!N459,-1)+1)</f>
        <v>46113</v>
      </c>
    </row>
    <row r="460" spans="1:10">
      <c r="A460" s="2" t="s">
        <v>937</v>
      </c>
      <c r="B460" s="2" t="str">
        <f>Master_Data!B460</f>
        <v>Architecture</v>
      </c>
      <c r="C460" s="18">
        <f>IF(Master_Data!H460="","",Master_Data!H460 - WEEKDAY(Master_Data!H460,2) + 1)</f>
        <v>45719</v>
      </c>
      <c r="D460" s="18">
        <f>IF(Master_Data!J460="","",Master_Data!J460 - WEEKDAY(Master_Data!J460,2) + 1)</f>
        <v>45719</v>
      </c>
      <c r="E460" s="18">
        <f>IF(Master_Data!M460="","",Master_Data!M460 - WEEKDAY(Master_Data!M460,2) + 1)</f>
        <v>45747</v>
      </c>
      <c r="F460" s="18">
        <f>IF(Master_Data!N460="","",Master_Data!N460 - WEEKDAY(Master_Data!N460,2) + 1)</f>
        <v>45740</v>
      </c>
      <c r="G460" s="19">
        <f>EOMONTH(Master_Data!H460,-1)+1</f>
        <v>45717</v>
      </c>
      <c r="H460" s="19">
        <f>IF(Master_Data!J460="","",EOMONTH(Master_Data!J460,-1)+1)</f>
        <v>45717</v>
      </c>
      <c r="I460" s="19">
        <f>IF(Master_Data!M460="","",EOMONTH(Master_Data!M460,-1)+1)</f>
        <v>45717</v>
      </c>
      <c r="J460" s="19">
        <f>IF(Master_Data!N460="","",EOMONTH(Master_Data!N460,-1)+1)</f>
        <v>45717</v>
      </c>
    </row>
    <row r="461" spans="1:10">
      <c r="A461" s="2" t="s">
        <v>939</v>
      </c>
      <c r="B461" s="2" t="str">
        <f>Master_Data!B461</f>
        <v>Architecture</v>
      </c>
      <c r="C461" s="18">
        <f>IF(Master_Data!H461="","",Master_Data!H461 - WEEKDAY(Master_Data!H461,2) + 1)</f>
        <v>45719</v>
      </c>
      <c r="D461" s="18">
        <f>IF(Master_Data!J461="","",Master_Data!J461 - WEEKDAY(Master_Data!J461,2) + 1)</f>
        <v>45719</v>
      </c>
      <c r="E461" s="18">
        <f>IF(Master_Data!M461="","",Master_Data!M461 - WEEKDAY(Master_Data!M461,2) + 1)</f>
        <v>45747</v>
      </c>
      <c r="F461" s="18">
        <f>IF(Master_Data!N461="","",Master_Data!N461 - WEEKDAY(Master_Data!N461,2) + 1)</f>
        <v>45740</v>
      </c>
      <c r="G461" s="19">
        <f>EOMONTH(Master_Data!H461,-1)+1</f>
        <v>45717</v>
      </c>
      <c r="H461" s="19">
        <f>IF(Master_Data!J461="","",EOMONTH(Master_Data!J461,-1)+1)</f>
        <v>45717</v>
      </c>
      <c r="I461" s="19">
        <f>IF(Master_Data!M461="","",EOMONTH(Master_Data!M461,-1)+1)</f>
        <v>45717</v>
      </c>
      <c r="J461" s="19">
        <f>IF(Master_Data!N461="","",EOMONTH(Master_Data!N461,-1)+1)</f>
        <v>45717</v>
      </c>
    </row>
    <row r="462" spans="1:10">
      <c r="A462" s="3" t="s">
        <v>941</v>
      </c>
      <c r="B462" s="2" t="str">
        <f>Master_Data!B462</f>
        <v>Architecture</v>
      </c>
      <c r="C462" s="18">
        <f>IF(Master_Data!H462="","",Master_Data!H462 - WEEKDAY(Master_Data!H462,2) + 1)</f>
        <v>46006</v>
      </c>
      <c r="D462" s="18">
        <f>IF(Master_Data!J462="","",Master_Data!J462 - WEEKDAY(Master_Data!J462,2) + 1)</f>
        <v>46006</v>
      </c>
      <c r="E462" s="18">
        <f>IF(Master_Data!M462="","",Master_Data!M462 - WEEKDAY(Master_Data!M462,2) + 1)</f>
        <v>46034</v>
      </c>
      <c r="F462" s="18">
        <f>IF(Master_Data!N462="","",Master_Data!N462 - WEEKDAY(Master_Data!N462,2) + 1)</f>
        <v>46006</v>
      </c>
      <c r="G462" s="19">
        <f>EOMONTH(Master_Data!H462,-1)+1</f>
        <v>45992</v>
      </c>
      <c r="H462" s="19">
        <f>IF(Master_Data!J462="","",EOMONTH(Master_Data!J462,-1)+1)</f>
        <v>45992</v>
      </c>
      <c r="I462" s="19">
        <f>IF(Master_Data!M462="","",EOMONTH(Master_Data!M462,-1)+1)</f>
        <v>46023</v>
      </c>
      <c r="J462" s="19">
        <f>IF(Master_Data!N462="","",EOMONTH(Master_Data!N462,-1)+1)</f>
        <v>45992</v>
      </c>
    </row>
    <row r="463" spans="1:10">
      <c r="A463" s="3" t="s">
        <v>943</v>
      </c>
      <c r="B463" s="2" t="str">
        <f>Master_Data!B463</f>
        <v>Structural</v>
      </c>
      <c r="C463" s="18">
        <f>IF(Master_Data!H463="","",Master_Data!H463 - WEEKDAY(Master_Data!H463,2) + 1)</f>
        <v>46006</v>
      </c>
      <c r="D463" s="18">
        <f>IF(Master_Data!J463="","",Master_Data!J463 - WEEKDAY(Master_Data!J463,2) + 1)</f>
        <v>45999</v>
      </c>
      <c r="E463" s="18">
        <f>IF(Master_Data!M463="","",Master_Data!M463 - WEEKDAY(Master_Data!M463,2) + 1)</f>
        <v>46034</v>
      </c>
      <c r="F463" s="18">
        <f>IF(Master_Data!N463="","",Master_Data!N463 - WEEKDAY(Master_Data!N463,2) + 1)</f>
        <v>46006</v>
      </c>
      <c r="G463" s="19">
        <f>EOMONTH(Master_Data!H463,-1)+1</f>
        <v>45992</v>
      </c>
      <c r="H463" s="19">
        <f>IF(Master_Data!J463="","",EOMONTH(Master_Data!J463,-1)+1)</f>
        <v>45992</v>
      </c>
      <c r="I463" s="19">
        <f>IF(Master_Data!M463="","",EOMONTH(Master_Data!M463,-1)+1)</f>
        <v>46023</v>
      </c>
      <c r="J463" s="19">
        <f>IF(Master_Data!N463="","",EOMONTH(Master_Data!N463,-1)+1)</f>
        <v>45992</v>
      </c>
    </row>
    <row r="464" spans="1:10">
      <c r="A464" s="2" t="s">
        <v>945</v>
      </c>
      <c r="B464" s="2" t="str">
        <f>Master_Data!B464</f>
        <v>Structural</v>
      </c>
      <c r="C464" s="18">
        <f>IF(Master_Data!H464="","",Master_Data!H464 - WEEKDAY(Master_Data!H464,2) + 1)</f>
        <v>45803</v>
      </c>
      <c r="D464" s="18">
        <f>IF(Master_Data!J464="","",Master_Data!J464 - WEEKDAY(Master_Data!J464,2) + 1)</f>
        <v>45838</v>
      </c>
      <c r="E464" s="18">
        <f>IF(Master_Data!M464="","",Master_Data!M464 - WEEKDAY(Master_Data!M464,2) + 1)</f>
        <v>45831</v>
      </c>
      <c r="F464" s="18">
        <f>IF(Master_Data!N464="","",Master_Data!N464 - WEEKDAY(Master_Data!N464,2) + 1)</f>
        <v>45999</v>
      </c>
      <c r="G464" s="19">
        <f>EOMONTH(Master_Data!H464,-1)+1</f>
        <v>45778</v>
      </c>
      <c r="H464" s="19">
        <f>IF(Master_Data!J464="","",EOMONTH(Master_Data!J464,-1)+1)</f>
        <v>45839</v>
      </c>
      <c r="I464" s="19">
        <f>IF(Master_Data!M464="","",EOMONTH(Master_Data!M464,-1)+1)</f>
        <v>45809</v>
      </c>
      <c r="J464" s="19">
        <f>IF(Master_Data!N464="","",EOMONTH(Master_Data!N464,-1)+1)</f>
        <v>45992</v>
      </c>
    </row>
    <row r="465" spans="1:10">
      <c r="A465" s="2" t="s">
        <v>947</v>
      </c>
      <c r="B465" s="2" t="str">
        <f>Master_Data!B465</f>
        <v>Structural</v>
      </c>
      <c r="C465" s="18">
        <f>IF(Master_Data!H465="","",Master_Data!H465 - WEEKDAY(Master_Data!H465,2) + 1)</f>
        <v>45803</v>
      </c>
      <c r="D465" s="18">
        <f>IF(Master_Data!J465="","",Master_Data!J465 - WEEKDAY(Master_Data!J465,2) + 1)</f>
        <v>45838</v>
      </c>
      <c r="E465" s="18">
        <f>IF(Master_Data!M465="","",Master_Data!M465 - WEEKDAY(Master_Data!M465,2) + 1)</f>
        <v>45831</v>
      </c>
      <c r="F465" s="18">
        <f>IF(Master_Data!N465="","",Master_Data!N465 - WEEKDAY(Master_Data!N465,2) + 1)</f>
        <v>45999</v>
      </c>
      <c r="G465" s="19">
        <f>EOMONTH(Master_Data!H465,-1)+1</f>
        <v>45778</v>
      </c>
      <c r="H465" s="19">
        <f>IF(Master_Data!J465="","",EOMONTH(Master_Data!J465,-1)+1)</f>
        <v>45839</v>
      </c>
      <c r="I465" s="19">
        <f>IF(Master_Data!M465="","",EOMONTH(Master_Data!M465,-1)+1)</f>
        <v>45809</v>
      </c>
      <c r="J465" s="19">
        <f>IF(Master_Data!N465="","",EOMONTH(Master_Data!N465,-1)+1)</f>
        <v>45992</v>
      </c>
    </row>
    <row r="466" spans="1:10">
      <c r="A466" s="2" t="s">
        <v>949</v>
      </c>
      <c r="B466" s="2" t="str">
        <f>Master_Data!B466</f>
        <v>Structural</v>
      </c>
      <c r="C466" s="18">
        <f>IF(Master_Data!H466="","",Master_Data!H466 - WEEKDAY(Master_Data!H466,2) + 1)</f>
        <v>46013</v>
      </c>
      <c r="D466" s="18">
        <f>IF(Master_Data!J466="","",Master_Data!J466 - WEEKDAY(Master_Data!J466,2) + 1)</f>
        <v>46111</v>
      </c>
      <c r="E466" s="18">
        <f>IF(Master_Data!M466="","",Master_Data!M466 - WEEKDAY(Master_Data!M466,2) + 1)</f>
        <v>45971</v>
      </c>
      <c r="F466" s="18">
        <f>IF(Master_Data!N466="","",Master_Data!N466 - WEEKDAY(Master_Data!N466,2) + 1)</f>
        <v>46132</v>
      </c>
      <c r="G466" s="19">
        <f>EOMONTH(Master_Data!H466,-1)+1</f>
        <v>45992</v>
      </c>
      <c r="H466" s="19">
        <f>IF(Master_Data!J466="","",EOMONTH(Master_Data!J466,-1)+1)</f>
        <v>46113</v>
      </c>
      <c r="I466" s="19">
        <f>IF(Master_Data!M466="","",EOMONTH(Master_Data!M466,-1)+1)</f>
        <v>45962</v>
      </c>
      <c r="J466" s="19">
        <f>IF(Master_Data!N466="","",EOMONTH(Master_Data!N466,-1)+1)</f>
        <v>46113</v>
      </c>
    </row>
    <row r="467" spans="1:10">
      <c r="A467" s="4" t="s">
        <v>951</v>
      </c>
      <c r="B467" s="2" t="str">
        <f>Master_Data!B467</f>
        <v>Structural</v>
      </c>
      <c r="C467" s="18">
        <f>IF(Master_Data!H467="","",Master_Data!H467 - WEEKDAY(Master_Data!H467,2) + 1)</f>
        <v>46006</v>
      </c>
      <c r="D467" s="18">
        <f>IF(Master_Data!J467="","",Master_Data!J467 - WEEKDAY(Master_Data!J467,2) + 1)</f>
        <v>45999</v>
      </c>
      <c r="E467" s="18">
        <f>IF(Master_Data!M467="","",Master_Data!M467 - WEEKDAY(Master_Data!M467,2) + 1)</f>
        <v>46034</v>
      </c>
      <c r="F467" s="18">
        <f>IF(Master_Data!N467="","",Master_Data!N467 - WEEKDAY(Master_Data!N467,2) + 1)</f>
        <v>46006</v>
      </c>
      <c r="G467" s="19">
        <f>EOMONTH(Master_Data!H467,-1)+1</f>
        <v>45992</v>
      </c>
      <c r="H467" s="19">
        <f>IF(Master_Data!J467="","",EOMONTH(Master_Data!J467,-1)+1)</f>
        <v>45992</v>
      </c>
      <c r="I467" s="19">
        <f>IF(Master_Data!M467="","",EOMONTH(Master_Data!M467,-1)+1)</f>
        <v>46023</v>
      </c>
      <c r="J467" s="19">
        <f>IF(Master_Data!N467="","",EOMONTH(Master_Data!N467,-1)+1)</f>
        <v>45992</v>
      </c>
    </row>
    <row r="468" spans="1:10">
      <c r="A468" s="2" t="s">
        <v>953</v>
      </c>
      <c r="B468" s="2" t="str">
        <f>Master_Data!B468</f>
        <v>Structural</v>
      </c>
      <c r="C468" s="18">
        <f>IF(Master_Data!H468="","",Master_Data!H468 - WEEKDAY(Master_Data!H468,2) + 1)</f>
        <v>46006</v>
      </c>
      <c r="D468" s="18">
        <f>IF(Master_Data!J468="","",Master_Data!J468 - WEEKDAY(Master_Data!J468,2) + 1)</f>
        <v>45719</v>
      </c>
      <c r="E468" s="18">
        <f>IF(Master_Data!M468="","",Master_Data!M468 - WEEKDAY(Master_Data!M468,2) + 1)</f>
        <v>45747</v>
      </c>
      <c r="F468" s="18">
        <f>IF(Master_Data!N468="","",Master_Data!N468 - WEEKDAY(Master_Data!N468,2) + 1)</f>
        <v>45740</v>
      </c>
      <c r="G468" s="19">
        <f>EOMONTH(Master_Data!H468,-1)+1</f>
        <v>45992</v>
      </c>
      <c r="H468" s="19">
        <f>IF(Master_Data!J468="","",EOMONTH(Master_Data!J468,-1)+1)</f>
        <v>45717</v>
      </c>
      <c r="I468" s="19">
        <f>IF(Master_Data!M468="","",EOMONTH(Master_Data!M468,-1)+1)</f>
        <v>45717</v>
      </c>
      <c r="J468" s="19">
        <f>IF(Master_Data!N468="","",EOMONTH(Master_Data!N468,-1)+1)</f>
        <v>45717</v>
      </c>
    </row>
    <row r="469" spans="1:10">
      <c r="A469" s="2" t="s">
        <v>955</v>
      </c>
      <c r="B469" s="2" t="str">
        <f>Master_Data!B469</f>
        <v>Structural</v>
      </c>
      <c r="C469" s="18">
        <f>IF(Master_Data!H469="","",Master_Data!H469 - WEEKDAY(Master_Data!H469,2) + 1)</f>
        <v>45719</v>
      </c>
      <c r="D469" s="18">
        <f>IF(Master_Data!J469="","",Master_Data!J469 - WEEKDAY(Master_Data!J469,2) + 1)</f>
        <v>45719</v>
      </c>
      <c r="E469" s="18">
        <f>IF(Master_Data!M469="","",Master_Data!M469 - WEEKDAY(Master_Data!M469,2) + 1)</f>
        <v>45747</v>
      </c>
      <c r="F469" s="18">
        <f>IF(Master_Data!N469="","",Master_Data!N469 - WEEKDAY(Master_Data!N469,2) + 1)</f>
        <v>45740</v>
      </c>
      <c r="G469" s="19">
        <f>EOMONTH(Master_Data!H469,-1)+1</f>
        <v>45717</v>
      </c>
      <c r="H469" s="19">
        <f>IF(Master_Data!J469="","",EOMONTH(Master_Data!J469,-1)+1)</f>
        <v>45717</v>
      </c>
      <c r="I469" s="19">
        <f>IF(Master_Data!M469="","",EOMONTH(Master_Data!M469,-1)+1)</f>
        <v>45717</v>
      </c>
      <c r="J469" s="19">
        <f>IF(Master_Data!N469="","",EOMONTH(Master_Data!N469,-1)+1)</f>
        <v>45717</v>
      </c>
    </row>
    <row r="470" spans="1:10">
      <c r="A470" s="3" t="s">
        <v>957</v>
      </c>
      <c r="B470" s="2" t="str">
        <f>Master_Data!B470</f>
        <v>Structural</v>
      </c>
      <c r="C470" s="18">
        <f>IF(Master_Data!H470="","",Master_Data!H470 - WEEKDAY(Master_Data!H470,2) + 1)</f>
        <v>46020</v>
      </c>
      <c r="D470" s="18">
        <f>IF(Master_Data!J470="","",Master_Data!J470 - WEEKDAY(Master_Data!J470,2) + 1)</f>
        <v>45999</v>
      </c>
      <c r="E470" s="18">
        <f>IF(Master_Data!M470="","",Master_Data!M470 - WEEKDAY(Master_Data!M470,2) + 1)</f>
        <v>46041</v>
      </c>
      <c r="F470" s="18">
        <f>IF(Master_Data!N470="","",Master_Data!N470 - WEEKDAY(Master_Data!N470,2) + 1)</f>
        <v>46006</v>
      </c>
      <c r="G470" s="19">
        <f>EOMONTH(Master_Data!H470,-1)+1</f>
        <v>45992</v>
      </c>
      <c r="H470" s="19">
        <f>IF(Master_Data!J470="","",EOMONTH(Master_Data!J470,-1)+1)</f>
        <v>45992</v>
      </c>
      <c r="I470" s="19">
        <f>IF(Master_Data!M470="","",EOMONTH(Master_Data!M470,-1)+1)</f>
        <v>46023</v>
      </c>
      <c r="J470" s="19">
        <f>IF(Master_Data!N470="","",EOMONTH(Master_Data!N470,-1)+1)</f>
        <v>45992</v>
      </c>
    </row>
    <row r="471" spans="1:10">
      <c r="A471" s="3" t="s">
        <v>959</v>
      </c>
      <c r="B471" s="2" t="str">
        <f>Master_Data!B471</f>
        <v>Structural</v>
      </c>
      <c r="C471" s="18">
        <f>IF(Master_Data!H471="","",Master_Data!H471 - WEEKDAY(Master_Data!H471,2) + 1)</f>
        <v>46020</v>
      </c>
      <c r="D471" s="18">
        <f>IF(Master_Data!J471="","",Master_Data!J471 - WEEKDAY(Master_Data!J471,2) + 1)</f>
        <v>45999</v>
      </c>
      <c r="E471" s="18">
        <f>IF(Master_Data!M471="","",Master_Data!M471 - WEEKDAY(Master_Data!M471,2) + 1)</f>
        <v>46041</v>
      </c>
      <c r="F471" s="18">
        <f>IF(Master_Data!N471="","",Master_Data!N471 - WEEKDAY(Master_Data!N471,2) + 1)</f>
        <v>46006</v>
      </c>
      <c r="G471" s="19">
        <f>EOMONTH(Master_Data!H471,-1)+1</f>
        <v>45992</v>
      </c>
      <c r="H471" s="19">
        <f>IF(Master_Data!J471="","",EOMONTH(Master_Data!J471,-1)+1)</f>
        <v>45992</v>
      </c>
      <c r="I471" s="19">
        <f>IF(Master_Data!M471="","",EOMONTH(Master_Data!M471,-1)+1)</f>
        <v>46023</v>
      </c>
      <c r="J471" s="19">
        <f>IF(Master_Data!N471="","",EOMONTH(Master_Data!N471,-1)+1)</f>
        <v>45992</v>
      </c>
    </row>
    <row r="472" spans="1:10">
      <c r="A472" s="3" t="s">
        <v>961</v>
      </c>
      <c r="B472" s="2" t="str">
        <f>Master_Data!B472</f>
        <v>Structural</v>
      </c>
      <c r="C472" s="18">
        <f>IF(Master_Data!H472="","",Master_Data!H472 - WEEKDAY(Master_Data!H472,2) + 1)</f>
        <v>46020</v>
      </c>
      <c r="D472" s="18">
        <f>IF(Master_Data!J472="","",Master_Data!J472 - WEEKDAY(Master_Data!J472,2) + 1)</f>
        <v>45999</v>
      </c>
      <c r="E472" s="18">
        <f>IF(Master_Data!M472="","",Master_Data!M472 - WEEKDAY(Master_Data!M472,2) + 1)</f>
        <v>46041</v>
      </c>
      <c r="F472" s="18">
        <f>IF(Master_Data!N472="","",Master_Data!N472 - WEEKDAY(Master_Data!N472,2) + 1)</f>
        <v>46006</v>
      </c>
      <c r="G472" s="19">
        <f>EOMONTH(Master_Data!H472,-1)+1</f>
        <v>45992</v>
      </c>
      <c r="H472" s="19">
        <f>IF(Master_Data!J472="","",EOMONTH(Master_Data!J472,-1)+1)</f>
        <v>45992</v>
      </c>
      <c r="I472" s="19">
        <f>IF(Master_Data!M472="","",EOMONTH(Master_Data!M472,-1)+1)</f>
        <v>46023</v>
      </c>
      <c r="J472" s="19">
        <f>IF(Master_Data!N472="","",EOMONTH(Master_Data!N472,-1)+1)</f>
        <v>45992</v>
      </c>
    </row>
    <row r="473" spans="1:10">
      <c r="A473" s="2" t="s">
        <v>963</v>
      </c>
      <c r="B473" s="2" t="str">
        <f>Master_Data!B473</f>
        <v>Structural</v>
      </c>
      <c r="C473" s="18">
        <f>IF(Master_Data!H473="","",Master_Data!H473 - WEEKDAY(Master_Data!H473,2) + 1)</f>
        <v>45824</v>
      </c>
      <c r="D473" s="18">
        <f>IF(Master_Data!J473="","",Master_Data!J473 - WEEKDAY(Master_Data!J473,2) + 1)</f>
        <v>45838</v>
      </c>
      <c r="E473" s="18">
        <f>IF(Master_Data!M473="","",Master_Data!M473 - WEEKDAY(Master_Data!M473,2) + 1)</f>
        <v>45852</v>
      </c>
      <c r="F473" s="18">
        <f>IF(Master_Data!N473="","",Master_Data!N473 - WEEKDAY(Master_Data!N473,2) + 1)</f>
        <v>45999</v>
      </c>
      <c r="G473" s="19">
        <f>EOMONTH(Master_Data!H473,-1)+1</f>
        <v>45809</v>
      </c>
      <c r="H473" s="19">
        <f>IF(Master_Data!J473="","",EOMONTH(Master_Data!J473,-1)+1)</f>
        <v>45839</v>
      </c>
      <c r="I473" s="19">
        <f>IF(Master_Data!M473="","",EOMONTH(Master_Data!M473,-1)+1)</f>
        <v>45839</v>
      </c>
      <c r="J473" s="19">
        <f>IF(Master_Data!N473="","",EOMONTH(Master_Data!N473,-1)+1)</f>
        <v>45992</v>
      </c>
    </row>
    <row r="474" spans="1:10">
      <c r="A474" s="2" t="s">
        <v>965</v>
      </c>
      <c r="B474" s="2" t="str">
        <f>Master_Data!B474</f>
        <v>Structural</v>
      </c>
      <c r="C474" s="18">
        <f>IF(Master_Data!H474="","",Master_Data!H474 - WEEKDAY(Master_Data!H474,2) + 1)</f>
        <v>45824</v>
      </c>
      <c r="D474" s="18">
        <f>IF(Master_Data!J474="","",Master_Data!J474 - WEEKDAY(Master_Data!J474,2) + 1)</f>
        <v>45838</v>
      </c>
      <c r="E474" s="18">
        <f>IF(Master_Data!M474="","",Master_Data!M474 - WEEKDAY(Master_Data!M474,2) + 1)</f>
        <v>45852</v>
      </c>
      <c r="F474" s="18">
        <f>IF(Master_Data!N474="","",Master_Data!N474 - WEEKDAY(Master_Data!N474,2) + 1)</f>
        <v>45999</v>
      </c>
      <c r="G474" s="19">
        <f>EOMONTH(Master_Data!H474,-1)+1</f>
        <v>45809</v>
      </c>
      <c r="H474" s="19">
        <f>IF(Master_Data!J474="","",EOMONTH(Master_Data!J474,-1)+1)</f>
        <v>45839</v>
      </c>
      <c r="I474" s="19">
        <f>IF(Master_Data!M474="","",EOMONTH(Master_Data!M474,-1)+1)</f>
        <v>45839</v>
      </c>
      <c r="J474" s="19">
        <f>IF(Master_Data!N474="","",EOMONTH(Master_Data!N474,-1)+1)</f>
        <v>45992</v>
      </c>
    </row>
    <row r="475" spans="1:10">
      <c r="A475" s="2" t="s">
        <v>967</v>
      </c>
      <c r="B475" s="2" t="str">
        <f>Master_Data!B475</f>
        <v>Structural</v>
      </c>
      <c r="C475" s="18">
        <f>IF(Master_Data!H475="","",Master_Data!H475 - WEEKDAY(Master_Data!H475,2) + 1)</f>
        <v>46020</v>
      </c>
      <c r="D475" s="18">
        <f>IF(Master_Data!J475="","",Master_Data!J475 - WEEKDAY(Master_Data!J475,2) + 1)</f>
        <v>46090</v>
      </c>
      <c r="E475" s="18">
        <f>IF(Master_Data!M475="","",Master_Data!M475 - WEEKDAY(Master_Data!M475,2) + 1)</f>
        <v>46041</v>
      </c>
      <c r="F475" s="18">
        <f>IF(Master_Data!N475="","",Master_Data!N475 - WEEKDAY(Master_Data!N475,2) + 1)</f>
        <v>46132</v>
      </c>
      <c r="G475" s="19">
        <f>EOMONTH(Master_Data!H475,-1)+1</f>
        <v>45992</v>
      </c>
      <c r="H475" s="19">
        <f>IF(Master_Data!J475="","",EOMONTH(Master_Data!J475,-1)+1)</f>
        <v>46082</v>
      </c>
      <c r="I475" s="19">
        <f>IF(Master_Data!M475="","",EOMONTH(Master_Data!M475,-1)+1)</f>
        <v>46023</v>
      </c>
      <c r="J475" s="19">
        <f>IF(Master_Data!N475="","",EOMONTH(Master_Data!N475,-1)+1)</f>
        <v>46113</v>
      </c>
    </row>
    <row r="476" spans="1:10">
      <c r="A476" s="3" t="s">
        <v>969</v>
      </c>
      <c r="B476" s="2" t="str">
        <f>Master_Data!B476</f>
        <v>Structural</v>
      </c>
      <c r="C476" s="18">
        <f>IF(Master_Data!H476="","",Master_Data!H476 - WEEKDAY(Master_Data!H476,2) + 1)</f>
        <v>46020</v>
      </c>
      <c r="D476" s="18">
        <f>IF(Master_Data!J476="","",Master_Data!J476 - WEEKDAY(Master_Data!J476,2) + 1)</f>
        <v>45992</v>
      </c>
      <c r="E476" s="18">
        <f>IF(Master_Data!M476="","",Master_Data!M476 - WEEKDAY(Master_Data!M476,2) + 1)</f>
        <v>46041</v>
      </c>
      <c r="F476" s="18">
        <f>IF(Master_Data!N476="","",Master_Data!N476 - WEEKDAY(Master_Data!N476,2) + 1)</f>
        <v>45999</v>
      </c>
      <c r="G476" s="19">
        <f>EOMONTH(Master_Data!H476,-1)+1</f>
        <v>45992</v>
      </c>
      <c r="H476" s="19">
        <f>IF(Master_Data!J476="","",EOMONTH(Master_Data!J476,-1)+1)</f>
        <v>45992</v>
      </c>
      <c r="I476" s="19">
        <f>IF(Master_Data!M476="","",EOMONTH(Master_Data!M476,-1)+1)</f>
        <v>46023</v>
      </c>
      <c r="J476" s="19">
        <f>IF(Master_Data!N476="","",EOMONTH(Master_Data!N476,-1)+1)</f>
        <v>45992</v>
      </c>
    </row>
    <row r="477" spans="1:10">
      <c r="A477" s="4" t="s">
        <v>971</v>
      </c>
      <c r="B477" s="2" t="str">
        <f>Master_Data!B477</f>
        <v>Structural</v>
      </c>
      <c r="C477" s="18">
        <f>IF(Master_Data!H477="","",Master_Data!H477 - WEEKDAY(Master_Data!H477,2) + 1)</f>
        <v>46020</v>
      </c>
      <c r="D477" s="18">
        <f>IF(Master_Data!J477="","",Master_Data!J477 - WEEKDAY(Master_Data!J477,2) + 1)</f>
        <v>45999</v>
      </c>
      <c r="E477" s="18">
        <f>IF(Master_Data!M477="","",Master_Data!M477 - WEEKDAY(Master_Data!M477,2) + 1)</f>
        <v>46041</v>
      </c>
      <c r="F477" s="18">
        <f>IF(Master_Data!N477="","",Master_Data!N477 - WEEKDAY(Master_Data!N477,2) + 1)</f>
        <v>46006</v>
      </c>
      <c r="G477" s="19">
        <f>EOMONTH(Master_Data!H477,-1)+1</f>
        <v>45992</v>
      </c>
      <c r="H477" s="19">
        <f>IF(Master_Data!J477="","",EOMONTH(Master_Data!J477,-1)+1)</f>
        <v>45992</v>
      </c>
      <c r="I477" s="19">
        <f>IF(Master_Data!M477="","",EOMONTH(Master_Data!M477,-1)+1)</f>
        <v>46023</v>
      </c>
      <c r="J477" s="19">
        <f>IF(Master_Data!N477="","",EOMONTH(Master_Data!N477,-1)+1)</f>
        <v>45992</v>
      </c>
    </row>
    <row r="478" spans="1:10">
      <c r="A478" s="4" t="s">
        <v>973</v>
      </c>
      <c r="B478" s="2" t="str">
        <f>Master_Data!B478</f>
        <v>Structural</v>
      </c>
      <c r="C478" s="18">
        <f>IF(Master_Data!H478="","",Master_Data!H478 - WEEKDAY(Master_Data!H478,2) + 1)</f>
        <v>46020</v>
      </c>
      <c r="D478" s="18">
        <f>IF(Master_Data!J478="","",Master_Data!J478 - WEEKDAY(Master_Data!J478,2) + 1)</f>
        <v>45999</v>
      </c>
      <c r="E478" s="18">
        <f>IF(Master_Data!M478="","",Master_Data!M478 - WEEKDAY(Master_Data!M478,2) + 1)</f>
        <v>46041</v>
      </c>
      <c r="F478" s="18">
        <f>IF(Master_Data!N478="","",Master_Data!N478 - WEEKDAY(Master_Data!N478,2) + 1)</f>
        <v>46006</v>
      </c>
      <c r="G478" s="19">
        <f>EOMONTH(Master_Data!H478,-1)+1</f>
        <v>45992</v>
      </c>
      <c r="H478" s="19">
        <f>IF(Master_Data!J478="","",EOMONTH(Master_Data!J478,-1)+1)</f>
        <v>45992</v>
      </c>
      <c r="I478" s="19">
        <f>IF(Master_Data!M478="","",EOMONTH(Master_Data!M478,-1)+1)</f>
        <v>46023</v>
      </c>
      <c r="J478" s="19">
        <f>IF(Master_Data!N478="","",EOMONTH(Master_Data!N478,-1)+1)</f>
        <v>45992</v>
      </c>
    </row>
    <row r="479" spans="1:10">
      <c r="A479" s="3" t="s">
        <v>975</v>
      </c>
      <c r="B479" s="2" t="str">
        <f>Master_Data!B479</f>
        <v>Structural</v>
      </c>
      <c r="C479" s="18">
        <f>IF(Master_Data!H479="","",Master_Data!H479 - WEEKDAY(Master_Data!H479,2) + 1)</f>
        <v>45719</v>
      </c>
      <c r="D479" s="18">
        <f>IF(Master_Data!J479="","",Master_Data!J479 - WEEKDAY(Master_Data!J479,2) + 1)</f>
        <v>45719</v>
      </c>
      <c r="E479" s="18">
        <f>IF(Master_Data!M479="","",Master_Data!M479 - WEEKDAY(Master_Data!M479,2) + 1)</f>
        <v>45740</v>
      </c>
      <c r="F479" s="18">
        <f>IF(Master_Data!N479="","",Master_Data!N479 - WEEKDAY(Master_Data!N479,2) + 1)</f>
        <v>45740</v>
      </c>
      <c r="G479" s="19">
        <f>EOMONTH(Master_Data!H479,-1)+1</f>
        <v>45717</v>
      </c>
      <c r="H479" s="19">
        <f>IF(Master_Data!J479="","",EOMONTH(Master_Data!J479,-1)+1)</f>
        <v>45717</v>
      </c>
      <c r="I479" s="19">
        <f>IF(Master_Data!M479="","",EOMONTH(Master_Data!M479,-1)+1)</f>
        <v>45717</v>
      </c>
      <c r="J479" s="19">
        <f>IF(Master_Data!N479="","",EOMONTH(Master_Data!N479,-1)+1)</f>
        <v>45717</v>
      </c>
    </row>
    <row r="480" spans="1:10">
      <c r="A480" s="3" t="s">
        <v>977</v>
      </c>
      <c r="B480" s="2" t="str">
        <f>Master_Data!B480</f>
        <v>Structural</v>
      </c>
      <c r="C480" s="18">
        <f>IF(Master_Data!H480="","",Master_Data!H480 - WEEKDAY(Master_Data!H480,2) + 1)</f>
        <v>45719</v>
      </c>
      <c r="D480" s="18">
        <f>IF(Master_Data!J480="","",Master_Data!J480 - WEEKDAY(Master_Data!J480,2) + 1)</f>
        <v>45719</v>
      </c>
      <c r="E480" s="18">
        <f>IF(Master_Data!M480="","",Master_Data!M480 - WEEKDAY(Master_Data!M480,2) + 1)</f>
        <v>45740</v>
      </c>
      <c r="F480" s="18">
        <f>IF(Master_Data!N480="","",Master_Data!N480 - WEEKDAY(Master_Data!N480,2) + 1)</f>
        <v>45740</v>
      </c>
      <c r="G480" s="19">
        <f>EOMONTH(Master_Data!H480,-1)+1</f>
        <v>45717</v>
      </c>
      <c r="H480" s="19">
        <f>IF(Master_Data!J480="","",EOMONTH(Master_Data!J480,-1)+1)</f>
        <v>45717</v>
      </c>
      <c r="I480" s="19">
        <f>IF(Master_Data!M480="","",EOMONTH(Master_Data!M480,-1)+1)</f>
        <v>45717</v>
      </c>
      <c r="J480" s="19">
        <f>IF(Master_Data!N480="","",EOMONTH(Master_Data!N480,-1)+1)</f>
        <v>45717</v>
      </c>
    </row>
    <row r="481" spans="1:10">
      <c r="A481" s="3" t="s">
        <v>979</v>
      </c>
      <c r="B481" s="2" t="str">
        <f>Master_Data!B481</f>
        <v>Structural</v>
      </c>
      <c r="C481" s="18">
        <f>IF(Master_Data!H481="","",Master_Data!H481 - WEEKDAY(Master_Data!H481,2) + 1)</f>
        <v>45719</v>
      </c>
      <c r="D481" s="18">
        <f>IF(Master_Data!J481="","",Master_Data!J481 - WEEKDAY(Master_Data!J481,2) + 1)</f>
        <v>45719</v>
      </c>
      <c r="E481" s="18">
        <f>IF(Master_Data!M481="","",Master_Data!M481 - WEEKDAY(Master_Data!M481,2) + 1)</f>
        <v>45740</v>
      </c>
      <c r="F481" s="18">
        <f>IF(Master_Data!N481="","",Master_Data!N481 - WEEKDAY(Master_Data!N481,2) + 1)</f>
        <v>45740</v>
      </c>
      <c r="G481" s="19">
        <f>EOMONTH(Master_Data!H481,-1)+1</f>
        <v>45717</v>
      </c>
      <c r="H481" s="19">
        <f>IF(Master_Data!J481="","",EOMONTH(Master_Data!J481,-1)+1)</f>
        <v>45717</v>
      </c>
      <c r="I481" s="19">
        <f>IF(Master_Data!M481="","",EOMONTH(Master_Data!M481,-1)+1)</f>
        <v>45717</v>
      </c>
      <c r="J481" s="19">
        <f>IF(Master_Data!N481="","",EOMONTH(Master_Data!N481,-1)+1)</f>
        <v>45717</v>
      </c>
    </row>
    <row r="482" spans="1:10">
      <c r="A482" s="3" t="s">
        <v>981</v>
      </c>
      <c r="B482" s="2" t="str">
        <f>Master_Data!B482</f>
        <v>Structural</v>
      </c>
      <c r="C482" s="18">
        <f>IF(Master_Data!H482="","",Master_Data!H482 - WEEKDAY(Master_Data!H482,2) + 1)</f>
        <v>45719</v>
      </c>
      <c r="D482" s="18">
        <f>IF(Master_Data!J482="","",Master_Data!J482 - WEEKDAY(Master_Data!J482,2) + 1)</f>
        <v>45719</v>
      </c>
      <c r="E482" s="18">
        <f>IF(Master_Data!M482="","",Master_Data!M482 - WEEKDAY(Master_Data!M482,2) + 1)</f>
        <v>45740</v>
      </c>
      <c r="F482" s="18">
        <f>IF(Master_Data!N482="","",Master_Data!N482 - WEEKDAY(Master_Data!N482,2) + 1)</f>
        <v>45740</v>
      </c>
      <c r="G482" s="19">
        <f>EOMONTH(Master_Data!H482,-1)+1</f>
        <v>45717</v>
      </c>
      <c r="H482" s="19">
        <f>IF(Master_Data!J482="","",EOMONTH(Master_Data!J482,-1)+1)</f>
        <v>45717</v>
      </c>
      <c r="I482" s="19">
        <f>IF(Master_Data!M482="","",EOMONTH(Master_Data!M482,-1)+1)</f>
        <v>45717</v>
      </c>
      <c r="J482" s="19">
        <f>IF(Master_Data!N482="","",EOMONTH(Master_Data!N482,-1)+1)</f>
        <v>45717</v>
      </c>
    </row>
    <row r="483" spans="1:10">
      <c r="A483" s="3" t="s">
        <v>983</v>
      </c>
      <c r="B483" s="2" t="str">
        <f>Master_Data!B483</f>
        <v>Structural</v>
      </c>
      <c r="C483" s="18">
        <f>IF(Master_Data!H483="","",Master_Data!H483 - WEEKDAY(Master_Data!H483,2) + 1)</f>
        <v>45719</v>
      </c>
      <c r="D483" s="18">
        <f>IF(Master_Data!J483="","",Master_Data!J483 - WEEKDAY(Master_Data!J483,2) + 1)</f>
        <v>45719</v>
      </c>
      <c r="E483" s="18">
        <f>IF(Master_Data!M483="","",Master_Data!M483 - WEEKDAY(Master_Data!M483,2) + 1)</f>
        <v>45740</v>
      </c>
      <c r="F483" s="18">
        <f>IF(Master_Data!N483="","",Master_Data!N483 - WEEKDAY(Master_Data!N483,2) + 1)</f>
        <v>45740</v>
      </c>
      <c r="G483" s="19">
        <f>EOMONTH(Master_Data!H483,-1)+1</f>
        <v>45717</v>
      </c>
      <c r="H483" s="19">
        <f>IF(Master_Data!J483="","",EOMONTH(Master_Data!J483,-1)+1)</f>
        <v>45717</v>
      </c>
      <c r="I483" s="19">
        <f>IF(Master_Data!M483="","",EOMONTH(Master_Data!M483,-1)+1)</f>
        <v>45717</v>
      </c>
      <c r="J483" s="19">
        <f>IF(Master_Data!N483="","",EOMONTH(Master_Data!N483,-1)+1)</f>
        <v>45717</v>
      </c>
    </row>
    <row r="484" spans="1:10">
      <c r="A484" s="3" t="s">
        <v>985</v>
      </c>
      <c r="B484" s="2" t="str">
        <f>Master_Data!B484</f>
        <v>Structural</v>
      </c>
      <c r="C484" s="18">
        <f>IF(Master_Data!H484="","",Master_Data!H484 - WEEKDAY(Master_Data!H484,2) + 1)</f>
        <v>45719</v>
      </c>
      <c r="D484" s="18">
        <f>IF(Master_Data!J484="","",Master_Data!J484 - WEEKDAY(Master_Data!J484,2) + 1)</f>
        <v>45719</v>
      </c>
      <c r="E484" s="18">
        <f>IF(Master_Data!M484="","",Master_Data!M484 - WEEKDAY(Master_Data!M484,2) + 1)</f>
        <v>45754</v>
      </c>
      <c r="F484" s="18">
        <f>IF(Master_Data!N484="","",Master_Data!N484 - WEEKDAY(Master_Data!N484,2) + 1)</f>
        <v>45768</v>
      </c>
      <c r="G484" s="19">
        <f>EOMONTH(Master_Data!H484,-1)+1</f>
        <v>45717</v>
      </c>
      <c r="H484" s="19">
        <f>IF(Master_Data!J484="","",EOMONTH(Master_Data!J484,-1)+1)</f>
        <v>45717</v>
      </c>
      <c r="I484" s="19">
        <f>IF(Master_Data!M484="","",EOMONTH(Master_Data!M484,-1)+1)</f>
        <v>45748</v>
      </c>
      <c r="J484" s="19">
        <f>IF(Master_Data!N484="","",EOMONTH(Master_Data!N484,-1)+1)</f>
        <v>45748</v>
      </c>
    </row>
    <row r="485" spans="1:10">
      <c r="A485" s="3" t="s">
        <v>987</v>
      </c>
      <c r="B485" s="2" t="str">
        <f>Master_Data!B485</f>
        <v>Structural</v>
      </c>
      <c r="C485" s="18">
        <f>IF(Master_Data!H485="","",Master_Data!H485 - WEEKDAY(Master_Data!H485,2) + 1)</f>
        <v>45719</v>
      </c>
      <c r="D485" s="18">
        <f>IF(Master_Data!J485="","",Master_Data!J485 - WEEKDAY(Master_Data!J485,2) + 1)</f>
        <v>45719</v>
      </c>
      <c r="E485" s="18">
        <f>IF(Master_Data!M485="","",Master_Data!M485 - WEEKDAY(Master_Data!M485,2) + 1)</f>
        <v>45740</v>
      </c>
      <c r="F485" s="18">
        <f>IF(Master_Data!N485="","",Master_Data!N485 - WEEKDAY(Master_Data!N485,2) + 1)</f>
        <v>45768</v>
      </c>
      <c r="G485" s="19">
        <f>EOMONTH(Master_Data!H485,-1)+1</f>
        <v>45717</v>
      </c>
      <c r="H485" s="19">
        <f>IF(Master_Data!J485="","",EOMONTH(Master_Data!J485,-1)+1)</f>
        <v>45717</v>
      </c>
      <c r="I485" s="19">
        <f>IF(Master_Data!M485="","",EOMONTH(Master_Data!M485,-1)+1)</f>
        <v>45717</v>
      </c>
      <c r="J485" s="19">
        <f>IF(Master_Data!N485="","",EOMONTH(Master_Data!N485,-1)+1)</f>
        <v>45748</v>
      </c>
    </row>
    <row r="486" spans="1:10">
      <c r="A486" s="3" t="s">
        <v>989</v>
      </c>
      <c r="B486" s="2" t="str">
        <f>Master_Data!B486</f>
        <v>Structural</v>
      </c>
      <c r="C486" s="18">
        <f>IF(Master_Data!H486="","",Master_Data!H486 - WEEKDAY(Master_Data!H486,2) + 1)</f>
        <v>45719</v>
      </c>
      <c r="D486" s="18">
        <f>IF(Master_Data!J486="","",Master_Data!J486 - WEEKDAY(Master_Data!J486,2) + 1)</f>
        <v>45719</v>
      </c>
      <c r="E486" s="18">
        <f>IF(Master_Data!M486="","",Master_Data!M486 - WEEKDAY(Master_Data!M486,2) + 1)</f>
        <v>45740</v>
      </c>
      <c r="F486" s="18">
        <f>IF(Master_Data!N486="","",Master_Data!N486 - WEEKDAY(Master_Data!N486,2) + 1)</f>
        <v>45768</v>
      </c>
      <c r="G486" s="19">
        <f>EOMONTH(Master_Data!H486,-1)+1</f>
        <v>45717</v>
      </c>
      <c r="H486" s="19">
        <f>IF(Master_Data!J486="","",EOMONTH(Master_Data!J486,-1)+1)</f>
        <v>45717</v>
      </c>
      <c r="I486" s="19">
        <f>IF(Master_Data!M486="","",EOMONTH(Master_Data!M486,-1)+1)</f>
        <v>45717</v>
      </c>
      <c r="J486" s="19">
        <f>IF(Master_Data!N486="","",EOMONTH(Master_Data!N486,-1)+1)</f>
        <v>45748</v>
      </c>
    </row>
    <row r="487" spans="1:10">
      <c r="A487" s="3" t="s">
        <v>991</v>
      </c>
      <c r="B487" s="2" t="str">
        <f>Master_Data!B487</f>
        <v>Structural</v>
      </c>
      <c r="C487" s="18">
        <f>IF(Master_Data!H487="","",Master_Data!H487 - WEEKDAY(Master_Data!H487,2) + 1)</f>
        <v>45719</v>
      </c>
      <c r="D487" s="18">
        <f>IF(Master_Data!J487="","",Master_Data!J487 - WEEKDAY(Master_Data!J487,2) + 1)</f>
        <v>45719</v>
      </c>
      <c r="E487" s="18">
        <f>IF(Master_Data!M487="","",Master_Data!M487 - WEEKDAY(Master_Data!M487,2) + 1)</f>
        <v>45740</v>
      </c>
      <c r="F487" s="18">
        <f>IF(Master_Data!N487="","",Master_Data!N487 - WEEKDAY(Master_Data!N487,2) + 1)</f>
        <v>45740</v>
      </c>
      <c r="G487" s="19">
        <f>EOMONTH(Master_Data!H487,-1)+1</f>
        <v>45717</v>
      </c>
      <c r="H487" s="19">
        <f>IF(Master_Data!J487="","",EOMONTH(Master_Data!J487,-1)+1)</f>
        <v>45717</v>
      </c>
      <c r="I487" s="19">
        <f>IF(Master_Data!M487="","",EOMONTH(Master_Data!M487,-1)+1)</f>
        <v>45717</v>
      </c>
      <c r="J487" s="19">
        <f>IF(Master_Data!N487="","",EOMONTH(Master_Data!N487,-1)+1)</f>
        <v>45717</v>
      </c>
    </row>
    <row r="488" spans="1:10">
      <c r="A488" s="2" t="s">
        <v>993</v>
      </c>
      <c r="B488" s="2" t="str">
        <f>Master_Data!B488</f>
        <v>Structural</v>
      </c>
      <c r="C488" s="18">
        <f>IF(Master_Data!H488="","",Master_Data!H488 - WEEKDAY(Master_Data!H488,2) + 1)</f>
        <v>45740</v>
      </c>
      <c r="D488" s="18">
        <f>IF(Master_Data!J488="","",Master_Data!J488 - WEEKDAY(Master_Data!J488,2) + 1)</f>
        <v>45740</v>
      </c>
      <c r="E488" s="18">
        <f>IF(Master_Data!M488="","",Master_Data!M488 - WEEKDAY(Master_Data!M488,2) + 1)</f>
        <v>45768</v>
      </c>
      <c r="F488" s="18">
        <f>IF(Master_Data!N488="","",Master_Data!N488 - WEEKDAY(Master_Data!N488,2) + 1)</f>
        <v>45740</v>
      </c>
      <c r="G488" s="19">
        <f>EOMONTH(Master_Data!H488,-1)+1</f>
        <v>45717</v>
      </c>
      <c r="H488" s="19">
        <f>IF(Master_Data!J488="","",EOMONTH(Master_Data!J488,-1)+1)</f>
        <v>45717</v>
      </c>
      <c r="I488" s="19">
        <f>IF(Master_Data!M488="","",EOMONTH(Master_Data!M488,-1)+1)</f>
        <v>45748</v>
      </c>
      <c r="J488" s="19">
        <f>IF(Master_Data!N488="","",EOMONTH(Master_Data!N488,-1)+1)</f>
        <v>45717</v>
      </c>
    </row>
    <row r="489" spans="1:10">
      <c r="A489" s="2" t="s">
        <v>995</v>
      </c>
      <c r="B489" s="2" t="str">
        <f>Master_Data!B489</f>
        <v>Structural</v>
      </c>
      <c r="C489" s="18">
        <f>IF(Master_Data!H489="","",Master_Data!H489 - WEEKDAY(Master_Data!H489,2) + 1)</f>
        <v>45747</v>
      </c>
      <c r="D489" s="18">
        <f>IF(Master_Data!J489="","",Master_Data!J489 - WEEKDAY(Master_Data!J489,2) + 1)</f>
        <v>45747</v>
      </c>
      <c r="E489" s="18">
        <f>IF(Master_Data!M489="","",Master_Data!M489 - WEEKDAY(Master_Data!M489,2) + 1)</f>
        <v>45775</v>
      </c>
      <c r="F489" s="18">
        <f>IF(Master_Data!N489="","",Master_Data!N489 - WEEKDAY(Master_Data!N489,2) + 1)</f>
        <v>45999</v>
      </c>
      <c r="G489" s="19">
        <f>EOMONTH(Master_Data!H489,-1)+1</f>
        <v>45748</v>
      </c>
      <c r="H489" s="19">
        <f>IF(Master_Data!J489="","",EOMONTH(Master_Data!J489,-1)+1)</f>
        <v>45748</v>
      </c>
      <c r="I489" s="19">
        <f>IF(Master_Data!M489="","",EOMONTH(Master_Data!M489,-1)+1)</f>
        <v>45778</v>
      </c>
      <c r="J489" s="19">
        <f>IF(Master_Data!N489="","",EOMONTH(Master_Data!N489,-1)+1)</f>
        <v>45992</v>
      </c>
    </row>
    <row r="490" spans="1:10">
      <c r="A490" s="2" t="s">
        <v>997</v>
      </c>
      <c r="B490" s="2" t="str">
        <f>Master_Data!B490</f>
        <v>Structural</v>
      </c>
      <c r="C490" s="18">
        <f>IF(Master_Data!H490="","",Master_Data!H490 - WEEKDAY(Master_Data!H490,2) + 1)</f>
        <v>45747</v>
      </c>
      <c r="D490" s="18">
        <f>IF(Master_Data!J490="","",Master_Data!J490 - WEEKDAY(Master_Data!J490,2) + 1)</f>
        <v>45747</v>
      </c>
      <c r="E490" s="18">
        <f>IF(Master_Data!M490="","",Master_Data!M490 - WEEKDAY(Master_Data!M490,2) + 1)</f>
        <v>45775</v>
      </c>
      <c r="F490" s="18">
        <f>IF(Master_Data!N490="","",Master_Data!N490 - WEEKDAY(Master_Data!N490,2) + 1)</f>
        <v>45999</v>
      </c>
      <c r="G490" s="19">
        <f>EOMONTH(Master_Data!H490,-1)+1</f>
        <v>45748</v>
      </c>
      <c r="H490" s="19">
        <f>IF(Master_Data!J490="","",EOMONTH(Master_Data!J490,-1)+1)</f>
        <v>45748</v>
      </c>
      <c r="I490" s="19">
        <f>IF(Master_Data!M490="","",EOMONTH(Master_Data!M490,-1)+1)</f>
        <v>45778</v>
      </c>
      <c r="J490" s="19">
        <f>IF(Master_Data!N490="","",EOMONTH(Master_Data!N490,-1)+1)</f>
        <v>45992</v>
      </c>
    </row>
    <row r="491" spans="1:10">
      <c r="A491" s="2" t="s">
        <v>999</v>
      </c>
      <c r="B491" s="2" t="str">
        <f>Master_Data!B491</f>
        <v>Structural</v>
      </c>
      <c r="C491" s="18">
        <f>IF(Master_Data!H491="","",Master_Data!H491 - WEEKDAY(Master_Data!H491,2) + 1)</f>
        <v>45747</v>
      </c>
      <c r="D491" s="18">
        <f>IF(Master_Data!J491="","",Master_Data!J491 - WEEKDAY(Master_Data!J491,2) + 1)</f>
        <v>45754</v>
      </c>
      <c r="E491" s="18">
        <f>IF(Master_Data!M491="","",Master_Data!M491 - WEEKDAY(Master_Data!M491,2) + 1)</f>
        <v>45775</v>
      </c>
      <c r="F491" s="18">
        <f>IF(Master_Data!N491="","",Master_Data!N491 - WEEKDAY(Master_Data!N491,2) + 1)</f>
        <v>45999</v>
      </c>
      <c r="G491" s="19">
        <f>EOMONTH(Master_Data!H491,-1)+1</f>
        <v>45748</v>
      </c>
      <c r="H491" s="19">
        <f>IF(Master_Data!J491="","",EOMONTH(Master_Data!J491,-1)+1)</f>
        <v>45748</v>
      </c>
      <c r="I491" s="19">
        <f>IF(Master_Data!M491="","",EOMONTH(Master_Data!M491,-1)+1)</f>
        <v>45778</v>
      </c>
      <c r="J491" s="19">
        <f>IF(Master_Data!N491="","",EOMONTH(Master_Data!N491,-1)+1)</f>
        <v>45992</v>
      </c>
    </row>
    <row r="492" spans="1:10">
      <c r="A492" s="2" t="s">
        <v>1001</v>
      </c>
      <c r="B492" s="2" t="str">
        <f>Master_Data!B492</f>
        <v>Structural</v>
      </c>
      <c r="C492" s="18">
        <f>IF(Master_Data!H492="","",Master_Data!H492 - WEEKDAY(Master_Data!H492,2) + 1)</f>
        <v>45747</v>
      </c>
      <c r="D492" s="18">
        <f>IF(Master_Data!J492="","",Master_Data!J492 - WEEKDAY(Master_Data!J492,2) + 1)</f>
        <v>45775</v>
      </c>
      <c r="E492" s="18">
        <f>IF(Master_Data!M492="","",Master_Data!M492 - WEEKDAY(Master_Data!M492,2) + 1)</f>
        <v>45775</v>
      </c>
      <c r="F492" s="18">
        <f>IF(Master_Data!N492="","",Master_Data!N492 - WEEKDAY(Master_Data!N492,2) + 1)</f>
        <v>46132</v>
      </c>
      <c r="G492" s="19">
        <f>EOMONTH(Master_Data!H492,-1)+1</f>
        <v>45748</v>
      </c>
      <c r="H492" s="19">
        <f>IF(Master_Data!J492="","",EOMONTH(Master_Data!J492,-1)+1)</f>
        <v>45778</v>
      </c>
      <c r="I492" s="19">
        <f>IF(Master_Data!M492="","",EOMONTH(Master_Data!M492,-1)+1)</f>
        <v>45778</v>
      </c>
      <c r="J492" s="19">
        <f>IF(Master_Data!N492="","",EOMONTH(Master_Data!N492,-1)+1)</f>
        <v>46113</v>
      </c>
    </row>
    <row r="493" spans="1:10">
      <c r="A493" s="2" t="s">
        <v>1003</v>
      </c>
      <c r="B493" s="2" t="str">
        <f>Master_Data!B493</f>
        <v>Structural</v>
      </c>
      <c r="C493" s="18">
        <f>IF(Master_Data!H493="","",Master_Data!H493 - WEEKDAY(Master_Data!H493,2) + 1)</f>
        <v>45754</v>
      </c>
      <c r="D493" s="18">
        <f>IF(Master_Data!J493="","",Master_Data!J493 - WEEKDAY(Master_Data!J493,2) + 1)</f>
        <v>45761</v>
      </c>
      <c r="E493" s="18">
        <f>IF(Master_Data!M493="","",Master_Data!M493 - WEEKDAY(Master_Data!M493,2) + 1)</f>
        <v>45782</v>
      </c>
      <c r="F493" s="18">
        <f>IF(Master_Data!N493="","",Master_Data!N493 - WEEKDAY(Master_Data!N493,2) + 1)</f>
        <v>45999</v>
      </c>
      <c r="G493" s="19">
        <f>EOMONTH(Master_Data!H493,-1)+1</f>
        <v>45748</v>
      </c>
      <c r="H493" s="19">
        <f>IF(Master_Data!J493="","",EOMONTH(Master_Data!J493,-1)+1)</f>
        <v>45748</v>
      </c>
      <c r="I493" s="19">
        <f>IF(Master_Data!M493="","",EOMONTH(Master_Data!M493,-1)+1)</f>
        <v>45778</v>
      </c>
      <c r="J493" s="19">
        <f>IF(Master_Data!N493="","",EOMONTH(Master_Data!N493,-1)+1)</f>
        <v>45992</v>
      </c>
    </row>
    <row r="494" spans="1:10">
      <c r="A494" s="3" t="s">
        <v>1005</v>
      </c>
      <c r="B494" s="2" t="str">
        <f>Master_Data!B494</f>
        <v>Structural</v>
      </c>
      <c r="C494" s="18">
        <f>IF(Master_Data!H494="","",Master_Data!H494 - WEEKDAY(Master_Data!H494,2) + 1)</f>
        <v>45719</v>
      </c>
      <c r="D494" s="18">
        <f>IF(Master_Data!J494="","",Master_Data!J494 - WEEKDAY(Master_Data!J494,2) + 1)</f>
        <v>45719</v>
      </c>
      <c r="E494" s="18">
        <f>IF(Master_Data!M494="","",Master_Data!M494 - WEEKDAY(Master_Data!M494,2) + 1)</f>
        <v>45740</v>
      </c>
      <c r="F494" s="18">
        <f>IF(Master_Data!N494="","",Master_Data!N494 - WEEKDAY(Master_Data!N494,2) + 1)</f>
        <v>45789</v>
      </c>
      <c r="G494" s="19">
        <f>EOMONTH(Master_Data!H494,-1)+1</f>
        <v>45717</v>
      </c>
      <c r="H494" s="19">
        <f>IF(Master_Data!J494="","",EOMONTH(Master_Data!J494,-1)+1)</f>
        <v>45717</v>
      </c>
      <c r="I494" s="19">
        <f>IF(Master_Data!M494="","",EOMONTH(Master_Data!M494,-1)+1)</f>
        <v>45717</v>
      </c>
      <c r="J494" s="19">
        <f>IF(Master_Data!N494="","",EOMONTH(Master_Data!N494,-1)+1)</f>
        <v>45778</v>
      </c>
    </row>
    <row r="495" spans="1:10">
      <c r="A495" s="2" t="s">
        <v>1007</v>
      </c>
      <c r="B495" s="2" t="str">
        <f>Master_Data!B495</f>
        <v>Structural</v>
      </c>
      <c r="C495" s="18">
        <f>IF(Master_Data!H495="","",Master_Data!H495 - WEEKDAY(Master_Data!H495,2) + 1)</f>
        <v>45985</v>
      </c>
      <c r="D495" s="18" t="str">
        <f>IF(Master_Data!J495="","",Master_Data!J495 - WEEKDAY(Master_Data!J495,2) + 1)</f>
        <v/>
      </c>
      <c r="E495" s="18">
        <f>IF(Master_Data!M495="","",Master_Data!M495 - WEEKDAY(Master_Data!M495,2) + 1)</f>
        <v>46006</v>
      </c>
      <c r="F495" s="18" t="str">
        <f>IF(Master_Data!N495="","",Master_Data!N495 - WEEKDAY(Master_Data!N495,2) + 1)</f>
        <v/>
      </c>
      <c r="G495" s="19">
        <f>EOMONTH(Master_Data!H495,-1)+1</f>
        <v>45962</v>
      </c>
      <c r="H495" s="19" t="str">
        <f>IF(Master_Data!J495="","",EOMONTH(Master_Data!J495,-1)+1)</f>
        <v/>
      </c>
      <c r="I495" s="19">
        <f>IF(Master_Data!M495="","",EOMONTH(Master_Data!M495,-1)+1)</f>
        <v>45992</v>
      </c>
      <c r="J495" s="19" t="str">
        <f>IF(Master_Data!N495="","",EOMONTH(Master_Data!N495,-1)+1)</f>
        <v/>
      </c>
    </row>
    <row r="496" spans="1:10">
      <c r="A496" s="2" t="s">
        <v>1009</v>
      </c>
      <c r="B496" s="2" t="str">
        <f>Master_Data!B496</f>
        <v>Structural</v>
      </c>
      <c r="C496" s="18">
        <f>IF(Master_Data!H496="","",Master_Data!H496 - WEEKDAY(Master_Data!H496,2) + 1)</f>
        <v>45985</v>
      </c>
      <c r="D496" s="18">
        <f>IF(Master_Data!J496="","",Master_Data!J496 - WEEKDAY(Master_Data!J496,2) + 1)</f>
        <v>46041</v>
      </c>
      <c r="E496" s="18">
        <f>IF(Master_Data!M496="","",Master_Data!M496 - WEEKDAY(Master_Data!M496,2) + 1)</f>
        <v>46013</v>
      </c>
      <c r="F496" s="18">
        <f>IF(Master_Data!N496="","",Master_Data!N496 - WEEKDAY(Master_Data!N496,2) + 1)</f>
        <v>46153</v>
      </c>
      <c r="G496" s="19">
        <f>EOMONTH(Master_Data!H496,-1)+1</f>
        <v>45962</v>
      </c>
      <c r="H496" s="19">
        <f>IF(Master_Data!J496="","",EOMONTH(Master_Data!J496,-1)+1)</f>
        <v>46023</v>
      </c>
      <c r="I496" s="19">
        <f>IF(Master_Data!M496="","",EOMONTH(Master_Data!M496,-1)+1)</f>
        <v>45992</v>
      </c>
      <c r="J496" s="19">
        <f>IF(Master_Data!N496="","",EOMONTH(Master_Data!N496,-1)+1)</f>
        <v>46143</v>
      </c>
    </row>
    <row r="497" spans="1:10">
      <c r="A497" s="2" t="s">
        <v>1011</v>
      </c>
      <c r="B497" s="2" t="str">
        <f>Master_Data!B497</f>
        <v>Structural</v>
      </c>
      <c r="C497" s="18">
        <f>IF(Master_Data!H497="","",Master_Data!H497 - WEEKDAY(Master_Data!H497,2) + 1)</f>
        <v>45985</v>
      </c>
      <c r="D497" s="18">
        <f>IF(Master_Data!J497="","",Master_Data!J497 - WEEKDAY(Master_Data!J497,2) + 1)</f>
        <v>46041</v>
      </c>
      <c r="E497" s="18">
        <f>IF(Master_Data!M497="","",Master_Data!M497 - WEEKDAY(Master_Data!M497,2) + 1)</f>
        <v>46013</v>
      </c>
      <c r="F497" s="18">
        <f>IF(Master_Data!N497="","",Master_Data!N497 - WEEKDAY(Master_Data!N497,2) + 1)</f>
        <v>46153</v>
      </c>
      <c r="G497" s="19">
        <f>EOMONTH(Master_Data!H497,-1)+1</f>
        <v>45962</v>
      </c>
      <c r="H497" s="19">
        <f>IF(Master_Data!J497="","",EOMONTH(Master_Data!J497,-1)+1)</f>
        <v>46023</v>
      </c>
      <c r="I497" s="19">
        <f>IF(Master_Data!M497="","",EOMONTH(Master_Data!M497,-1)+1)</f>
        <v>45992</v>
      </c>
      <c r="J497" s="19">
        <f>IF(Master_Data!N497="","",EOMONTH(Master_Data!N497,-1)+1)</f>
        <v>46143</v>
      </c>
    </row>
    <row r="498" spans="1:10">
      <c r="A498" s="2" t="s">
        <v>1013</v>
      </c>
      <c r="B498" s="2" t="str">
        <f>Master_Data!B498</f>
        <v>Structural</v>
      </c>
      <c r="C498" s="18">
        <f>IF(Master_Data!H498="","",Master_Data!H498 - WEEKDAY(Master_Data!H498,2) + 1)</f>
        <v>46020</v>
      </c>
      <c r="D498" s="18">
        <f>IF(Master_Data!J498="","",Master_Data!J498 - WEEKDAY(Master_Data!J498,2) + 1)</f>
        <v>46034</v>
      </c>
      <c r="E498" s="18">
        <f>IF(Master_Data!M498="","",Master_Data!M498 - WEEKDAY(Master_Data!M498,2) + 1)</f>
        <v>46048</v>
      </c>
      <c r="F498" s="18">
        <f>IF(Master_Data!N498="","",Master_Data!N498 - WEEKDAY(Master_Data!N498,2) + 1)</f>
        <v>46153</v>
      </c>
      <c r="G498" s="19">
        <f>EOMONTH(Master_Data!H498,-1)+1</f>
        <v>45992</v>
      </c>
      <c r="H498" s="19">
        <f>IF(Master_Data!J498="","",EOMONTH(Master_Data!J498,-1)+1)</f>
        <v>46023</v>
      </c>
      <c r="I498" s="19">
        <f>IF(Master_Data!M498="","",EOMONTH(Master_Data!M498,-1)+1)</f>
        <v>46023</v>
      </c>
      <c r="J498" s="19">
        <f>IF(Master_Data!N498="","",EOMONTH(Master_Data!N498,-1)+1)</f>
        <v>46143</v>
      </c>
    </row>
    <row r="499" spans="1:10">
      <c r="A499" s="2" t="s">
        <v>1015</v>
      </c>
      <c r="B499" s="2" t="str">
        <f>Master_Data!B499</f>
        <v>Structural</v>
      </c>
      <c r="C499" s="18">
        <f>IF(Master_Data!H499="","",Master_Data!H499 - WEEKDAY(Master_Data!H499,2) + 1)</f>
        <v>46020</v>
      </c>
      <c r="D499" s="18">
        <f>IF(Master_Data!J499="","",Master_Data!J499 - WEEKDAY(Master_Data!J499,2) + 1)</f>
        <v>46062</v>
      </c>
      <c r="E499" s="18">
        <f>IF(Master_Data!M499="","",Master_Data!M499 - WEEKDAY(Master_Data!M499,2) + 1)</f>
        <v>46048</v>
      </c>
      <c r="F499" s="18">
        <f>IF(Master_Data!N499="","",Master_Data!N499 - WEEKDAY(Master_Data!N499,2) + 1)</f>
        <v>46153</v>
      </c>
      <c r="G499" s="19">
        <f>EOMONTH(Master_Data!H499,-1)+1</f>
        <v>45992</v>
      </c>
      <c r="H499" s="19">
        <f>IF(Master_Data!J499="","",EOMONTH(Master_Data!J499,-1)+1)</f>
        <v>46054</v>
      </c>
      <c r="I499" s="19">
        <f>IF(Master_Data!M499="","",EOMONTH(Master_Data!M499,-1)+1)</f>
        <v>46023</v>
      </c>
      <c r="J499" s="19">
        <f>IF(Master_Data!N499="","",EOMONTH(Master_Data!N499,-1)+1)</f>
        <v>46143</v>
      </c>
    </row>
    <row r="500" spans="1:10">
      <c r="A500" s="2" t="s">
        <v>1017</v>
      </c>
      <c r="B500" s="2" t="str">
        <f>Master_Data!B500</f>
        <v>Structural</v>
      </c>
      <c r="C500" s="18">
        <f>IF(Master_Data!H500="","",Master_Data!H500 - WEEKDAY(Master_Data!H500,2) + 1)</f>
        <v>46020</v>
      </c>
      <c r="D500" s="18">
        <f>IF(Master_Data!J500="","",Master_Data!J500 - WEEKDAY(Master_Data!J500,2) + 1)</f>
        <v>46062</v>
      </c>
      <c r="E500" s="18">
        <f>IF(Master_Data!M500="","",Master_Data!M500 - WEEKDAY(Master_Data!M500,2) + 1)</f>
        <v>46048</v>
      </c>
      <c r="F500" s="18">
        <f>IF(Master_Data!N500="","",Master_Data!N500 - WEEKDAY(Master_Data!N500,2) + 1)</f>
        <v>46153</v>
      </c>
      <c r="G500" s="19">
        <f>EOMONTH(Master_Data!H500,-1)+1</f>
        <v>45992</v>
      </c>
      <c r="H500" s="19">
        <f>IF(Master_Data!J500="","",EOMONTH(Master_Data!J500,-1)+1)</f>
        <v>46054</v>
      </c>
      <c r="I500" s="19">
        <f>IF(Master_Data!M500="","",EOMONTH(Master_Data!M500,-1)+1)</f>
        <v>46023</v>
      </c>
      <c r="J500" s="19">
        <f>IF(Master_Data!N500="","",EOMONTH(Master_Data!N500,-1)+1)</f>
        <v>46143</v>
      </c>
    </row>
    <row r="501" spans="1:10">
      <c r="A501" s="2" t="s">
        <v>1019</v>
      </c>
      <c r="B501" s="2" t="str">
        <f>Master_Data!B501</f>
        <v>Structural</v>
      </c>
      <c r="C501" s="18">
        <f>IF(Master_Data!H501="","",Master_Data!H501 - WEEKDAY(Master_Data!H501,2) + 1)</f>
        <v>45999</v>
      </c>
      <c r="D501" s="18">
        <f>IF(Master_Data!J501="","",Master_Data!J501 - WEEKDAY(Master_Data!J501,2) + 1)</f>
        <v>46041</v>
      </c>
      <c r="E501" s="18">
        <f>IF(Master_Data!M501="","",Master_Data!M501 - WEEKDAY(Master_Data!M501,2) + 1)</f>
        <v>46020</v>
      </c>
      <c r="F501" s="18">
        <f>IF(Master_Data!N501="","",Master_Data!N501 - WEEKDAY(Master_Data!N501,2) + 1)</f>
        <v>46153</v>
      </c>
      <c r="G501" s="19">
        <f>EOMONTH(Master_Data!H501,-1)+1</f>
        <v>45992</v>
      </c>
      <c r="H501" s="19">
        <f>IF(Master_Data!J501="","",EOMONTH(Master_Data!J501,-1)+1)</f>
        <v>46023</v>
      </c>
      <c r="I501" s="19">
        <f>IF(Master_Data!M501="","",EOMONTH(Master_Data!M501,-1)+1)</f>
        <v>46023</v>
      </c>
      <c r="J501" s="19">
        <f>IF(Master_Data!N501="","",EOMONTH(Master_Data!N501,-1)+1)</f>
        <v>46143</v>
      </c>
    </row>
    <row r="502" spans="1:10">
      <c r="A502" s="2" t="s">
        <v>1021</v>
      </c>
      <c r="B502" s="2" t="str">
        <f>Master_Data!B502</f>
        <v>Structural</v>
      </c>
      <c r="C502" s="18">
        <f>IF(Master_Data!H502="","",Master_Data!H502 - WEEKDAY(Master_Data!H502,2) + 1)</f>
        <v>45999</v>
      </c>
      <c r="D502" s="18">
        <f>IF(Master_Data!J502="","",Master_Data!J502 - WEEKDAY(Master_Data!J502,2) + 1)</f>
        <v>46041</v>
      </c>
      <c r="E502" s="18">
        <f>IF(Master_Data!M502="","",Master_Data!M502 - WEEKDAY(Master_Data!M502,2) + 1)</f>
        <v>46027</v>
      </c>
      <c r="F502" s="18">
        <f>IF(Master_Data!N502="","",Master_Data!N502 - WEEKDAY(Master_Data!N502,2) + 1)</f>
        <v>46153</v>
      </c>
      <c r="G502" s="19">
        <f>EOMONTH(Master_Data!H502,-1)+1</f>
        <v>45992</v>
      </c>
      <c r="H502" s="19">
        <f>IF(Master_Data!J502="","",EOMONTH(Master_Data!J502,-1)+1)</f>
        <v>46023</v>
      </c>
      <c r="I502" s="19">
        <f>IF(Master_Data!M502="","",EOMONTH(Master_Data!M502,-1)+1)</f>
        <v>46023</v>
      </c>
      <c r="J502" s="19">
        <f>IF(Master_Data!N502="","",EOMONTH(Master_Data!N502,-1)+1)</f>
        <v>46143</v>
      </c>
    </row>
    <row r="503" spans="1:10">
      <c r="A503" s="2" t="s">
        <v>1023</v>
      </c>
      <c r="B503" s="2" t="str">
        <f>Master_Data!B503</f>
        <v>Structural</v>
      </c>
      <c r="C503" s="18">
        <f>IF(Master_Data!H503="","",Master_Data!H503 - WEEKDAY(Master_Data!H503,2) + 1)</f>
        <v>46020</v>
      </c>
      <c r="D503" s="18">
        <f>IF(Master_Data!J503="","",Master_Data!J503 - WEEKDAY(Master_Data!J503,2) + 1)</f>
        <v>45936</v>
      </c>
      <c r="E503" s="18">
        <f>IF(Master_Data!M503="","",Master_Data!M503 - WEEKDAY(Master_Data!M503,2) + 1)</f>
        <v>45943</v>
      </c>
      <c r="F503" s="18">
        <f>IF(Master_Data!N503="","",Master_Data!N503 - WEEKDAY(Master_Data!N503,2) + 1)</f>
        <v>46132</v>
      </c>
      <c r="G503" s="19">
        <f>EOMONTH(Master_Data!H503,-1)+1</f>
        <v>45992</v>
      </c>
      <c r="H503" s="19">
        <f>IF(Master_Data!J503="","",EOMONTH(Master_Data!J503,-1)+1)</f>
        <v>45931</v>
      </c>
      <c r="I503" s="19">
        <f>IF(Master_Data!M503="","",EOMONTH(Master_Data!M503,-1)+1)</f>
        <v>45931</v>
      </c>
      <c r="J503" s="19">
        <f>IF(Master_Data!N503="","",EOMONTH(Master_Data!N503,-1)+1)</f>
        <v>46113</v>
      </c>
    </row>
    <row r="504" spans="1:10">
      <c r="A504" s="2" t="s">
        <v>1025</v>
      </c>
      <c r="B504" s="2" t="str">
        <f>Master_Data!B504</f>
        <v>Structural</v>
      </c>
      <c r="C504" s="18">
        <f>IF(Master_Data!H504="","",Master_Data!H504 - WEEKDAY(Master_Data!H504,2) + 1)</f>
        <v>45936</v>
      </c>
      <c r="D504" s="18">
        <f>IF(Master_Data!J504="","",Master_Data!J504 - WEEKDAY(Master_Data!J504,2) + 1)</f>
        <v>45936</v>
      </c>
      <c r="E504" s="18">
        <f>IF(Master_Data!M504="","",Master_Data!M504 - WEEKDAY(Master_Data!M504,2) + 1)</f>
        <v>45943</v>
      </c>
      <c r="F504" s="18">
        <f>IF(Master_Data!N504="","",Master_Data!N504 - WEEKDAY(Master_Data!N504,2) + 1)</f>
        <v>46132</v>
      </c>
      <c r="G504" s="19">
        <f>EOMONTH(Master_Data!H504,-1)+1</f>
        <v>45931</v>
      </c>
      <c r="H504" s="19">
        <f>IF(Master_Data!J504="","",EOMONTH(Master_Data!J504,-1)+1)</f>
        <v>45931</v>
      </c>
      <c r="I504" s="19">
        <f>IF(Master_Data!M504="","",EOMONTH(Master_Data!M504,-1)+1)</f>
        <v>45931</v>
      </c>
      <c r="J504" s="19">
        <f>IF(Master_Data!N504="","",EOMONTH(Master_Data!N504,-1)+1)</f>
        <v>46113</v>
      </c>
    </row>
    <row r="505" spans="1:10">
      <c r="A505" s="2" t="s">
        <v>1027</v>
      </c>
      <c r="B505" s="2" t="str">
        <f>Master_Data!B505</f>
        <v>Structural</v>
      </c>
      <c r="C505" s="18">
        <f>IF(Master_Data!H505="","",Master_Data!H505 - WEEKDAY(Master_Data!H505,2) + 1)</f>
        <v>46020</v>
      </c>
      <c r="D505" s="18">
        <f>IF(Master_Data!J505="","",Master_Data!J505 - WEEKDAY(Master_Data!J505,2) + 1)</f>
        <v>46118</v>
      </c>
      <c r="E505" s="18">
        <f>IF(Master_Data!M505="","",Master_Data!M505 - WEEKDAY(Master_Data!M505,2) + 1)</f>
        <v>46048</v>
      </c>
      <c r="F505" s="18">
        <f>IF(Master_Data!N505="","",Master_Data!N505 - WEEKDAY(Master_Data!N505,2) + 1)</f>
        <v>46153</v>
      </c>
      <c r="G505" s="19">
        <f>EOMONTH(Master_Data!H505,-1)+1</f>
        <v>45992</v>
      </c>
      <c r="H505" s="19">
        <f>IF(Master_Data!J505="","",EOMONTH(Master_Data!J505,-1)+1)</f>
        <v>46113</v>
      </c>
      <c r="I505" s="19">
        <f>IF(Master_Data!M505="","",EOMONTH(Master_Data!M505,-1)+1)</f>
        <v>46023</v>
      </c>
      <c r="J505" s="19">
        <f>IF(Master_Data!N505="","",EOMONTH(Master_Data!N505,-1)+1)</f>
        <v>46143</v>
      </c>
    </row>
    <row r="506" spans="1:10">
      <c r="A506" s="2" t="s">
        <v>1029</v>
      </c>
      <c r="B506" s="2" t="str">
        <f>Master_Data!B506</f>
        <v>Structural</v>
      </c>
      <c r="C506" s="18">
        <f>IF(Master_Data!H506="","",Master_Data!H506 - WEEKDAY(Master_Data!H506,2) + 1)</f>
        <v>46020</v>
      </c>
      <c r="D506" s="18">
        <f>IF(Master_Data!J506="","",Master_Data!J506 - WEEKDAY(Master_Data!J506,2) + 1)</f>
        <v>46020</v>
      </c>
      <c r="E506" s="18">
        <f>IF(Master_Data!M506="","",Master_Data!M506 - WEEKDAY(Master_Data!M506,2) + 1)</f>
        <v>46048</v>
      </c>
      <c r="F506" s="18">
        <f>IF(Master_Data!N506="","",Master_Data!N506 - WEEKDAY(Master_Data!N506,2) + 1)</f>
        <v>46027</v>
      </c>
      <c r="G506" s="19">
        <f>EOMONTH(Master_Data!H506,-1)+1</f>
        <v>45992</v>
      </c>
      <c r="H506" s="19">
        <f>IF(Master_Data!J506="","",EOMONTH(Master_Data!J506,-1)+1)</f>
        <v>45992</v>
      </c>
      <c r="I506" s="19">
        <f>IF(Master_Data!M506="","",EOMONTH(Master_Data!M506,-1)+1)</f>
        <v>46023</v>
      </c>
      <c r="J506" s="19">
        <f>IF(Master_Data!N506="","",EOMONTH(Master_Data!N506,-1)+1)</f>
        <v>46023</v>
      </c>
    </row>
    <row r="507" spans="1:10">
      <c r="A507" s="3" t="s">
        <v>1032</v>
      </c>
      <c r="B507" s="2" t="str">
        <f>Master_Data!B507</f>
        <v>Structural</v>
      </c>
      <c r="C507" s="18">
        <f>IF(Master_Data!H507="","",Master_Data!H507 - WEEKDAY(Master_Data!H507,2) + 1)</f>
        <v>45831</v>
      </c>
      <c r="D507" s="18">
        <f>IF(Master_Data!J507="","",Master_Data!J507 - WEEKDAY(Master_Data!J507,2) + 1)</f>
        <v>45831</v>
      </c>
      <c r="E507" s="18">
        <f>IF(Master_Data!M507="","",Master_Data!M507 - WEEKDAY(Master_Data!M507,2) + 1)</f>
        <v>45859</v>
      </c>
      <c r="F507" s="18">
        <f>IF(Master_Data!N507="","",Master_Data!N507 - WEEKDAY(Master_Data!N507,2) + 1)</f>
        <v>45838</v>
      </c>
      <c r="G507" s="19">
        <f>EOMONTH(Master_Data!H507,-1)+1</f>
        <v>45809</v>
      </c>
      <c r="H507" s="19">
        <f>IF(Master_Data!J507="","",EOMONTH(Master_Data!J507,-1)+1)</f>
        <v>45809</v>
      </c>
      <c r="I507" s="19">
        <f>IF(Master_Data!M507="","",EOMONTH(Master_Data!M507,-1)+1)</f>
        <v>45839</v>
      </c>
      <c r="J507" s="19">
        <f>IF(Master_Data!N507="","",EOMONTH(Master_Data!N507,-1)+1)</f>
        <v>45839</v>
      </c>
    </row>
    <row r="508" spans="1:10">
      <c r="A508" s="2" t="s">
        <v>1033</v>
      </c>
      <c r="B508" s="2" t="str">
        <f>Master_Data!B508</f>
        <v>Structural</v>
      </c>
      <c r="C508" s="18">
        <f>IF(Master_Data!H508="","",Master_Data!H508 - WEEKDAY(Master_Data!H508,2) + 1)</f>
        <v>45831</v>
      </c>
      <c r="D508" s="18">
        <f>IF(Master_Data!J508="","",Master_Data!J508 - WEEKDAY(Master_Data!J508,2) + 1)</f>
        <v>45838</v>
      </c>
      <c r="E508" s="18">
        <f>IF(Master_Data!M508="","",Master_Data!M508 - WEEKDAY(Master_Data!M508,2) + 1)</f>
        <v>45859</v>
      </c>
      <c r="F508" s="18">
        <f>IF(Master_Data!N508="","",Master_Data!N508 - WEEKDAY(Master_Data!N508,2) + 1)</f>
        <v>45908</v>
      </c>
      <c r="G508" s="19">
        <f>EOMONTH(Master_Data!H508,-1)+1</f>
        <v>45809</v>
      </c>
      <c r="H508" s="19">
        <f>IF(Master_Data!J508="","",EOMONTH(Master_Data!J508,-1)+1)</f>
        <v>45839</v>
      </c>
      <c r="I508" s="19">
        <f>IF(Master_Data!M508="","",EOMONTH(Master_Data!M508,-1)+1)</f>
        <v>45839</v>
      </c>
      <c r="J508" s="19">
        <f>IF(Master_Data!N508="","",EOMONTH(Master_Data!N508,-1)+1)</f>
        <v>45901</v>
      </c>
    </row>
    <row r="509" spans="1:10">
      <c r="A509" s="2" t="s">
        <v>1035</v>
      </c>
      <c r="B509" s="2" t="str">
        <f>Master_Data!B509</f>
        <v>Structural</v>
      </c>
      <c r="C509" s="18">
        <f>IF(Master_Data!H509="","",Master_Data!H509 - WEEKDAY(Master_Data!H509,2) + 1)</f>
        <v>45831</v>
      </c>
      <c r="D509" s="18">
        <f>IF(Master_Data!J509="","",Master_Data!J509 - WEEKDAY(Master_Data!J509,2) + 1)</f>
        <v>45838</v>
      </c>
      <c r="E509" s="18">
        <f>IF(Master_Data!M509="","",Master_Data!M509 - WEEKDAY(Master_Data!M509,2) + 1)</f>
        <v>45859</v>
      </c>
      <c r="F509" s="18">
        <f>IF(Master_Data!N509="","",Master_Data!N509 - WEEKDAY(Master_Data!N509,2) + 1)</f>
        <v>45908</v>
      </c>
      <c r="G509" s="19">
        <f>EOMONTH(Master_Data!H509,-1)+1</f>
        <v>45809</v>
      </c>
      <c r="H509" s="19">
        <f>IF(Master_Data!J509="","",EOMONTH(Master_Data!J509,-1)+1)</f>
        <v>45839</v>
      </c>
      <c r="I509" s="19">
        <f>IF(Master_Data!M509="","",EOMONTH(Master_Data!M509,-1)+1)</f>
        <v>45839</v>
      </c>
      <c r="J509" s="19">
        <f>IF(Master_Data!N509="","",EOMONTH(Master_Data!N509,-1)+1)</f>
        <v>45901</v>
      </c>
    </row>
    <row r="510" spans="1:10">
      <c r="A510" s="3" t="s">
        <v>1037</v>
      </c>
      <c r="B510" s="2" t="str">
        <f>Master_Data!B510</f>
        <v>Structural</v>
      </c>
      <c r="C510" s="18">
        <f>IF(Master_Data!H510="","",Master_Data!H510 - WEEKDAY(Master_Data!H510,2) + 1)</f>
        <v>45719</v>
      </c>
      <c r="D510" s="18">
        <f>IF(Master_Data!J510="","",Master_Data!J510 - WEEKDAY(Master_Data!J510,2) + 1)</f>
        <v>45719</v>
      </c>
      <c r="E510" s="18">
        <f>IF(Master_Data!M510="","",Master_Data!M510 - WEEKDAY(Master_Data!M510,2) + 1)</f>
        <v>45740</v>
      </c>
      <c r="F510" s="18">
        <f>IF(Master_Data!N510="","",Master_Data!N510 - WEEKDAY(Master_Data!N510,2) + 1)</f>
        <v>45740</v>
      </c>
      <c r="G510" s="19">
        <f>EOMONTH(Master_Data!H510,-1)+1</f>
        <v>45717</v>
      </c>
      <c r="H510" s="19">
        <f>IF(Master_Data!J510="","",EOMONTH(Master_Data!J510,-1)+1)</f>
        <v>45717</v>
      </c>
      <c r="I510" s="19">
        <f>IF(Master_Data!M510="","",EOMONTH(Master_Data!M510,-1)+1)</f>
        <v>45717</v>
      </c>
      <c r="J510" s="19">
        <f>IF(Master_Data!N510="","",EOMONTH(Master_Data!N510,-1)+1)</f>
        <v>45717</v>
      </c>
    </row>
    <row r="511" spans="1:10">
      <c r="A511" s="3" t="s">
        <v>1040</v>
      </c>
      <c r="B511" s="2" t="str">
        <f>Master_Data!B511</f>
        <v>Structural</v>
      </c>
      <c r="C511" s="18">
        <f>IF(Master_Data!H511="","",Master_Data!H511 - WEEKDAY(Master_Data!H511,2) + 1)</f>
        <v>45719</v>
      </c>
      <c r="D511" s="18">
        <f>IF(Master_Data!J511="","",Master_Data!J511 - WEEKDAY(Master_Data!J511,2) + 1)</f>
        <v>45719</v>
      </c>
      <c r="E511" s="18">
        <f>IF(Master_Data!M511="","",Master_Data!M511 - WEEKDAY(Master_Data!M511,2) + 1)</f>
        <v>45740</v>
      </c>
      <c r="F511" s="18">
        <f>IF(Master_Data!N511="","",Master_Data!N511 - WEEKDAY(Master_Data!N511,2) + 1)</f>
        <v>45740</v>
      </c>
      <c r="G511" s="19">
        <f>EOMONTH(Master_Data!H511,-1)+1</f>
        <v>45717</v>
      </c>
      <c r="H511" s="19">
        <f>IF(Master_Data!J511="","",EOMONTH(Master_Data!J511,-1)+1)</f>
        <v>45717</v>
      </c>
      <c r="I511" s="19">
        <f>IF(Master_Data!M511="","",EOMONTH(Master_Data!M511,-1)+1)</f>
        <v>45717</v>
      </c>
      <c r="J511" s="19">
        <f>IF(Master_Data!N511="","",EOMONTH(Master_Data!N511,-1)+1)</f>
        <v>45717</v>
      </c>
    </row>
    <row r="512" spans="1:10">
      <c r="A512" s="2" t="s">
        <v>1042</v>
      </c>
      <c r="B512" s="2" t="str">
        <f>Master_Data!B512</f>
        <v>Structural</v>
      </c>
      <c r="C512" s="18">
        <f>IF(Master_Data!H512="","",Master_Data!H512 - WEEKDAY(Master_Data!H512,2) + 1)</f>
        <v>45740</v>
      </c>
      <c r="D512" s="18">
        <f>IF(Master_Data!J512="","",Master_Data!J512 - WEEKDAY(Master_Data!J512,2) + 1)</f>
        <v>45740</v>
      </c>
      <c r="E512" s="18">
        <f>IF(Master_Data!M512="","",Master_Data!M512 - WEEKDAY(Master_Data!M512,2) + 1)</f>
        <v>45768</v>
      </c>
      <c r="F512" s="18">
        <f>IF(Master_Data!N512="","",Master_Data!N512 - WEEKDAY(Master_Data!N512,2) + 1)</f>
        <v>45908</v>
      </c>
      <c r="G512" s="19">
        <f>EOMONTH(Master_Data!H512,-1)+1</f>
        <v>45717</v>
      </c>
      <c r="H512" s="19">
        <f>IF(Master_Data!J512="","",EOMONTH(Master_Data!J512,-1)+1)</f>
        <v>45717</v>
      </c>
      <c r="I512" s="19">
        <f>IF(Master_Data!M512="","",EOMONTH(Master_Data!M512,-1)+1)</f>
        <v>45748</v>
      </c>
      <c r="J512" s="19">
        <f>IF(Master_Data!N512="","",EOMONTH(Master_Data!N512,-1)+1)</f>
        <v>45901</v>
      </c>
    </row>
    <row r="513" spans="1:10">
      <c r="A513" s="2" t="s">
        <v>1044</v>
      </c>
      <c r="B513" s="2" t="str">
        <f>Master_Data!B513</f>
        <v>Structural</v>
      </c>
      <c r="C513" s="18">
        <f>IF(Master_Data!H513="","",Master_Data!H513 - WEEKDAY(Master_Data!H513,2) + 1)</f>
        <v>45740</v>
      </c>
      <c r="D513" s="18">
        <f>IF(Master_Data!J513="","",Master_Data!J513 - WEEKDAY(Master_Data!J513,2) + 1)</f>
        <v>45740</v>
      </c>
      <c r="E513" s="18">
        <f>IF(Master_Data!M513="","",Master_Data!M513 - WEEKDAY(Master_Data!M513,2) + 1)</f>
        <v>45768</v>
      </c>
      <c r="F513" s="18">
        <f>IF(Master_Data!N513="","",Master_Data!N513 - WEEKDAY(Master_Data!N513,2) + 1)</f>
        <v>45908</v>
      </c>
      <c r="G513" s="19">
        <f>EOMONTH(Master_Data!H513,-1)+1</f>
        <v>45717</v>
      </c>
      <c r="H513" s="19">
        <f>IF(Master_Data!J513="","",EOMONTH(Master_Data!J513,-1)+1)</f>
        <v>45717</v>
      </c>
      <c r="I513" s="19">
        <f>IF(Master_Data!M513="","",EOMONTH(Master_Data!M513,-1)+1)</f>
        <v>45748</v>
      </c>
      <c r="J513" s="19">
        <f>IF(Master_Data!N513="","",EOMONTH(Master_Data!N513,-1)+1)</f>
        <v>45901</v>
      </c>
    </row>
    <row r="514" spans="1:10">
      <c r="A514" s="2" t="s">
        <v>1046</v>
      </c>
      <c r="B514" s="2" t="str">
        <f>Master_Data!B514</f>
        <v>Structural</v>
      </c>
      <c r="C514" s="18">
        <f>IF(Master_Data!H514="","",Master_Data!H514 - WEEKDAY(Master_Data!H514,2) + 1)</f>
        <v>45740</v>
      </c>
      <c r="D514" s="18">
        <f>IF(Master_Data!J514="","",Master_Data!J514 - WEEKDAY(Master_Data!J514,2) + 1)</f>
        <v>45740</v>
      </c>
      <c r="E514" s="18">
        <f>IF(Master_Data!M514="","",Master_Data!M514 - WEEKDAY(Master_Data!M514,2) + 1)</f>
        <v>45768</v>
      </c>
      <c r="F514" s="18">
        <f>IF(Master_Data!N514="","",Master_Data!N514 - WEEKDAY(Master_Data!N514,2) + 1)</f>
        <v>45908</v>
      </c>
      <c r="G514" s="19">
        <f>EOMONTH(Master_Data!H514,-1)+1</f>
        <v>45717</v>
      </c>
      <c r="H514" s="19">
        <f>IF(Master_Data!J514="","",EOMONTH(Master_Data!J514,-1)+1)</f>
        <v>45717</v>
      </c>
      <c r="I514" s="19">
        <f>IF(Master_Data!M514="","",EOMONTH(Master_Data!M514,-1)+1)</f>
        <v>45748</v>
      </c>
      <c r="J514" s="19">
        <f>IF(Master_Data!N514="","",EOMONTH(Master_Data!N514,-1)+1)</f>
        <v>45901</v>
      </c>
    </row>
    <row r="515" spans="1:10">
      <c r="A515" s="2" t="s">
        <v>1048</v>
      </c>
      <c r="B515" s="2" t="str">
        <f>Master_Data!B515</f>
        <v>Structural</v>
      </c>
      <c r="C515" s="18">
        <f>IF(Master_Data!H515="","",Master_Data!H515 - WEEKDAY(Master_Data!H515,2) + 1)</f>
        <v>46020</v>
      </c>
      <c r="D515" s="18">
        <f>IF(Master_Data!J515="","",Master_Data!J515 - WEEKDAY(Master_Data!J515,2) + 1)</f>
        <v>46006</v>
      </c>
      <c r="E515" s="18">
        <f>IF(Master_Data!M515="","",Master_Data!M515 - WEEKDAY(Master_Data!M515,2) + 1)</f>
        <v>46048</v>
      </c>
      <c r="F515" s="18">
        <f>IF(Master_Data!N515="","",Master_Data!N515 - WEEKDAY(Master_Data!N515,2) + 1)</f>
        <v>46006</v>
      </c>
      <c r="G515" s="19">
        <f>EOMONTH(Master_Data!H515,-1)+1</f>
        <v>45992</v>
      </c>
      <c r="H515" s="19">
        <f>IF(Master_Data!J515="","",EOMONTH(Master_Data!J515,-1)+1)</f>
        <v>45992</v>
      </c>
      <c r="I515" s="19">
        <f>IF(Master_Data!M515="","",EOMONTH(Master_Data!M515,-1)+1)</f>
        <v>46023</v>
      </c>
      <c r="J515" s="19">
        <f>IF(Master_Data!N515="","",EOMONTH(Master_Data!N515,-1)+1)</f>
        <v>45992</v>
      </c>
    </row>
    <row r="516" spans="1:10">
      <c r="A516" s="2" t="s">
        <v>1050</v>
      </c>
      <c r="B516" s="2" t="str">
        <f>Master_Data!B516</f>
        <v>Structural</v>
      </c>
      <c r="C516" s="18">
        <f>IF(Master_Data!H516="","",Master_Data!H516 - WEEKDAY(Master_Data!H516,2) + 1)</f>
        <v>46020</v>
      </c>
      <c r="D516" s="18">
        <f>IF(Master_Data!J516="","",Master_Data!J516 - WEEKDAY(Master_Data!J516,2) + 1)</f>
        <v>46006</v>
      </c>
      <c r="E516" s="18">
        <f>IF(Master_Data!M516="","",Master_Data!M516 - WEEKDAY(Master_Data!M516,2) + 1)</f>
        <v>46048</v>
      </c>
      <c r="F516" s="18">
        <f>IF(Master_Data!N516="","",Master_Data!N516 - WEEKDAY(Master_Data!N516,2) + 1)</f>
        <v>46006</v>
      </c>
      <c r="G516" s="19">
        <f>EOMONTH(Master_Data!H516,-1)+1</f>
        <v>45992</v>
      </c>
      <c r="H516" s="19">
        <f>IF(Master_Data!J516="","",EOMONTH(Master_Data!J516,-1)+1)</f>
        <v>45992</v>
      </c>
      <c r="I516" s="19">
        <f>IF(Master_Data!M516="","",EOMONTH(Master_Data!M516,-1)+1)</f>
        <v>46023</v>
      </c>
      <c r="J516" s="19">
        <f>IF(Master_Data!N516="","",EOMONTH(Master_Data!N516,-1)+1)</f>
        <v>45992</v>
      </c>
    </row>
    <row r="517" spans="1:10">
      <c r="A517" s="2" t="s">
        <v>1052</v>
      </c>
      <c r="B517" s="2" t="str">
        <f>Master_Data!B517</f>
        <v>Structural</v>
      </c>
      <c r="C517" s="18">
        <f>IF(Master_Data!H517="","",Master_Data!H517 - WEEKDAY(Master_Data!H517,2) + 1)</f>
        <v>46020</v>
      </c>
      <c r="D517" s="18">
        <f>IF(Master_Data!J517="","",Master_Data!J517 - WEEKDAY(Master_Data!J517,2) + 1)</f>
        <v>46006</v>
      </c>
      <c r="E517" s="18">
        <f>IF(Master_Data!M517="","",Master_Data!M517 - WEEKDAY(Master_Data!M517,2) + 1)</f>
        <v>46048</v>
      </c>
      <c r="F517" s="18">
        <f>IF(Master_Data!N517="","",Master_Data!N517 - WEEKDAY(Master_Data!N517,2) + 1)</f>
        <v>46006</v>
      </c>
      <c r="G517" s="19">
        <f>EOMONTH(Master_Data!H517,-1)+1</f>
        <v>45992</v>
      </c>
      <c r="H517" s="19">
        <f>IF(Master_Data!J517="","",EOMONTH(Master_Data!J517,-1)+1)</f>
        <v>45992</v>
      </c>
      <c r="I517" s="19">
        <f>IF(Master_Data!M517="","",EOMONTH(Master_Data!M517,-1)+1)</f>
        <v>46023</v>
      </c>
      <c r="J517" s="19">
        <f>IF(Master_Data!N517="","",EOMONTH(Master_Data!N517,-1)+1)</f>
        <v>45992</v>
      </c>
    </row>
    <row r="518" spans="1:10">
      <c r="A518" s="2" t="s">
        <v>1054</v>
      </c>
      <c r="B518" s="2" t="str">
        <f>Master_Data!B518</f>
        <v>Structural</v>
      </c>
      <c r="C518" s="18">
        <f>IF(Master_Data!H518="","",Master_Data!H518 - WEEKDAY(Master_Data!H518,2) + 1)</f>
        <v>46020</v>
      </c>
      <c r="D518" s="18">
        <f>IF(Master_Data!J518="","",Master_Data!J518 - WEEKDAY(Master_Data!J518,2) + 1)</f>
        <v>46006</v>
      </c>
      <c r="E518" s="18">
        <f>IF(Master_Data!M518="","",Master_Data!M518 - WEEKDAY(Master_Data!M518,2) + 1)</f>
        <v>46048</v>
      </c>
      <c r="F518" s="18">
        <f>IF(Master_Data!N518="","",Master_Data!N518 - WEEKDAY(Master_Data!N518,2) + 1)</f>
        <v>46006</v>
      </c>
      <c r="G518" s="19">
        <f>EOMONTH(Master_Data!H518,-1)+1</f>
        <v>45992</v>
      </c>
      <c r="H518" s="19">
        <f>IF(Master_Data!J518="","",EOMONTH(Master_Data!J518,-1)+1)</f>
        <v>45992</v>
      </c>
      <c r="I518" s="19">
        <f>IF(Master_Data!M518="","",EOMONTH(Master_Data!M518,-1)+1)</f>
        <v>46023</v>
      </c>
      <c r="J518" s="19">
        <f>IF(Master_Data!N518="","",EOMONTH(Master_Data!N518,-1)+1)</f>
        <v>45992</v>
      </c>
    </row>
    <row r="519" spans="1:10">
      <c r="A519" s="3" t="s">
        <v>1056</v>
      </c>
      <c r="B519" s="2" t="str">
        <f>Master_Data!B519</f>
        <v>Structural</v>
      </c>
      <c r="C519" s="18">
        <f>IF(Master_Data!H519="","",Master_Data!H519 - WEEKDAY(Master_Data!H519,2) + 1)</f>
        <v>45719</v>
      </c>
      <c r="D519" s="18">
        <f>IF(Master_Data!J519="","",Master_Data!J519 - WEEKDAY(Master_Data!J519,2) + 1)</f>
        <v>45719</v>
      </c>
      <c r="E519" s="18">
        <f>IF(Master_Data!M519="","",Master_Data!M519 - WEEKDAY(Master_Data!M519,2) + 1)</f>
        <v>45740</v>
      </c>
      <c r="F519" s="18">
        <f>IF(Master_Data!N519="","",Master_Data!N519 - WEEKDAY(Master_Data!N519,2) + 1)</f>
        <v>45992</v>
      </c>
      <c r="G519" s="19">
        <f>EOMONTH(Master_Data!H519,-1)+1</f>
        <v>45717</v>
      </c>
      <c r="H519" s="19">
        <f>IF(Master_Data!J519="","",EOMONTH(Master_Data!J519,-1)+1)</f>
        <v>45717</v>
      </c>
      <c r="I519" s="19">
        <f>IF(Master_Data!M519="","",EOMONTH(Master_Data!M519,-1)+1)</f>
        <v>45717</v>
      </c>
      <c r="J519" s="19">
        <f>IF(Master_Data!N519="","",EOMONTH(Master_Data!N519,-1)+1)</f>
        <v>45992</v>
      </c>
    </row>
    <row r="520" spans="1:10">
      <c r="A520" s="2" t="s">
        <v>1059</v>
      </c>
      <c r="B520" s="2" t="str">
        <f>Master_Data!B520</f>
        <v>Structural</v>
      </c>
      <c r="C520" s="18">
        <f>IF(Master_Data!H520="","",Master_Data!H520 - WEEKDAY(Master_Data!H520,2) + 1)</f>
        <v>46076</v>
      </c>
      <c r="D520" s="18">
        <f>IF(Master_Data!J520="","",Master_Data!J520 - WEEKDAY(Master_Data!J520,2) + 1)</f>
        <v>45740</v>
      </c>
      <c r="E520" s="18">
        <f>IF(Master_Data!M520="","",Master_Data!M520 - WEEKDAY(Master_Data!M520,2) + 1)</f>
        <v>46104</v>
      </c>
      <c r="F520" s="18">
        <f>IF(Master_Data!N520="","",Master_Data!N520 - WEEKDAY(Master_Data!N520,2) + 1)</f>
        <v>46132</v>
      </c>
      <c r="G520" s="19">
        <f>EOMONTH(Master_Data!H520,-1)+1</f>
        <v>46054</v>
      </c>
      <c r="H520" s="19">
        <f>IF(Master_Data!J520="","",EOMONTH(Master_Data!J520,-1)+1)</f>
        <v>45717</v>
      </c>
      <c r="I520" s="19">
        <f>IF(Master_Data!M520="","",EOMONTH(Master_Data!M520,-1)+1)</f>
        <v>46082</v>
      </c>
      <c r="J520" s="19">
        <f>IF(Master_Data!N520="","",EOMONTH(Master_Data!N520,-1)+1)</f>
        <v>46113</v>
      </c>
    </row>
    <row r="521" spans="1:10">
      <c r="A521" s="2" t="s">
        <v>1060</v>
      </c>
      <c r="B521" s="2" t="str">
        <f>Master_Data!B521</f>
        <v>Structural</v>
      </c>
      <c r="C521" s="18">
        <f>IF(Master_Data!H521="","",Master_Data!H521 - WEEKDAY(Master_Data!H521,2) + 1)</f>
        <v>46076</v>
      </c>
      <c r="D521" s="18" t="str">
        <f>IF(Master_Data!J521="","",Master_Data!J521 - WEEKDAY(Master_Data!J521,2) + 1)</f>
        <v/>
      </c>
      <c r="E521" s="18">
        <f>IF(Master_Data!M521="","",Master_Data!M521 - WEEKDAY(Master_Data!M521,2) + 1)</f>
        <v>46104</v>
      </c>
      <c r="F521" s="18" t="str">
        <f>IF(Master_Data!N521="","",Master_Data!N521 - WEEKDAY(Master_Data!N521,2) + 1)</f>
        <v/>
      </c>
      <c r="G521" s="19">
        <f>EOMONTH(Master_Data!H521,-1)+1</f>
        <v>46054</v>
      </c>
      <c r="H521" s="19" t="str">
        <f>IF(Master_Data!J521="","",EOMONTH(Master_Data!J521,-1)+1)</f>
        <v/>
      </c>
      <c r="I521" s="19">
        <f>IF(Master_Data!M521="","",EOMONTH(Master_Data!M521,-1)+1)</f>
        <v>46082</v>
      </c>
      <c r="J521" s="19" t="str">
        <f>IF(Master_Data!N521="","",EOMONTH(Master_Data!N521,-1)+1)</f>
        <v/>
      </c>
    </row>
    <row r="522" spans="1:10">
      <c r="A522" s="2" t="s">
        <v>1062</v>
      </c>
      <c r="B522" s="2" t="str">
        <f>Master_Data!B522</f>
        <v>Structural</v>
      </c>
      <c r="C522" s="18">
        <f>IF(Master_Data!H522="","",Master_Data!H522 - WEEKDAY(Master_Data!H522,2) + 1)</f>
        <v>46055</v>
      </c>
      <c r="D522" s="18">
        <f>IF(Master_Data!J522="","",Master_Data!J522 - WEEKDAY(Master_Data!J522,2) + 1)</f>
        <v>46055</v>
      </c>
      <c r="E522" s="18">
        <f>IF(Master_Data!M522="","",Master_Data!M522 - WEEKDAY(Master_Data!M522,2) + 1)</f>
        <v>46083</v>
      </c>
      <c r="F522" s="18">
        <f>IF(Master_Data!N522="","",Master_Data!N522 - WEEKDAY(Master_Data!N522,2) + 1)</f>
        <v>46069</v>
      </c>
      <c r="G522" s="19">
        <f>EOMONTH(Master_Data!H522,-1)+1</f>
        <v>46054</v>
      </c>
      <c r="H522" s="19">
        <f>IF(Master_Data!J522="","",EOMONTH(Master_Data!J522,-1)+1)</f>
        <v>46054</v>
      </c>
      <c r="I522" s="19">
        <f>IF(Master_Data!M522="","",EOMONTH(Master_Data!M522,-1)+1)</f>
        <v>46082</v>
      </c>
      <c r="J522" s="19">
        <f>IF(Master_Data!N522="","",EOMONTH(Master_Data!N522,-1)+1)</f>
        <v>46054</v>
      </c>
    </row>
    <row r="523" spans="1:10">
      <c r="A523" s="2" t="s">
        <v>1063</v>
      </c>
      <c r="B523" s="2" t="str">
        <f>Master_Data!B523</f>
        <v>Structural</v>
      </c>
      <c r="C523" s="18">
        <f>IF(Master_Data!H523="","",Master_Data!H523 - WEEKDAY(Master_Data!H523,2) + 1)</f>
        <v>46055</v>
      </c>
      <c r="D523" s="18">
        <f>IF(Master_Data!J523="","",Master_Data!J523 - WEEKDAY(Master_Data!J523,2) + 1)</f>
        <v>46055</v>
      </c>
      <c r="E523" s="18">
        <f>IF(Master_Data!M523="","",Master_Data!M523 - WEEKDAY(Master_Data!M523,2) + 1)</f>
        <v>46083</v>
      </c>
      <c r="F523" s="18">
        <f>IF(Master_Data!N523="","",Master_Data!N523 - WEEKDAY(Master_Data!N523,2) + 1)</f>
        <v>46069</v>
      </c>
      <c r="G523" s="19">
        <f>EOMONTH(Master_Data!H523,-1)+1</f>
        <v>46054</v>
      </c>
      <c r="H523" s="19">
        <f>IF(Master_Data!J523="","",EOMONTH(Master_Data!J523,-1)+1)</f>
        <v>46054</v>
      </c>
      <c r="I523" s="19">
        <f>IF(Master_Data!M523="","",EOMONTH(Master_Data!M523,-1)+1)</f>
        <v>46082</v>
      </c>
      <c r="J523" s="19">
        <f>IF(Master_Data!N523="","",EOMONTH(Master_Data!N523,-1)+1)</f>
        <v>46054</v>
      </c>
    </row>
    <row r="524" spans="1:10">
      <c r="A524" s="2" t="s">
        <v>1064</v>
      </c>
      <c r="B524" s="2" t="str">
        <f>Master_Data!B524</f>
        <v>Structural</v>
      </c>
      <c r="C524" s="18">
        <f>IF(Master_Data!H524="","",Master_Data!H524 - WEEKDAY(Master_Data!H524,2) + 1)</f>
        <v>46076</v>
      </c>
      <c r="D524" s="18">
        <f>IF(Master_Data!J524="","",Master_Data!J524 - WEEKDAY(Master_Data!J524,2) + 1)</f>
        <v>45740</v>
      </c>
      <c r="E524" s="18">
        <f>IF(Master_Data!M524="","",Master_Data!M524 - WEEKDAY(Master_Data!M524,2) + 1)</f>
        <v>46104</v>
      </c>
      <c r="F524" s="18">
        <f>IF(Master_Data!N524="","",Master_Data!N524 - WEEKDAY(Master_Data!N524,2) + 1)</f>
        <v>46132</v>
      </c>
      <c r="G524" s="19">
        <f>EOMONTH(Master_Data!H524,-1)+1</f>
        <v>46054</v>
      </c>
      <c r="H524" s="19">
        <f>IF(Master_Data!J524="","",EOMONTH(Master_Data!J524,-1)+1)</f>
        <v>45717</v>
      </c>
      <c r="I524" s="19">
        <f>IF(Master_Data!M524="","",EOMONTH(Master_Data!M524,-1)+1)</f>
        <v>46082</v>
      </c>
      <c r="J524" s="19">
        <f>IF(Master_Data!N524="","",EOMONTH(Master_Data!N524,-1)+1)</f>
        <v>46113</v>
      </c>
    </row>
    <row r="525" spans="1:10">
      <c r="A525" s="2" t="s">
        <v>1065</v>
      </c>
      <c r="B525" s="2" t="str">
        <f>Master_Data!B525</f>
        <v>Structural</v>
      </c>
      <c r="C525" s="18">
        <f>IF(Master_Data!H525="","",Master_Data!H525 - WEEKDAY(Master_Data!H525,2) + 1)</f>
        <v>46076</v>
      </c>
      <c r="D525" s="18" t="str">
        <f>IF(Master_Data!J525="","",Master_Data!J525 - WEEKDAY(Master_Data!J525,2) + 1)</f>
        <v/>
      </c>
      <c r="E525" s="18">
        <f>IF(Master_Data!M525="","",Master_Data!M525 - WEEKDAY(Master_Data!M525,2) + 1)</f>
        <v>46104</v>
      </c>
      <c r="F525" s="18" t="str">
        <f>IF(Master_Data!N525="","",Master_Data!N525 - WEEKDAY(Master_Data!N525,2) + 1)</f>
        <v/>
      </c>
      <c r="G525" s="19">
        <f>EOMONTH(Master_Data!H525,-1)+1</f>
        <v>46054</v>
      </c>
      <c r="H525" s="19" t="str">
        <f>IF(Master_Data!J525="","",EOMONTH(Master_Data!J525,-1)+1)</f>
        <v/>
      </c>
      <c r="I525" s="19">
        <f>IF(Master_Data!M525="","",EOMONTH(Master_Data!M525,-1)+1)</f>
        <v>46082</v>
      </c>
      <c r="J525" s="19" t="str">
        <f>IF(Master_Data!N525="","",EOMONTH(Master_Data!N525,-1)+1)</f>
        <v/>
      </c>
    </row>
    <row r="526" spans="1:10">
      <c r="A526" s="2" t="s">
        <v>1067</v>
      </c>
      <c r="B526" s="2" t="str">
        <f>Master_Data!B526</f>
        <v>Structural</v>
      </c>
      <c r="C526" s="18">
        <f>IF(Master_Data!H526="","",Master_Data!H526 - WEEKDAY(Master_Data!H526,2) + 1)</f>
        <v>46055</v>
      </c>
      <c r="D526" s="18">
        <f>IF(Master_Data!J526="","",Master_Data!J526 - WEEKDAY(Master_Data!J526,2) + 1)</f>
        <v>46055</v>
      </c>
      <c r="E526" s="18">
        <f>IF(Master_Data!M526="","",Master_Data!M526 - WEEKDAY(Master_Data!M526,2) + 1)</f>
        <v>46083</v>
      </c>
      <c r="F526" s="18">
        <f>IF(Master_Data!N526="","",Master_Data!N526 - WEEKDAY(Master_Data!N526,2) + 1)</f>
        <v>46069</v>
      </c>
      <c r="G526" s="19">
        <f>EOMONTH(Master_Data!H526,-1)+1</f>
        <v>46054</v>
      </c>
      <c r="H526" s="19">
        <f>IF(Master_Data!J526="","",EOMONTH(Master_Data!J526,-1)+1)</f>
        <v>46054</v>
      </c>
      <c r="I526" s="19">
        <f>IF(Master_Data!M526="","",EOMONTH(Master_Data!M526,-1)+1)</f>
        <v>46082</v>
      </c>
      <c r="J526" s="19">
        <f>IF(Master_Data!N526="","",EOMONTH(Master_Data!N526,-1)+1)</f>
        <v>46054</v>
      </c>
    </row>
    <row r="527" spans="1:10">
      <c r="A527" s="2" t="s">
        <v>1069</v>
      </c>
      <c r="B527" s="2" t="str">
        <f>Master_Data!B527</f>
        <v>Structural</v>
      </c>
      <c r="C527" s="18">
        <f>IF(Master_Data!H527="","",Master_Data!H527 - WEEKDAY(Master_Data!H527,2) + 1)</f>
        <v>46055</v>
      </c>
      <c r="D527" s="18">
        <f>IF(Master_Data!J527="","",Master_Data!J527 - WEEKDAY(Master_Data!J527,2) + 1)</f>
        <v>46055</v>
      </c>
      <c r="E527" s="18">
        <f>IF(Master_Data!M527="","",Master_Data!M527 - WEEKDAY(Master_Data!M527,2) + 1)</f>
        <v>46083</v>
      </c>
      <c r="F527" s="18">
        <f>IF(Master_Data!N527="","",Master_Data!N527 - WEEKDAY(Master_Data!N527,2) + 1)</f>
        <v>46069</v>
      </c>
      <c r="G527" s="19">
        <f>EOMONTH(Master_Data!H527,-1)+1</f>
        <v>46054</v>
      </c>
      <c r="H527" s="19">
        <f>IF(Master_Data!J527="","",EOMONTH(Master_Data!J527,-1)+1)</f>
        <v>46054</v>
      </c>
      <c r="I527" s="19">
        <f>IF(Master_Data!M527="","",EOMONTH(Master_Data!M527,-1)+1)</f>
        <v>46082</v>
      </c>
      <c r="J527" s="19">
        <f>IF(Master_Data!N527="","",EOMONTH(Master_Data!N527,-1)+1)</f>
        <v>46054</v>
      </c>
    </row>
    <row r="528" spans="1:10">
      <c r="A528" s="2" t="s">
        <v>1070</v>
      </c>
      <c r="B528" s="2" t="str">
        <f>Master_Data!B528</f>
        <v>Structural</v>
      </c>
      <c r="C528" s="18">
        <f>IF(Master_Data!H528="","",Master_Data!H528 - WEEKDAY(Master_Data!H528,2) + 1)</f>
        <v>46076</v>
      </c>
      <c r="D528" s="18">
        <f>IF(Master_Data!J528="","",Master_Data!J528 - WEEKDAY(Master_Data!J528,2) + 1)</f>
        <v>45740</v>
      </c>
      <c r="E528" s="18">
        <f>IF(Master_Data!M528="","",Master_Data!M528 - WEEKDAY(Master_Data!M528,2) + 1)</f>
        <v>46104</v>
      </c>
      <c r="F528" s="18">
        <f>IF(Master_Data!N528="","",Master_Data!N528 - WEEKDAY(Master_Data!N528,2) + 1)</f>
        <v>46132</v>
      </c>
      <c r="G528" s="19">
        <f>EOMONTH(Master_Data!H528,-1)+1</f>
        <v>46054</v>
      </c>
      <c r="H528" s="19">
        <f>IF(Master_Data!J528="","",EOMONTH(Master_Data!J528,-1)+1)</f>
        <v>45717</v>
      </c>
      <c r="I528" s="19">
        <f>IF(Master_Data!M528="","",EOMONTH(Master_Data!M528,-1)+1)</f>
        <v>46082</v>
      </c>
      <c r="J528" s="19">
        <f>IF(Master_Data!N528="","",EOMONTH(Master_Data!N528,-1)+1)</f>
        <v>46113</v>
      </c>
    </row>
    <row r="529" spans="1:10">
      <c r="A529" s="2" t="s">
        <v>1072</v>
      </c>
      <c r="B529" s="2" t="str">
        <f>Master_Data!B529</f>
        <v>Structural</v>
      </c>
      <c r="C529" s="18">
        <f>IF(Master_Data!H529="","",Master_Data!H529 - WEEKDAY(Master_Data!H529,2) + 1)</f>
        <v>46076</v>
      </c>
      <c r="D529" s="18" t="str">
        <f>IF(Master_Data!J529="","",Master_Data!J529 - WEEKDAY(Master_Data!J529,2) + 1)</f>
        <v/>
      </c>
      <c r="E529" s="18">
        <f>IF(Master_Data!M529="","",Master_Data!M529 - WEEKDAY(Master_Data!M529,2) + 1)</f>
        <v>46104</v>
      </c>
      <c r="F529" s="18" t="str">
        <f>IF(Master_Data!N529="","",Master_Data!N529 - WEEKDAY(Master_Data!N529,2) + 1)</f>
        <v/>
      </c>
      <c r="G529" s="19">
        <f>EOMONTH(Master_Data!H529,-1)+1</f>
        <v>46054</v>
      </c>
      <c r="H529" s="19" t="str">
        <f>IF(Master_Data!J529="","",EOMONTH(Master_Data!J529,-1)+1)</f>
        <v/>
      </c>
      <c r="I529" s="19">
        <f>IF(Master_Data!M529="","",EOMONTH(Master_Data!M529,-1)+1)</f>
        <v>46082</v>
      </c>
      <c r="J529" s="19" t="str">
        <f>IF(Master_Data!N529="","",EOMONTH(Master_Data!N529,-1)+1)</f>
        <v/>
      </c>
    </row>
    <row r="530" spans="1:10">
      <c r="A530" s="2" t="s">
        <v>1074</v>
      </c>
      <c r="B530" s="2" t="str">
        <f>Master_Data!B530</f>
        <v>Structural</v>
      </c>
      <c r="C530" s="18">
        <f>IF(Master_Data!H530="","",Master_Data!H530 - WEEKDAY(Master_Data!H530,2) + 1)</f>
        <v>46055</v>
      </c>
      <c r="D530" s="18">
        <f>IF(Master_Data!J530="","",Master_Data!J530 - WEEKDAY(Master_Data!J530,2) + 1)</f>
        <v>46055</v>
      </c>
      <c r="E530" s="18">
        <f>IF(Master_Data!M530="","",Master_Data!M530 - WEEKDAY(Master_Data!M530,2) + 1)</f>
        <v>46083</v>
      </c>
      <c r="F530" s="18">
        <f>IF(Master_Data!N530="","",Master_Data!N530 - WEEKDAY(Master_Data!N530,2) + 1)</f>
        <v>46069</v>
      </c>
      <c r="G530" s="19">
        <f>EOMONTH(Master_Data!H530,-1)+1</f>
        <v>46054</v>
      </c>
      <c r="H530" s="19">
        <f>IF(Master_Data!J530="","",EOMONTH(Master_Data!J530,-1)+1)</f>
        <v>46054</v>
      </c>
      <c r="I530" s="19">
        <f>IF(Master_Data!M530="","",EOMONTH(Master_Data!M530,-1)+1)</f>
        <v>46082</v>
      </c>
      <c r="J530" s="19">
        <f>IF(Master_Data!N530="","",EOMONTH(Master_Data!N530,-1)+1)</f>
        <v>46054</v>
      </c>
    </row>
    <row r="531" spans="1:10">
      <c r="A531" s="2" t="s">
        <v>1076</v>
      </c>
      <c r="B531" s="2" t="str">
        <f>Master_Data!B531</f>
        <v>Structural</v>
      </c>
      <c r="C531" s="18">
        <f>IF(Master_Data!H531="","",Master_Data!H531 - WEEKDAY(Master_Data!H531,2) + 1)</f>
        <v>46055</v>
      </c>
      <c r="D531" s="18">
        <f>IF(Master_Data!J531="","",Master_Data!J531 - WEEKDAY(Master_Data!J531,2) + 1)</f>
        <v>46055</v>
      </c>
      <c r="E531" s="18">
        <f>IF(Master_Data!M531="","",Master_Data!M531 - WEEKDAY(Master_Data!M531,2) + 1)</f>
        <v>46083</v>
      </c>
      <c r="F531" s="18">
        <f>IF(Master_Data!N531="","",Master_Data!N531 - WEEKDAY(Master_Data!N531,2) + 1)</f>
        <v>46069</v>
      </c>
      <c r="G531" s="19">
        <f>EOMONTH(Master_Data!H531,-1)+1</f>
        <v>46054</v>
      </c>
      <c r="H531" s="19">
        <f>IF(Master_Data!J531="","",EOMONTH(Master_Data!J531,-1)+1)</f>
        <v>46054</v>
      </c>
      <c r="I531" s="19">
        <f>IF(Master_Data!M531="","",EOMONTH(Master_Data!M531,-1)+1)</f>
        <v>46082</v>
      </c>
      <c r="J531" s="19">
        <f>IF(Master_Data!N531="","",EOMONTH(Master_Data!N531,-1)+1)</f>
        <v>46054</v>
      </c>
    </row>
    <row r="532" spans="1:10">
      <c r="A532" s="2" t="s">
        <v>1077</v>
      </c>
      <c r="B532" s="2" t="str">
        <f>Master_Data!B532</f>
        <v>Structural</v>
      </c>
      <c r="C532" s="18">
        <f>IF(Master_Data!H532="","",Master_Data!H532 - WEEKDAY(Master_Data!H532,2) + 1)</f>
        <v>46076</v>
      </c>
      <c r="D532" s="18">
        <f>IF(Master_Data!J532="","",Master_Data!J532 - WEEKDAY(Master_Data!J532,2) + 1)</f>
        <v>46104</v>
      </c>
      <c r="E532" s="18">
        <f>IF(Master_Data!M532="","",Master_Data!M532 - WEEKDAY(Master_Data!M532,2) + 1)</f>
        <v>46104</v>
      </c>
      <c r="F532" s="18">
        <f>IF(Master_Data!N532="","",Master_Data!N532 - WEEKDAY(Master_Data!N532,2) + 1)</f>
        <v>46132</v>
      </c>
      <c r="G532" s="19">
        <f>EOMONTH(Master_Data!H532,-1)+1</f>
        <v>46054</v>
      </c>
      <c r="H532" s="19">
        <f>IF(Master_Data!J532="","",EOMONTH(Master_Data!J532,-1)+1)</f>
        <v>46082</v>
      </c>
      <c r="I532" s="19">
        <f>IF(Master_Data!M532="","",EOMONTH(Master_Data!M532,-1)+1)</f>
        <v>46082</v>
      </c>
      <c r="J532" s="19">
        <f>IF(Master_Data!N532="","",EOMONTH(Master_Data!N532,-1)+1)</f>
        <v>46113</v>
      </c>
    </row>
    <row r="533" spans="1:10">
      <c r="A533" s="2" t="s">
        <v>1078</v>
      </c>
      <c r="B533" s="2" t="str">
        <f>Master_Data!B533</f>
        <v>Structural</v>
      </c>
      <c r="C533" s="18">
        <f>IF(Master_Data!H533="","",Master_Data!H533 - WEEKDAY(Master_Data!H533,2) + 1)</f>
        <v>46076</v>
      </c>
      <c r="D533" s="18" t="str">
        <f>IF(Master_Data!J533="","",Master_Data!J533 - WEEKDAY(Master_Data!J533,2) + 1)</f>
        <v/>
      </c>
      <c r="E533" s="18">
        <f>IF(Master_Data!M533="","",Master_Data!M533 - WEEKDAY(Master_Data!M533,2) + 1)</f>
        <v>46104</v>
      </c>
      <c r="F533" s="18" t="str">
        <f>IF(Master_Data!N533="","",Master_Data!N533 - WEEKDAY(Master_Data!N533,2) + 1)</f>
        <v/>
      </c>
      <c r="G533" s="19">
        <f>EOMONTH(Master_Data!H533,-1)+1</f>
        <v>46054</v>
      </c>
      <c r="H533" s="19" t="str">
        <f>IF(Master_Data!J533="","",EOMONTH(Master_Data!J533,-1)+1)</f>
        <v/>
      </c>
      <c r="I533" s="19">
        <f>IF(Master_Data!M533="","",EOMONTH(Master_Data!M533,-1)+1)</f>
        <v>46082</v>
      </c>
      <c r="J533" s="19" t="str">
        <f>IF(Master_Data!N533="","",EOMONTH(Master_Data!N533,-1)+1)</f>
        <v/>
      </c>
    </row>
    <row r="534" spans="1:10">
      <c r="A534" s="2" t="s">
        <v>1080</v>
      </c>
      <c r="B534" s="2" t="str">
        <f>Master_Data!B534</f>
        <v>Structural</v>
      </c>
      <c r="C534" s="18">
        <f>IF(Master_Data!H534="","",Master_Data!H534 - WEEKDAY(Master_Data!H534,2) + 1)</f>
        <v>46055</v>
      </c>
      <c r="D534" s="18">
        <f>IF(Master_Data!J534="","",Master_Data!J534 - WEEKDAY(Master_Data!J534,2) + 1)</f>
        <v>46055</v>
      </c>
      <c r="E534" s="18">
        <f>IF(Master_Data!M534="","",Master_Data!M534 - WEEKDAY(Master_Data!M534,2) + 1)</f>
        <v>46083</v>
      </c>
      <c r="F534" s="18">
        <f>IF(Master_Data!N534="","",Master_Data!N534 - WEEKDAY(Master_Data!N534,2) + 1)</f>
        <v>46069</v>
      </c>
      <c r="G534" s="19">
        <f>EOMONTH(Master_Data!H534,-1)+1</f>
        <v>46054</v>
      </c>
      <c r="H534" s="19">
        <f>IF(Master_Data!J534="","",EOMONTH(Master_Data!J534,-1)+1)</f>
        <v>46054</v>
      </c>
      <c r="I534" s="19">
        <f>IF(Master_Data!M534="","",EOMONTH(Master_Data!M534,-1)+1)</f>
        <v>46082</v>
      </c>
      <c r="J534" s="19">
        <f>IF(Master_Data!N534="","",EOMONTH(Master_Data!N534,-1)+1)</f>
        <v>46054</v>
      </c>
    </row>
    <row r="535" spans="1:10">
      <c r="A535" s="2" t="s">
        <v>1082</v>
      </c>
      <c r="B535" s="2" t="str">
        <f>Master_Data!B535</f>
        <v>Structural</v>
      </c>
      <c r="C535" s="18">
        <f>IF(Master_Data!H535="","",Master_Data!H535 - WEEKDAY(Master_Data!H535,2) + 1)</f>
        <v>46055</v>
      </c>
      <c r="D535" s="18">
        <f>IF(Master_Data!J535="","",Master_Data!J535 - WEEKDAY(Master_Data!J535,2) + 1)</f>
        <v>46055</v>
      </c>
      <c r="E535" s="18">
        <f>IF(Master_Data!M535="","",Master_Data!M535 - WEEKDAY(Master_Data!M535,2) + 1)</f>
        <v>46083</v>
      </c>
      <c r="F535" s="18">
        <f>IF(Master_Data!N535="","",Master_Data!N535 - WEEKDAY(Master_Data!N535,2) + 1)</f>
        <v>46069</v>
      </c>
      <c r="G535" s="19">
        <f>EOMONTH(Master_Data!H535,-1)+1</f>
        <v>46054</v>
      </c>
      <c r="H535" s="19">
        <f>IF(Master_Data!J535="","",EOMONTH(Master_Data!J535,-1)+1)</f>
        <v>46054</v>
      </c>
      <c r="I535" s="19">
        <f>IF(Master_Data!M535="","",EOMONTH(Master_Data!M535,-1)+1)</f>
        <v>46082</v>
      </c>
      <c r="J535" s="19">
        <f>IF(Master_Data!N535="","",EOMONTH(Master_Data!N535,-1)+1)</f>
        <v>46054</v>
      </c>
    </row>
    <row r="536" spans="1:10">
      <c r="A536" s="2" t="s">
        <v>1083</v>
      </c>
      <c r="B536" s="2" t="str">
        <f>Master_Data!B536</f>
        <v>Structural</v>
      </c>
      <c r="C536" s="18">
        <f>IF(Master_Data!H536="","",Master_Data!H536 - WEEKDAY(Master_Data!H536,2) + 1)</f>
        <v>46076</v>
      </c>
      <c r="D536" s="18">
        <f>IF(Master_Data!J536="","",Master_Data!J536 - WEEKDAY(Master_Data!J536,2) + 1)</f>
        <v>45740</v>
      </c>
      <c r="E536" s="18">
        <f>IF(Master_Data!M536="","",Master_Data!M536 - WEEKDAY(Master_Data!M536,2) + 1)</f>
        <v>46104</v>
      </c>
      <c r="F536" s="18">
        <f>IF(Master_Data!N536="","",Master_Data!N536 - WEEKDAY(Master_Data!N536,2) + 1)</f>
        <v>46132</v>
      </c>
      <c r="G536" s="19">
        <f>EOMONTH(Master_Data!H536,-1)+1</f>
        <v>46054</v>
      </c>
      <c r="H536" s="19">
        <f>IF(Master_Data!J536="","",EOMONTH(Master_Data!J536,-1)+1)</f>
        <v>45717</v>
      </c>
      <c r="I536" s="19">
        <f>IF(Master_Data!M536="","",EOMONTH(Master_Data!M536,-1)+1)</f>
        <v>46082</v>
      </c>
      <c r="J536" s="19">
        <f>IF(Master_Data!N536="","",EOMONTH(Master_Data!N536,-1)+1)</f>
        <v>46113</v>
      </c>
    </row>
    <row r="537" spans="1:10">
      <c r="A537" s="2" t="s">
        <v>1084</v>
      </c>
      <c r="B537" s="2" t="str">
        <f>Master_Data!B537</f>
        <v>Structural</v>
      </c>
      <c r="C537" s="18">
        <f>IF(Master_Data!H537="","",Master_Data!H537 - WEEKDAY(Master_Data!H537,2) + 1)</f>
        <v>46076</v>
      </c>
      <c r="D537" s="18" t="str">
        <f>IF(Master_Data!J537="","",Master_Data!J537 - WEEKDAY(Master_Data!J537,2) + 1)</f>
        <v/>
      </c>
      <c r="E537" s="18">
        <f>IF(Master_Data!M537="","",Master_Data!M537 - WEEKDAY(Master_Data!M537,2) + 1)</f>
        <v>46104</v>
      </c>
      <c r="F537" s="18" t="str">
        <f>IF(Master_Data!N537="","",Master_Data!N537 - WEEKDAY(Master_Data!N537,2) + 1)</f>
        <v/>
      </c>
      <c r="G537" s="19">
        <f>EOMONTH(Master_Data!H537,-1)+1</f>
        <v>46054</v>
      </c>
      <c r="H537" s="19" t="str">
        <f>IF(Master_Data!J537="","",EOMONTH(Master_Data!J537,-1)+1)</f>
        <v/>
      </c>
      <c r="I537" s="19">
        <f>IF(Master_Data!M537="","",EOMONTH(Master_Data!M537,-1)+1)</f>
        <v>46082</v>
      </c>
      <c r="J537" s="19" t="str">
        <f>IF(Master_Data!N537="","",EOMONTH(Master_Data!N537,-1)+1)</f>
        <v/>
      </c>
    </row>
    <row r="538" spans="1:10">
      <c r="A538" s="2" t="s">
        <v>1086</v>
      </c>
      <c r="B538" s="2" t="str">
        <f>Master_Data!B538</f>
        <v>Structural</v>
      </c>
      <c r="C538" s="18">
        <f>IF(Master_Data!H538="","",Master_Data!H538 - WEEKDAY(Master_Data!H538,2) + 1)</f>
        <v>46055</v>
      </c>
      <c r="D538" s="18">
        <f>IF(Master_Data!J538="","",Master_Data!J538 - WEEKDAY(Master_Data!J538,2) + 1)</f>
        <v>46055</v>
      </c>
      <c r="E538" s="18">
        <f>IF(Master_Data!M538="","",Master_Data!M538 - WEEKDAY(Master_Data!M538,2) + 1)</f>
        <v>46083</v>
      </c>
      <c r="F538" s="18">
        <f>IF(Master_Data!N538="","",Master_Data!N538 - WEEKDAY(Master_Data!N538,2) + 1)</f>
        <v>46069</v>
      </c>
      <c r="G538" s="19">
        <f>EOMONTH(Master_Data!H538,-1)+1</f>
        <v>46054</v>
      </c>
      <c r="H538" s="19">
        <f>IF(Master_Data!J538="","",EOMONTH(Master_Data!J538,-1)+1)</f>
        <v>46054</v>
      </c>
      <c r="I538" s="19">
        <f>IF(Master_Data!M538="","",EOMONTH(Master_Data!M538,-1)+1)</f>
        <v>46082</v>
      </c>
      <c r="J538" s="19">
        <f>IF(Master_Data!N538="","",EOMONTH(Master_Data!N538,-1)+1)</f>
        <v>46054</v>
      </c>
    </row>
    <row r="539" spans="1:10">
      <c r="A539" s="2" t="s">
        <v>1088</v>
      </c>
      <c r="B539" s="2" t="str">
        <f>Master_Data!B539</f>
        <v>Structural</v>
      </c>
      <c r="C539" s="18">
        <f>IF(Master_Data!H539="","",Master_Data!H539 - WEEKDAY(Master_Data!H539,2) + 1)</f>
        <v>46055</v>
      </c>
      <c r="D539" s="18">
        <f>IF(Master_Data!J539="","",Master_Data!J539 - WEEKDAY(Master_Data!J539,2) + 1)</f>
        <v>46055</v>
      </c>
      <c r="E539" s="18">
        <f>IF(Master_Data!M539="","",Master_Data!M539 - WEEKDAY(Master_Data!M539,2) + 1)</f>
        <v>46083</v>
      </c>
      <c r="F539" s="18">
        <f>IF(Master_Data!N539="","",Master_Data!N539 - WEEKDAY(Master_Data!N539,2) + 1)</f>
        <v>46069</v>
      </c>
      <c r="G539" s="19">
        <f>EOMONTH(Master_Data!H539,-1)+1</f>
        <v>46054</v>
      </c>
      <c r="H539" s="19">
        <f>IF(Master_Data!J539="","",EOMONTH(Master_Data!J539,-1)+1)</f>
        <v>46054</v>
      </c>
      <c r="I539" s="19">
        <f>IF(Master_Data!M539="","",EOMONTH(Master_Data!M539,-1)+1)</f>
        <v>46082</v>
      </c>
      <c r="J539" s="19">
        <f>IF(Master_Data!N539="","",EOMONTH(Master_Data!N539,-1)+1)</f>
        <v>46054</v>
      </c>
    </row>
    <row r="540" spans="1:10">
      <c r="A540" s="2" t="s">
        <v>1089</v>
      </c>
      <c r="B540" s="2" t="str">
        <f>Master_Data!B540</f>
        <v>Structural</v>
      </c>
      <c r="C540" s="18">
        <f>IF(Master_Data!H540="","",Master_Data!H540 - WEEKDAY(Master_Data!H540,2) + 1)</f>
        <v>46076</v>
      </c>
      <c r="D540" s="18">
        <f>IF(Master_Data!J540="","",Master_Data!J540 - WEEKDAY(Master_Data!J540,2) + 1)</f>
        <v>46132</v>
      </c>
      <c r="E540" s="18">
        <f>IF(Master_Data!M540="","",Master_Data!M540 - WEEKDAY(Master_Data!M540,2) + 1)</f>
        <v>46104</v>
      </c>
      <c r="F540" s="18">
        <f>IF(Master_Data!N540="","",Master_Data!N540 - WEEKDAY(Master_Data!N540,2) + 1)</f>
        <v>46132</v>
      </c>
      <c r="G540" s="19">
        <f>EOMONTH(Master_Data!H540,-1)+1</f>
        <v>46054</v>
      </c>
      <c r="H540" s="19">
        <f>IF(Master_Data!J540="","",EOMONTH(Master_Data!J540,-1)+1)</f>
        <v>46113</v>
      </c>
      <c r="I540" s="19">
        <f>IF(Master_Data!M540="","",EOMONTH(Master_Data!M540,-1)+1)</f>
        <v>46082</v>
      </c>
      <c r="J540" s="19">
        <f>IF(Master_Data!N540="","",EOMONTH(Master_Data!N540,-1)+1)</f>
        <v>46113</v>
      </c>
    </row>
    <row r="541" spans="1:10">
      <c r="A541" s="2" t="s">
        <v>1090</v>
      </c>
      <c r="B541" s="2" t="str">
        <f>Master_Data!B541</f>
        <v>Structural</v>
      </c>
      <c r="C541" s="18">
        <f>IF(Master_Data!H541="","",Master_Data!H541 - WEEKDAY(Master_Data!H541,2) + 1)</f>
        <v>46076</v>
      </c>
      <c r="D541" s="18" t="str">
        <f>IF(Master_Data!J541="","",Master_Data!J541 - WEEKDAY(Master_Data!J541,2) + 1)</f>
        <v/>
      </c>
      <c r="E541" s="18">
        <f>IF(Master_Data!M541="","",Master_Data!M541 - WEEKDAY(Master_Data!M541,2) + 1)</f>
        <v>46104</v>
      </c>
      <c r="F541" s="18" t="str">
        <f>IF(Master_Data!N541="","",Master_Data!N541 - WEEKDAY(Master_Data!N541,2) + 1)</f>
        <v/>
      </c>
      <c r="G541" s="19">
        <f>EOMONTH(Master_Data!H541,-1)+1</f>
        <v>46054</v>
      </c>
      <c r="H541" s="19" t="str">
        <f>IF(Master_Data!J541="","",EOMONTH(Master_Data!J541,-1)+1)</f>
        <v/>
      </c>
      <c r="I541" s="19">
        <f>IF(Master_Data!M541="","",EOMONTH(Master_Data!M541,-1)+1)</f>
        <v>46082</v>
      </c>
      <c r="J541" s="19" t="str">
        <f>IF(Master_Data!N541="","",EOMONTH(Master_Data!N541,-1)+1)</f>
        <v/>
      </c>
    </row>
    <row r="542" spans="1:10">
      <c r="A542" s="2" t="s">
        <v>1092</v>
      </c>
      <c r="B542" s="2" t="str">
        <f>Master_Data!B542</f>
        <v>Structural</v>
      </c>
      <c r="C542" s="18">
        <f>IF(Master_Data!H542="","",Master_Data!H542 - WEEKDAY(Master_Data!H542,2) + 1)</f>
        <v>46055</v>
      </c>
      <c r="D542" s="18">
        <f>IF(Master_Data!J542="","",Master_Data!J542 - WEEKDAY(Master_Data!J542,2) + 1)</f>
        <v>46055</v>
      </c>
      <c r="E542" s="18">
        <f>IF(Master_Data!M542="","",Master_Data!M542 - WEEKDAY(Master_Data!M542,2) + 1)</f>
        <v>46083</v>
      </c>
      <c r="F542" s="18">
        <f>IF(Master_Data!N542="","",Master_Data!N542 - WEEKDAY(Master_Data!N542,2) + 1)</f>
        <v>46132</v>
      </c>
      <c r="G542" s="19">
        <f>EOMONTH(Master_Data!H542,-1)+1</f>
        <v>46054</v>
      </c>
      <c r="H542" s="19">
        <f>IF(Master_Data!J542="","",EOMONTH(Master_Data!J542,-1)+1)</f>
        <v>46054</v>
      </c>
      <c r="I542" s="19">
        <f>IF(Master_Data!M542="","",EOMONTH(Master_Data!M542,-1)+1)</f>
        <v>46082</v>
      </c>
      <c r="J542" s="19">
        <f>IF(Master_Data!N542="","",EOMONTH(Master_Data!N542,-1)+1)</f>
        <v>46113</v>
      </c>
    </row>
    <row r="543" spans="1:10">
      <c r="A543" s="2" t="s">
        <v>1094</v>
      </c>
      <c r="B543" s="2" t="str">
        <f>Master_Data!B543</f>
        <v>Structural</v>
      </c>
      <c r="C543" s="18">
        <f>IF(Master_Data!H543="","",Master_Data!H543 - WEEKDAY(Master_Data!H543,2) + 1)</f>
        <v>46055</v>
      </c>
      <c r="D543" s="18">
        <f>IF(Master_Data!J543="","",Master_Data!J543 - WEEKDAY(Master_Data!J543,2) + 1)</f>
        <v>46055</v>
      </c>
      <c r="E543" s="18">
        <f>IF(Master_Data!M543="","",Master_Data!M543 - WEEKDAY(Master_Data!M543,2) + 1)</f>
        <v>46083</v>
      </c>
      <c r="F543" s="18">
        <f>IF(Master_Data!N543="","",Master_Data!N543 - WEEKDAY(Master_Data!N543,2) + 1)</f>
        <v>46132</v>
      </c>
      <c r="G543" s="19">
        <f>EOMONTH(Master_Data!H543,-1)+1</f>
        <v>46054</v>
      </c>
      <c r="H543" s="19">
        <f>IF(Master_Data!J543="","",EOMONTH(Master_Data!J543,-1)+1)</f>
        <v>46054</v>
      </c>
      <c r="I543" s="19">
        <f>IF(Master_Data!M543="","",EOMONTH(Master_Data!M543,-1)+1)</f>
        <v>46082</v>
      </c>
      <c r="J543" s="19">
        <f>IF(Master_Data!N543="","",EOMONTH(Master_Data!N543,-1)+1)</f>
        <v>46113</v>
      </c>
    </row>
  </sheetData>
  <autoFilter ref="A1:J543" xr:uid="{C4424774-DA22-44DB-965F-2FBD1917931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930FD-6DA7-4965-8896-78396F49C456}">
  <dimension ref="A1:AS90"/>
  <sheetViews>
    <sheetView topLeftCell="AH2" workbookViewId="0">
      <selection activeCell="AO2" sqref="AO2:AS22"/>
    </sheetView>
  </sheetViews>
  <sheetFormatPr defaultRowHeight="14.5"/>
  <cols>
    <col min="1" max="1" width="11.36328125" bestFit="1" customWidth="1"/>
    <col min="2" max="2" width="15.26953125" bestFit="1" customWidth="1"/>
    <col min="3" max="3" width="4.6328125" bestFit="1" customWidth="1"/>
    <col min="4" max="4" width="9.08984375" bestFit="1" customWidth="1"/>
    <col min="5" max="6" width="10.7265625" bestFit="1" customWidth="1"/>
    <col min="7" max="7" width="16.36328125" bestFit="1" customWidth="1"/>
    <col min="8" max="8" width="18.90625" bestFit="1" customWidth="1"/>
    <col min="9" max="9" width="16.36328125" bestFit="1" customWidth="1"/>
    <col min="10" max="10" width="18.90625" bestFit="1" customWidth="1"/>
    <col min="13" max="13" width="11.1796875" bestFit="1" customWidth="1"/>
    <col min="14" max="14" width="16.36328125" bestFit="1" customWidth="1"/>
    <col min="15" max="15" width="18.90625" bestFit="1" customWidth="1"/>
    <col min="16" max="16" width="12.36328125" bestFit="1" customWidth="1"/>
    <col min="17" max="17" width="14.90625" bestFit="1" customWidth="1"/>
    <col min="20" max="20" width="11.1796875" bestFit="1" customWidth="1"/>
    <col min="21" max="21" width="16.36328125" bestFit="1" customWidth="1"/>
    <col min="22" max="22" width="18.90625" bestFit="1" customWidth="1"/>
    <col min="23" max="23" width="12.36328125" bestFit="1" customWidth="1"/>
    <col min="24" max="24" width="14.90625" bestFit="1" customWidth="1"/>
    <col min="27" max="27" width="10.26953125" bestFit="1" customWidth="1"/>
    <col min="28" max="28" width="16.36328125" bestFit="1" customWidth="1"/>
    <col min="29" max="29" width="18.90625" bestFit="1" customWidth="1"/>
    <col min="30" max="30" width="12.36328125" bestFit="1" customWidth="1"/>
    <col min="31" max="31" width="14.90625" bestFit="1" customWidth="1"/>
    <col min="34" max="34" width="11.1796875" bestFit="1" customWidth="1"/>
    <col min="35" max="35" width="16.36328125" bestFit="1" customWidth="1"/>
    <col min="36" max="36" width="18.90625" bestFit="1" customWidth="1"/>
    <col min="37" max="37" width="12.36328125" bestFit="1" customWidth="1"/>
    <col min="38" max="38" width="14.90625" bestFit="1" customWidth="1"/>
    <col min="41" max="41" width="10.26953125" bestFit="1" customWidth="1"/>
    <col min="42" max="42" width="16.36328125" bestFit="1" customWidth="1"/>
    <col min="43" max="43" width="18.90625" bestFit="1" customWidth="1"/>
    <col min="44" max="44" width="12.36328125" bestFit="1" customWidth="1"/>
    <col min="45" max="45" width="14.90625" bestFit="1" customWidth="1"/>
  </cols>
  <sheetData>
    <row r="1" spans="1:45" ht="18.5">
      <c r="A1" s="13"/>
      <c r="B1" s="20" t="s">
        <v>1104</v>
      </c>
      <c r="C1" s="13"/>
      <c r="D1" s="13"/>
      <c r="F1" s="23" t="s">
        <v>1107</v>
      </c>
      <c r="G1" s="22">
        <f>HLOOKUP(F1,$B$2:$D$3,2,FALSE)</f>
        <v>183</v>
      </c>
      <c r="M1" s="29" t="s">
        <v>695</v>
      </c>
      <c r="N1" s="30">
        <f>HLOOKUP(M1,$B$2:$D$3,2,FALSE)</f>
        <v>123</v>
      </c>
      <c r="O1" s="13"/>
      <c r="P1" s="13"/>
      <c r="Q1" s="13"/>
      <c r="T1" s="29" t="s">
        <v>15</v>
      </c>
      <c r="U1" s="30">
        <f>HLOOKUP(T1,$B$2:$D$3,2,FALSE)</f>
        <v>236</v>
      </c>
      <c r="V1" s="13"/>
      <c r="W1" s="13"/>
      <c r="X1" s="13"/>
      <c r="AA1" s="29" t="s">
        <v>1107</v>
      </c>
      <c r="AB1" s="30">
        <f>HLOOKUP(AA1,$B$2:$D$3,2,FALSE)</f>
        <v>183</v>
      </c>
      <c r="AC1" s="13"/>
      <c r="AD1" s="13"/>
      <c r="AE1" s="13"/>
      <c r="AH1" s="29" t="s">
        <v>695</v>
      </c>
      <c r="AI1" s="30">
        <f>HLOOKUP(AH1,$B$2:$D$3,2,FALSE)</f>
        <v>123</v>
      </c>
      <c r="AJ1" s="13"/>
      <c r="AK1" s="13"/>
      <c r="AL1" s="13"/>
      <c r="AO1" s="29" t="s">
        <v>15</v>
      </c>
      <c r="AP1" s="30">
        <f>HLOOKUP(AO1,$B$2:$D$3,2,FALSE)</f>
        <v>236</v>
      </c>
      <c r="AQ1" s="13"/>
      <c r="AR1" s="13"/>
      <c r="AS1" s="13"/>
    </row>
    <row r="2" spans="1:45">
      <c r="A2" s="13"/>
      <c r="B2" s="21" t="s">
        <v>695</v>
      </c>
      <c r="C2" s="21" t="s">
        <v>15</v>
      </c>
      <c r="D2" s="21" t="s">
        <v>1107</v>
      </c>
      <c r="F2" s="21" t="s">
        <v>1108</v>
      </c>
      <c r="G2" s="21" t="s">
        <v>1111</v>
      </c>
      <c r="H2" s="21" t="s">
        <v>1112</v>
      </c>
      <c r="I2" s="21" t="s">
        <v>1113</v>
      </c>
      <c r="J2" s="21" t="s">
        <v>1114</v>
      </c>
      <c r="M2" s="21" t="s">
        <v>1108</v>
      </c>
      <c r="N2" s="21" t="s">
        <v>1111</v>
      </c>
      <c r="O2" s="21" t="s">
        <v>1112</v>
      </c>
      <c r="P2" s="21" t="s">
        <v>1113</v>
      </c>
      <c r="Q2" s="21" t="s">
        <v>1114</v>
      </c>
      <c r="T2" s="21" t="s">
        <v>1108</v>
      </c>
      <c r="U2" s="21" t="s">
        <v>1111</v>
      </c>
      <c r="V2" s="21" t="s">
        <v>1112</v>
      </c>
      <c r="W2" s="21" t="s">
        <v>1113</v>
      </c>
      <c r="X2" s="21" t="s">
        <v>1114</v>
      </c>
      <c r="AA2" s="21" t="s">
        <v>1109</v>
      </c>
      <c r="AB2" s="21" t="s">
        <v>1111</v>
      </c>
      <c r="AC2" s="21" t="s">
        <v>1112</v>
      </c>
      <c r="AD2" s="21" t="s">
        <v>1113</v>
      </c>
      <c r="AE2" s="21" t="s">
        <v>1114</v>
      </c>
      <c r="AH2" s="21" t="s">
        <v>1109</v>
      </c>
      <c r="AI2" s="21" t="s">
        <v>1111</v>
      </c>
      <c r="AJ2" s="21" t="s">
        <v>1112</v>
      </c>
      <c r="AK2" s="21" t="s">
        <v>1113</v>
      </c>
      <c r="AL2" s="21" t="s">
        <v>1114</v>
      </c>
      <c r="AO2" s="21" t="s">
        <v>1109</v>
      </c>
      <c r="AP2" s="21" t="s">
        <v>1111</v>
      </c>
      <c r="AQ2" s="21" t="s">
        <v>1112</v>
      </c>
      <c r="AR2" s="21" t="s">
        <v>1113</v>
      </c>
      <c r="AS2" s="21" t="s">
        <v>1114</v>
      </c>
    </row>
    <row r="3" spans="1:45">
      <c r="A3" s="13" t="s">
        <v>1110</v>
      </c>
      <c r="B3" s="31">
        <v>123</v>
      </c>
      <c r="C3" s="31">
        <v>236</v>
      </c>
      <c r="D3" s="31">
        <v>183</v>
      </c>
      <c r="F3" s="18">
        <f>Mappings!B2</f>
        <v>45663</v>
      </c>
      <c r="G3" s="24" cm="1">
        <f t="array" ref="G3">IFERROR(ROWS(_xlfn._xlws.FILTER(
   DRG_Status!$A$2:$A$100000,
   (DRG_Status!$C$2:$C$100000=S_Curve_Data!F3) *
   (DRG_Status!$B$2:$B$100000=S_Curve_Data!$F$1)
)),0)/$G$1</f>
        <v>0</v>
      </c>
      <c r="H3" s="24" cm="1">
        <f t="array" ref="H3">IFERROR(ROWS(_xlfn._xlws.FILTER(
   DRG_Status!$A$2:$A$100000,
   (DRG_Status!$D$2:$D$100000=S_Curve_Data!F3) *
   (DRG_Status!$B$2:$B$100000=S_Curve_Data!$F$1)
)),0)/$G$1</f>
        <v>0</v>
      </c>
      <c r="I3" s="24" cm="1">
        <f t="array" ref="I3">IFERROR(ROWS(_xlfn._xlws.FILTER(
   DRG_Status!$A$2:$A$100000,
   (DRG_Status!$E$2:$E$100000=S_Curve_Data!F3) *
   (DRG_Status!$B$2:$B$100000=S_Curve_Data!$F$1)
)),0)/$G$1</f>
        <v>0</v>
      </c>
      <c r="J3" s="24" cm="1">
        <f t="array" ref="J3">IFERROR(ROWS(_xlfn._xlws.FILTER(
   DRG_Status!$A$2:$A$100000,
   (DRG_Status!$F$2:$F$100000=S_Curve_Data!F3) *
   (DRG_Status!$B$2:$B$100000=S_Curve_Data!$F$1)
)),0)/$G$1</f>
        <v>0</v>
      </c>
      <c r="M3" s="18">
        <f>Mappings!B2</f>
        <v>45663</v>
      </c>
      <c r="N3" s="24" cm="1">
        <f t="array" ref="N3">IFERROR(ROWS(_xlfn._xlws.FILTER(
   DRG_Status!$A$2:$A$100000,
   (DRG_Status!$C$2:$C$100000=S_Curve_Data!M3) *
   (DRG_Status!$B$2:$B$100000=S_Curve_Data!$M$1)
)),0)/$N$1</f>
        <v>0</v>
      </c>
      <c r="O3" s="24" cm="1">
        <f t="array" ref="O3">IFERROR(ROWS(_xlfn._xlws.FILTER(
   DRG_Status!$A$2:$A$100000,
   (DRG_Status!$D$2:$D$100000=S_Curve_Data!M3) *
   (DRG_Status!$B$2:$B$100000=S_Curve_Data!$M$1)
)),0)/$N$1</f>
        <v>0</v>
      </c>
      <c r="P3" s="24" cm="1">
        <f t="array" ref="P3">IFERROR(ROWS(_xlfn._xlws.FILTER(
   DRG_Status!$A$2:$A$100000,
   (DRG_Status!$E$2:$E$100000=S_Curve_Data!M3) *
   (DRG_Status!$B$2:$B$100000=S_Curve_Data!$M$1)
)),0)/$N$1</f>
        <v>0</v>
      </c>
      <c r="Q3" s="24" cm="1">
        <f t="array" ref="Q3">IFERROR(ROWS(_xlfn._xlws.FILTER(
   DRG_Status!$A$2:$A$100000,
   (DRG_Status!$F$2:$F$100000=S_Curve_Data!M3) *
   (DRG_Status!$B$2:$B$100000=S_Curve_Data!$M$1)
)),0)/$N$1</f>
        <v>0</v>
      </c>
      <c r="T3" s="18">
        <f>Mappings!B2</f>
        <v>45663</v>
      </c>
      <c r="U3" s="24" cm="1">
        <f t="array" ref="U3">IFERROR(ROWS(_xlfn._xlws.FILTER(
   DRG_Status!$A$2:$A$100000,
   (DRG_Status!$C$2:$C$100000=S_Curve_Data!T3) *
   (DRG_Status!$B$2:$B$100000=S_Curve_Data!$T$1)
)),0)/$U$1</f>
        <v>0</v>
      </c>
      <c r="V3" s="24" cm="1">
        <f t="array" ref="V3">IFERROR(ROWS(_xlfn._xlws.FILTER(
   DRG_Status!$A$2:$A$100000,
   (DRG_Status!$D$2:$D$100000=S_Curve_Data!T3) *
   (DRG_Status!$B$2:$B$100000=S_Curve_Data!$T$1)
)),0)/$U$1</f>
        <v>0</v>
      </c>
      <c r="W3" s="24" cm="1">
        <f t="array" ref="W3">IFERROR(ROWS(_xlfn._xlws.FILTER(
   DRG_Status!$A$2:$A$100000,
   (DRG_Status!$E$2:$E$100000=S_Curve_Data!T3) *
   (DRG_Status!$B$2:$B$100000=S_Curve_Data!$T$1)
)),0)/$U$1</f>
        <v>0</v>
      </c>
      <c r="X3" s="24" cm="1">
        <f t="array" ref="X3">IFERROR(ROWS(_xlfn._xlws.FILTER(
   DRG_Status!$A$2:$A$100000,
   (DRG_Status!$F$2:$F$100000=S_Curve_Data!T3) *
   (DRG_Status!$B$2:$B$100000=S_Curve_Data!$T$1)
)),0)/$U$1</f>
        <v>0</v>
      </c>
      <c r="AA3" s="19">
        <v>45658</v>
      </c>
      <c r="AB3" s="24" cm="1">
        <f t="array" ref="AB3">IFERROR(ROWS(_xlfn._xlws.FILTER(
   DRG_Status!$A$2:$A$100000,
   (DRG_Status!$G$2:$G$100000=S_Curve_Data!AA3) *
   (DRG_Status!$B$2:$B$100000=S_Curve_Data!$AA$1)
)),0)/$AB$1</f>
        <v>0</v>
      </c>
      <c r="AC3" s="24" cm="1">
        <f t="array" ref="AC3">IFERROR(ROWS(_xlfn._xlws.FILTER(
   DRG_Status!$A$2:$A$100000,
   (DRG_Status!$H$2:$H$100000=S_Curve_Data!AA3) *
   (DRG_Status!$B$2:$B$100000=S_Curve_Data!$AA$1)
)),0)/$AB$1</f>
        <v>0</v>
      </c>
      <c r="AD3" s="24" cm="1">
        <f t="array" ref="AD3">IFERROR(ROWS(_xlfn._xlws.FILTER(
   DRG_Status!$A$2:$A$100000,
   (DRG_Status!$I$2:$I$100000=S_Curve_Data!AA3) *
   (DRG_Status!$B$2:$B$100000=S_Curve_Data!$AA$1)
)),0)/$AB$1</f>
        <v>0</v>
      </c>
      <c r="AE3" s="24" cm="1">
        <f t="array" ref="AE3">IFERROR(ROWS(_xlfn._xlws.FILTER(
   DRG_Status!$A$2:$A$100000,
   (DRG_Status!$J$2:$J$100000=S_Curve_Data!AA3) *
   (DRG_Status!$B$2:$B$100000=S_Curve_Data!$AA$1)
)),0)/$AB$1</f>
        <v>0</v>
      </c>
      <c r="AH3" s="19">
        <v>45658</v>
      </c>
      <c r="AI3" s="24" cm="1">
        <f t="array" ref="AI3">IFERROR(ROWS(_xlfn._xlws.FILTER(
   DRG_Status!$A$2:$A$100000,
   (DRG_Status!$G$2:$G$100000=S_Curve_Data!AH3) *
   (DRG_Status!$B$2:$B$100000=S_Curve_Data!$AH$1)
)),0)/$AI$1</f>
        <v>0</v>
      </c>
      <c r="AJ3" s="24" cm="1">
        <f t="array" ref="AJ3">IFERROR(ROWS(_xlfn._xlws.FILTER(
   DRG_Status!$A$2:$A$100000,
   (DRG_Status!$H$2:$H$100000=S_Curve_Data!AH3) *
   (DRG_Status!$B$2:$B$100000=S_Curve_Data!$AH$1)
)),0)/$AI$1</f>
        <v>0</v>
      </c>
      <c r="AK3" s="24" cm="1">
        <f t="array" ref="AK3">IFERROR(ROWS(_xlfn._xlws.FILTER(
   DRG_Status!$A$2:$A$100000,
   (DRG_Status!$I$2:$I$100000=S_Curve_Data!AH3) *
   (DRG_Status!$B$2:$B$100000=S_Curve_Data!$AH$1)
)),0)/$AI$1</f>
        <v>0</v>
      </c>
      <c r="AL3" s="24" cm="1">
        <f t="array" ref="AL3">IFERROR(ROWS(_xlfn._xlws.FILTER(
   DRG_Status!$A$2:$A$100000,
   (DRG_Status!$J$2:$J$100000=S_Curve_Data!AH3) *
   (DRG_Status!$B$2:$B$100000=S_Curve_Data!$AH$1)
)),0)/$AI$1</f>
        <v>0</v>
      </c>
      <c r="AO3" s="19">
        <v>45658</v>
      </c>
      <c r="AP3" s="24" cm="1">
        <f t="array" ref="AP3">IFERROR(ROWS(_xlfn._xlws.FILTER(
   DRG_Status!$A$2:$A$100000,
   (DRG_Status!$G$2:$G$100000=S_Curve_Data!AO3) *
   (DRG_Status!$B$2:$B$100000=S_Curve_Data!$AO$1)
)),0)/$AP$1</f>
        <v>0</v>
      </c>
      <c r="AQ3" s="24" cm="1">
        <f t="array" ref="AQ3">IFERROR(ROWS(_xlfn._xlws.FILTER(
   DRG_Status!$A$2:$A$100000,
   (DRG_Status!$H$2:$H$100000=S_Curve_Data!AO3) *
   (DRG_Status!$B$2:$B$100000=S_Curve_Data!$AO$1)
)),0)/$AP$1</f>
        <v>0</v>
      </c>
      <c r="AR3" s="24" cm="1">
        <f t="array" ref="AR3">IFERROR(ROWS(_xlfn._xlws.FILTER(
   DRG_Status!$A$2:$A$100000,
   (DRG_Status!$I$2:$I$100000=S_Curve_Data!AO3) *
   (DRG_Status!$B$2:$B$100000=S_Curve_Data!$AO$1)
)),0)/$AP$1</f>
        <v>0</v>
      </c>
      <c r="AS3" s="24" cm="1">
        <f t="array" ref="AS3">IFERROR(ROWS(_xlfn._xlws.FILTER(
   DRG_Status!$A$2:$A$100000,
   (DRG_Status!$J$2:$J$100000=S_Curve_Data!AO3) *
   (DRG_Status!$B$2:$B$100000=S_Curve_Data!$AO$1)
)),0)/$AP$1</f>
        <v>0</v>
      </c>
    </row>
    <row r="4" spans="1:45">
      <c r="F4" s="18">
        <f>Mappings!B3</f>
        <v>45670</v>
      </c>
      <c r="G4" s="24" cm="1">
        <f t="array" ref="G4">IFERROR(ROWS(_xlfn._xlws.FILTER(
   DRG_Status!$A$2:$A$100000,
   (DRG_Status!$C$2:$C$100000=S_Curve_Data!F4) *
   (DRG_Status!$B$2:$B$100000=S_Curve_Data!$F$1)
)),0)/$G$1</f>
        <v>0</v>
      </c>
      <c r="H4" s="24" cm="1">
        <f t="array" ref="H4">IFERROR(ROWS(_xlfn._xlws.FILTER(
   DRG_Status!$A$2:$A$100000,
   (DRG_Status!$D$2:$D$100000=S_Curve_Data!F4) *
   (DRG_Status!$B$2:$B$100000=S_Curve_Data!$F$1)
)),0)/$G$1</f>
        <v>0</v>
      </c>
      <c r="I4" s="24" cm="1">
        <f t="array" ref="I4">IFERROR(ROWS(_xlfn._xlws.FILTER(
   DRG_Status!$A$2:$A$100000,
   (DRG_Status!$E$2:$E$100000=S_Curve_Data!F4) *
   (DRG_Status!$B$2:$B$100000=S_Curve_Data!$F$1)
)),0)/$G$1</f>
        <v>0</v>
      </c>
      <c r="J4" s="24" cm="1">
        <f t="array" ref="J4">IFERROR(ROWS(_xlfn._xlws.FILTER(
   DRG_Status!$A$2:$A$100000,
   (DRG_Status!$F$2:$F$100000=S_Curve_Data!F4) *
   (DRG_Status!$B$2:$B$100000=S_Curve_Data!$F$1)
)),0)/$G$1</f>
        <v>0</v>
      </c>
      <c r="M4" s="18">
        <f>Mappings!B3</f>
        <v>45670</v>
      </c>
      <c r="N4" s="24" cm="1">
        <f t="array" ref="N4">IFERROR(ROWS(_xlfn._xlws.FILTER(
   DRG_Status!$A$2:$A$100000,
   (DRG_Status!$C$2:$C$100000=S_Curve_Data!M4) *
   (DRG_Status!$B$2:$B$100000=S_Curve_Data!$M$1)
)),0)/$N$1</f>
        <v>0</v>
      </c>
      <c r="O4" s="24" cm="1">
        <f t="array" ref="O4">IFERROR(ROWS(_xlfn._xlws.FILTER(
   DRG_Status!$A$2:$A$100000,
   (DRG_Status!$D$2:$D$100000=S_Curve_Data!M4) *
   (DRG_Status!$B$2:$B$100000=S_Curve_Data!$M$1)
)),0)/$N$1</f>
        <v>0</v>
      </c>
      <c r="P4" s="24" cm="1">
        <f t="array" ref="P4">IFERROR(ROWS(_xlfn._xlws.FILTER(
   DRG_Status!$A$2:$A$100000,
   (DRG_Status!$E$2:$E$100000=S_Curve_Data!M4) *
   (DRG_Status!$B$2:$B$100000=S_Curve_Data!$M$1)
)),0)/$N$1</f>
        <v>0</v>
      </c>
      <c r="Q4" s="24" cm="1">
        <f t="array" ref="Q4">IFERROR(ROWS(_xlfn._xlws.FILTER(
   DRG_Status!$A$2:$A$100000,
   (DRG_Status!$F$2:$F$100000=S_Curve_Data!M4) *
   (DRG_Status!$B$2:$B$100000=S_Curve_Data!$M$1)
)),0)/$N$1</f>
        <v>0</v>
      </c>
      <c r="T4" s="18">
        <f>Mappings!B3</f>
        <v>45670</v>
      </c>
      <c r="U4" s="24" cm="1">
        <f t="array" ref="U4">IFERROR(ROWS(_xlfn._xlws.FILTER(
   DRG_Status!$A$2:$A$100000,
   (DRG_Status!$C$2:$C$100000=S_Curve_Data!T4) *
   (DRG_Status!$B$2:$B$100000=S_Curve_Data!$T$1)
)),0)/$U$1</f>
        <v>0</v>
      </c>
      <c r="V4" s="24" cm="1">
        <f t="array" ref="V4">IFERROR(ROWS(_xlfn._xlws.FILTER(
   DRG_Status!$A$2:$A$100000,
   (DRG_Status!$D$2:$D$100000=S_Curve_Data!T4) *
   (DRG_Status!$B$2:$B$100000=S_Curve_Data!$T$1)
)),0)/$U$1</f>
        <v>0</v>
      </c>
      <c r="W4" s="24" cm="1">
        <f t="array" ref="W4">IFERROR(ROWS(_xlfn._xlws.FILTER(
   DRG_Status!$A$2:$A$100000,
   (DRG_Status!$E$2:$E$100000=S_Curve_Data!T4) *
   (DRG_Status!$B$2:$B$100000=S_Curve_Data!$T$1)
)),0)/$U$1</f>
        <v>0</v>
      </c>
      <c r="X4" s="24" cm="1">
        <f t="array" ref="X4">IFERROR(ROWS(_xlfn._xlws.FILTER(
   DRG_Status!$A$2:$A$100000,
   (DRG_Status!$F$2:$F$100000=S_Curve_Data!T4) *
   (DRG_Status!$B$2:$B$100000=S_Curve_Data!$T$1)
)),0)/$U$1</f>
        <v>0</v>
      </c>
      <c r="AA4" s="19">
        <v>45689</v>
      </c>
      <c r="AB4" s="24" cm="1">
        <f t="array" ref="AB4">IFERROR(ROWS(_xlfn._xlws.FILTER(
   DRG_Status!$A$2:$A$100000,
   (DRG_Status!$G$2:$G$100000=S_Curve_Data!AA4) *
   (DRG_Status!$B$2:$B$100000=S_Curve_Data!$AA$1)
)),0)/$AB$1</f>
        <v>0</v>
      </c>
      <c r="AC4" s="24" cm="1">
        <f t="array" ref="AC4">IFERROR(ROWS(_xlfn._xlws.FILTER(
   DRG_Status!$A$2:$A$100000,
   (DRG_Status!$H$2:$H$100000=S_Curve_Data!AA4) *
   (DRG_Status!$B$2:$B$100000=S_Curve_Data!$AA$1)
)),0)/$AB$1</f>
        <v>0</v>
      </c>
      <c r="AD4" s="24" cm="1">
        <f t="array" ref="AD4">IFERROR(ROWS(_xlfn._xlws.FILTER(
   DRG_Status!$A$2:$A$100000,
   (DRG_Status!$I$2:$I$100000=S_Curve_Data!AA4) *
   (DRG_Status!$B$2:$B$100000=S_Curve_Data!$AA$1)
)),0)/$AB$1</f>
        <v>0</v>
      </c>
      <c r="AE4" s="24" cm="1">
        <f t="array" ref="AE4">IFERROR(ROWS(_xlfn._xlws.FILTER(
   DRG_Status!$A$2:$A$100000,
   (DRG_Status!$J$2:$J$100000=S_Curve_Data!AA4) *
   (DRG_Status!$B$2:$B$100000=S_Curve_Data!$AA$1)
)),0)/$AB$1</f>
        <v>0</v>
      </c>
      <c r="AH4" s="19">
        <v>45689</v>
      </c>
      <c r="AI4" s="24" cm="1">
        <f t="array" ref="AI4">IFERROR(ROWS(_xlfn._xlws.FILTER(
   DRG_Status!$A$2:$A$100000,
   (DRG_Status!$G$2:$G$100000=S_Curve_Data!AH4) *
   (DRG_Status!$B$2:$B$100000=S_Curve_Data!$AH$1)
)),0)/$AI$1</f>
        <v>0</v>
      </c>
      <c r="AJ4" s="24" cm="1">
        <f t="array" ref="AJ4">IFERROR(ROWS(_xlfn._xlws.FILTER(
   DRG_Status!$A$2:$A$100000,
   (DRG_Status!$H$2:$H$100000=S_Curve_Data!AH4) *
   (DRG_Status!$B$2:$B$100000=S_Curve_Data!$AH$1)
)),0)/$AI$1</f>
        <v>0</v>
      </c>
      <c r="AK4" s="24" cm="1">
        <f t="array" ref="AK4">IFERROR(ROWS(_xlfn._xlws.FILTER(
   DRG_Status!$A$2:$A$100000,
   (DRG_Status!$I$2:$I$100000=S_Curve_Data!AH4) *
   (DRG_Status!$B$2:$B$100000=S_Curve_Data!$AH$1)
)),0)/$AI$1</f>
        <v>0</v>
      </c>
      <c r="AL4" s="24" cm="1">
        <f t="array" ref="AL4">IFERROR(ROWS(_xlfn._xlws.FILTER(
   DRG_Status!$A$2:$A$100000,
   (DRG_Status!$J$2:$J$100000=S_Curve_Data!AH4) *
   (DRG_Status!$B$2:$B$100000=S_Curve_Data!$AH$1)
)),0)/$AI$1</f>
        <v>0</v>
      </c>
      <c r="AO4" s="19">
        <v>45689</v>
      </c>
      <c r="AP4" s="24" cm="1">
        <f t="array" ref="AP4">IFERROR(ROWS(_xlfn._xlws.FILTER(
   DRG_Status!$A$2:$A$100000,
   (DRG_Status!$G$2:$G$100000=S_Curve_Data!AO4) *
   (DRG_Status!$B$2:$B$100000=S_Curve_Data!$AO$1)
)),0)/$AP$1</f>
        <v>0</v>
      </c>
      <c r="AQ4" s="24" cm="1">
        <f t="array" ref="AQ4">IFERROR(ROWS(_xlfn._xlws.FILTER(
   DRG_Status!$A$2:$A$100000,
   (DRG_Status!$H$2:$H$100000=S_Curve_Data!AO4) *
   (DRG_Status!$B$2:$B$100000=S_Curve_Data!$AO$1)
)),0)/$AP$1</f>
        <v>0</v>
      </c>
      <c r="AR4" s="24" cm="1">
        <f t="array" ref="AR4">IFERROR(ROWS(_xlfn._xlws.FILTER(
   DRG_Status!$A$2:$A$100000,
   (DRG_Status!$I$2:$I$100000=S_Curve_Data!AO4) *
   (DRG_Status!$B$2:$B$100000=S_Curve_Data!$AO$1)
)),0)/$AP$1</f>
        <v>0</v>
      </c>
      <c r="AS4" s="24" cm="1">
        <f t="array" ref="AS4">IFERROR(ROWS(_xlfn._xlws.FILTER(
   DRG_Status!$A$2:$A$100000,
   (DRG_Status!$J$2:$J$100000=S_Curve_Data!AO4) *
   (DRG_Status!$B$2:$B$100000=S_Curve_Data!$AO$1)
)),0)/$AP$1</f>
        <v>0</v>
      </c>
    </row>
    <row r="5" spans="1:45">
      <c r="F5" s="18">
        <f>Mappings!B4</f>
        <v>45677</v>
      </c>
      <c r="G5" s="24" cm="1">
        <f t="array" ref="G5">IFERROR(ROWS(_xlfn._xlws.FILTER(
   DRG_Status!$A$2:$A$100000,
   (DRG_Status!$C$2:$C$100000=S_Curve_Data!F5) *
   (DRG_Status!$B$2:$B$100000=S_Curve_Data!$F$1)
)),0)/$G$1</f>
        <v>0</v>
      </c>
      <c r="H5" s="24" cm="1">
        <f t="array" ref="H5">IFERROR(ROWS(_xlfn._xlws.FILTER(
   DRG_Status!$A$2:$A$100000,
   (DRG_Status!$D$2:$D$100000=S_Curve_Data!F5) *
   (DRG_Status!$B$2:$B$100000=S_Curve_Data!$F$1)
)),0)/$G$1</f>
        <v>0</v>
      </c>
      <c r="I5" s="24" cm="1">
        <f t="array" ref="I5">IFERROR(ROWS(_xlfn._xlws.FILTER(
   DRG_Status!$A$2:$A$100000,
   (DRG_Status!$E$2:$E$100000=S_Curve_Data!F5) *
   (DRG_Status!$B$2:$B$100000=S_Curve_Data!$F$1)
)),0)/$G$1</f>
        <v>0</v>
      </c>
      <c r="J5" s="24" cm="1">
        <f t="array" ref="J5">IFERROR(ROWS(_xlfn._xlws.FILTER(
   DRG_Status!$A$2:$A$100000,
   (DRG_Status!$F$2:$F$100000=S_Curve_Data!F5) *
   (DRG_Status!$B$2:$B$100000=S_Curve_Data!$F$1)
)),0)/$G$1</f>
        <v>0</v>
      </c>
      <c r="M5" s="18">
        <f>Mappings!B4</f>
        <v>45677</v>
      </c>
      <c r="N5" s="24" cm="1">
        <f t="array" ref="N5">IFERROR(ROWS(_xlfn._xlws.FILTER(
   DRG_Status!$A$2:$A$100000,
   (DRG_Status!$C$2:$C$100000=S_Curve_Data!M5) *
   (DRG_Status!$B$2:$B$100000=S_Curve_Data!$M$1)
)),0)/$N$1</f>
        <v>0</v>
      </c>
      <c r="O5" s="24" cm="1">
        <f t="array" ref="O5">IFERROR(ROWS(_xlfn._xlws.FILTER(
   DRG_Status!$A$2:$A$100000,
   (DRG_Status!$D$2:$D$100000=S_Curve_Data!M5) *
   (DRG_Status!$B$2:$B$100000=S_Curve_Data!$M$1)
)),0)/$N$1</f>
        <v>0</v>
      </c>
      <c r="P5" s="24" cm="1">
        <f t="array" ref="P5">IFERROR(ROWS(_xlfn._xlws.FILTER(
   DRG_Status!$A$2:$A$100000,
   (DRG_Status!$E$2:$E$100000=S_Curve_Data!M5) *
   (DRG_Status!$B$2:$B$100000=S_Curve_Data!$M$1)
)),0)/$N$1</f>
        <v>0</v>
      </c>
      <c r="Q5" s="24" cm="1">
        <f t="array" ref="Q5">IFERROR(ROWS(_xlfn._xlws.FILTER(
   DRG_Status!$A$2:$A$100000,
   (DRG_Status!$F$2:$F$100000=S_Curve_Data!M5) *
   (DRG_Status!$B$2:$B$100000=S_Curve_Data!$M$1)
)),0)/$N$1</f>
        <v>0</v>
      </c>
      <c r="T5" s="18">
        <f>Mappings!B4</f>
        <v>45677</v>
      </c>
      <c r="U5" s="24" cm="1">
        <f t="array" ref="U5">IFERROR(ROWS(_xlfn._xlws.FILTER(
   DRG_Status!$A$2:$A$100000,
   (DRG_Status!$C$2:$C$100000=S_Curve_Data!T5) *
   (DRG_Status!$B$2:$B$100000=S_Curve_Data!$T$1)
)),0)/$U$1</f>
        <v>0</v>
      </c>
      <c r="V5" s="24" cm="1">
        <f t="array" ref="V5">IFERROR(ROWS(_xlfn._xlws.FILTER(
   DRG_Status!$A$2:$A$100000,
   (DRG_Status!$D$2:$D$100000=S_Curve_Data!T5) *
   (DRG_Status!$B$2:$B$100000=S_Curve_Data!$T$1)
)),0)/$U$1</f>
        <v>0</v>
      </c>
      <c r="W5" s="24" cm="1">
        <f t="array" ref="W5">IFERROR(ROWS(_xlfn._xlws.FILTER(
   DRG_Status!$A$2:$A$100000,
   (DRG_Status!$E$2:$E$100000=S_Curve_Data!T5) *
   (DRG_Status!$B$2:$B$100000=S_Curve_Data!$T$1)
)),0)/$U$1</f>
        <v>0</v>
      </c>
      <c r="X5" s="24" cm="1">
        <f t="array" ref="X5">IFERROR(ROWS(_xlfn._xlws.FILTER(
   DRG_Status!$A$2:$A$100000,
   (DRG_Status!$F$2:$F$100000=S_Curve_Data!T5) *
   (DRG_Status!$B$2:$B$100000=S_Curve_Data!$T$1)
)),0)/$U$1</f>
        <v>0</v>
      </c>
      <c r="AA5" s="19">
        <v>45717</v>
      </c>
      <c r="AB5" s="24" cm="1">
        <f t="array" ref="AB5">IFERROR(ROWS(_xlfn._xlws.FILTER(
   DRG_Status!$A$2:$A$100000,
   (DRG_Status!$G$2:$G$100000=S_Curve_Data!AA5) *
   (DRG_Status!$B$2:$B$100000=S_Curve_Data!$AA$1)
)),0)/$AB$1</f>
        <v>0.20218579234972678</v>
      </c>
      <c r="AC5" s="24" cm="1">
        <f t="array" ref="AC5">IFERROR(ROWS(_xlfn._xlws.FILTER(
   DRG_Status!$A$2:$A$100000,
   (DRG_Status!$H$2:$H$100000=S_Curve_Data!AA5) *
   (DRG_Status!$B$2:$B$100000=S_Curve_Data!$AA$1)
)),0)/$AB$1</f>
        <v>0.14754098360655737</v>
      </c>
      <c r="AD5" s="24" cm="1">
        <f t="array" ref="AD5">IFERROR(ROWS(_xlfn._xlws.FILTER(
   DRG_Status!$A$2:$A$100000,
   (DRG_Status!$I$2:$I$100000=S_Curve_Data!AA5) *
   (DRG_Status!$B$2:$B$100000=S_Curve_Data!$AA$1)
)),0)/$AB$1</f>
        <v>8.1967213114754092E-2</v>
      </c>
      <c r="AE5" s="24" cm="1">
        <f t="array" ref="AE5">IFERROR(ROWS(_xlfn._xlws.FILTER(
   DRG_Status!$A$2:$A$100000,
   (DRG_Status!$J$2:$J$100000=S_Curve_Data!AA5) *
   (DRG_Status!$B$2:$B$100000=S_Curve_Data!$AA$1)
)),0)/$AB$1</f>
        <v>8.1967213114754092E-2</v>
      </c>
      <c r="AH5" s="19">
        <v>45717</v>
      </c>
      <c r="AI5" s="24" cm="1">
        <f t="array" ref="AI5">IFERROR(ROWS(_xlfn._xlws.FILTER(
   DRG_Status!$A$2:$A$100000,
   (DRG_Status!$G$2:$G$100000=S_Curve_Data!AH5) *
   (DRG_Status!$B$2:$B$100000=S_Curve_Data!$AH$1)
)),0)/$AI$1</f>
        <v>0.13821138211382114</v>
      </c>
      <c r="AJ5" s="24" cm="1">
        <f t="array" ref="AJ5">IFERROR(ROWS(_xlfn._xlws.FILTER(
   DRG_Status!$A$2:$A$100000,
   (DRG_Status!$H$2:$H$100000=S_Curve_Data!AH5) *
   (DRG_Status!$B$2:$B$100000=S_Curve_Data!$AH$1)
)),0)/$AI$1</f>
        <v>0.14634146341463414</v>
      </c>
      <c r="AK5" s="24" cm="1">
        <f t="array" ref="AK5">IFERROR(ROWS(_xlfn._xlws.FILTER(
   DRG_Status!$A$2:$A$100000,
   (DRG_Status!$I$2:$I$100000=S_Curve_Data!AH5) *
   (DRG_Status!$B$2:$B$100000=S_Curve_Data!$AH$1)
)),0)/$AI$1</f>
        <v>0.13821138211382114</v>
      </c>
      <c r="AL5" s="24" cm="1">
        <f t="array" ref="AL5">IFERROR(ROWS(_xlfn._xlws.FILTER(
   DRG_Status!$A$2:$A$100000,
   (DRG_Status!$J$2:$J$100000=S_Curve_Data!AH5) *
   (DRG_Status!$B$2:$B$100000=S_Curve_Data!$AH$1)
)),0)/$AI$1</f>
        <v>0.13821138211382114</v>
      </c>
      <c r="AO5" s="19">
        <v>45717</v>
      </c>
      <c r="AP5" s="24" cm="1">
        <f t="array" ref="AP5">IFERROR(ROWS(_xlfn._xlws.FILTER(
   DRG_Status!$A$2:$A$100000,
   (DRG_Status!$G$2:$G$100000=S_Curve_Data!AO5) *
   (DRG_Status!$B$2:$B$100000=S_Curve_Data!$AO$1)
)),0)/$AP$1</f>
        <v>0.30084745762711862</v>
      </c>
      <c r="AQ5" s="24" cm="1">
        <f t="array" ref="AQ5">IFERROR(ROWS(_xlfn._xlws.FILTER(
   DRG_Status!$A$2:$A$100000,
   (DRG_Status!$H$2:$H$100000=S_Curve_Data!AO5) *
   (DRG_Status!$B$2:$B$100000=S_Curve_Data!$AO$1)
)),0)/$AP$1</f>
        <v>9.3220338983050849E-2</v>
      </c>
      <c r="AR5" s="24" cm="1">
        <f t="array" ref="AR5">IFERROR(ROWS(_xlfn._xlws.FILTER(
   DRG_Status!$A$2:$A$100000,
   (DRG_Status!$I$2:$I$100000=S_Curve_Data!AO5) *
   (DRG_Status!$B$2:$B$100000=S_Curve_Data!$AO$1)
)),0)/$AP$1</f>
        <v>0</v>
      </c>
      <c r="AS5" s="24" cm="1">
        <f t="array" ref="AS5">IFERROR(ROWS(_xlfn._xlws.FILTER(
   DRG_Status!$A$2:$A$100000,
   (DRG_Status!$J$2:$J$100000=S_Curve_Data!AO5) *
   (DRG_Status!$B$2:$B$100000=S_Curve_Data!$AO$1)
)),0)/$AP$1</f>
        <v>4.2372881355932203E-3</v>
      </c>
    </row>
    <row r="6" spans="1:45">
      <c r="D6" s="17"/>
      <c r="F6" s="18">
        <f>Mappings!B5</f>
        <v>45684</v>
      </c>
      <c r="G6" s="24" cm="1">
        <f t="array" ref="G6">IFERROR(ROWS(_xlfn._xlws.FILTER(
   DRG_Status!$A$2:$A$100000,
   (DRG_Status!$C$2:$C$100000=S_Curve_Data!F6) *
   (DRG_Status!$B$2:$B$100000=S_Curve_Data!$F$1)
)),0)/$G$1</f>
        <v>0</v>
      </c>
      <c r="H6" s="24" cm="1">
        <f t="array" ref="H6">IFERROR(ROWS(_xlfn._xlws.FILTER(
   DRG_Status!$A$2:$A$100000,
   (DRG_Status!$D$2:$D$100000=S_Curve_Data!F6) *
   (DRG_Status!$B$2:$B$100000=S_Curve_Data!$F$1)
)),0)/$G$1</f>
        <v>0</v>
      </c>
      <c r="I6" s="24" cm="1">
        <f t="array" ref="I6">IFERROR(ROWS(_xlfn._xlws.FILTER(
   DRG_Status!$A$2:$A$100000,
   (DRG_Status!$E$2:$E$100000=S_Curve_Data!F6) *
   (DRG_Status!$B$2:$B$100000=S_Curve_Data!$F$1)
)),0)/$G$1</f>
        <v>0</v>
      </c>
      <c r="J6" s="24" cm="1">
        <f t="array" ref="J6">IFERROR(ROWS(_xlfn._xlws.FILTER(
   DRG_Status!$A$2:$A$100000,
   (DRG_Status!$F$2:$F$100000=S_Curve_Data!F6) *
   (DRG_Status!$B$2:$B$100000=S_Curve_Data!$F$1)
)),0)/$G$1</f>
        <v>0</v>
      </c>
      <c r="M6" s="18">
        <f>Mappings!B5</f>
        <v>45684</v>
      </c>
      <c r="N6" s="24" cm="1">
        <f t="array" ref="N6">IFERROR(ROWS(_xlfn._xlws.FILTER(
   DRG_Status!$A$2:$A$100000,
   (DRG_Status!$C$2:$C$100000=S_Curve_Data!M6) *
   (DRG_Status!$B$2:$B$100000=S_Curve_Data!$M$1)
)),0)/$N$1</f>
        <v>0</v>
      </c>
      <c r="O6" s="24" cm="1">
        <f t="array" ref="O6">IFERROR(ROWS(_xlfn._xlws.FILTER(
   DRG_Status!$A$2:$A$100000,
   (DRG_Status!$D$2:$D$100000=S_Curve_Data!M6) *
   (DRG_Status!$B$2:$B$100000=S_Curve_Data!$M$1)
)),0)/$N$1</f>
        <v>0</v>
      </c>
      <c r="P6" s="24" cm="1">
        <f t="array" ref="P6">IFERROR(ROWS(_xlfn._xlws.FILTER(
   DRG_Status!$A$2:$A$100000,
   (DRG_Status!$E$2:$E$100000=S_Curve_Data!M6) *
   (DRG_Status!$B$2:$B$100000=S_Curve_Data!$M$1)
)),0)/$N$1</f>
        <v>0</v>
      </c>
      <c r="Q6" s="24" cm="1">
        <f t="array" ref="Q6">IFERROR(ROWS(_xlfn._xlws.FILTER(
   DRG_Status!$A$2:$A$100000,
   (DRG_Status!$F$2:$F$100000=S_Curve_Data!M6) *
   (DRG_Status!$B$2:$B$100000=S_Curve_Data!$M$1)
)),0)/$N$1</f>
        <v>0</v>
      </c>
      <c r="T6" s="18">
        <f>Mappings!B5</f>
        <v>45684</v>
      </c>
      <c r="U6" s="24" cm="1">
        <f t="array" ref="U6">IFERROR(ROWS(_xlfn._xlws.FILTER(
   DRG_Status!$A$2:$A$100000,
   (DRG_Status!$C$2:$C$100000=S_Curve_Data!T6) *
   (DRG_Status!$B$2:$B$100000=S_Curve_Data!$T$1)
)),0)/$U$1</f>
        <v>0</v>
      </c>
      <c r="V6" s="24" cm="1">
        <f t="array" ref="V6">IFERROR(ROWS(_xlfn._xlws.FILTER(
   DRG_Status!$A$2:$A$100000,
   (DRG_Status!$D$2:$D$100000=S_Curve_Data!T6) *
   (DRG_Status!$B$2:$B$100000=S_Curve_Data!$T$1)
)),0)/$U$1</f>
        <v>0</v>
      </c>
      <c r="W6" s="24" cm="1">
        <f t="array" ref="W6">IFERROR(ROWS(_xlfn._xlws.FILTER(
   DRG_Status!$A$2:$A$100000,
   (DRG_Status!$E$2:$E$100000=S_Curve_Data!T6) *
   (DRG_Status!$B$2:$B$100000=S_Curve_Data!$T$1)
)),0)/$U$1</f>
        <v>0</v>
      </c>
      <c r="X6" s="24" cm="1">
        <f t="array" ref="X6">IFERROR(ROWS(_xlfn._xlws.FILTER(
   DRG_Status!$A$2:$A$100000,
   (DRG_Status!$F$2:$F$100000=S_Curve_Data!T6) *
   (DRG_Status!$B$2:$B$100000=S_Curve_Data!$T$1)
)),0)/$U$1</f>
        <v>0</v>
      </c>
      <c r="AA6" s="19">
        <v>45748</v>
      </c>
      <c r="AB6" s="24" cm="1">
        <f t="array" ref="AB6">IFERROR(ROWS(_xlfn._xlws.FILTER(
   DRG_Status!$A$2:$A$100000,
   (DRG_Status!$G$2:$G$100000=S_Curve_Data!AA6) *
   (DRG_Status!$B$2:$B$100000=S_Curve_Data!$AA$1)
)),0)/$AB$1</f>
        <v>2.7322404371584699E-2</v>
      </c>
      <c r="AC6" s="24" cm="1">
        <f t="array" ref="AC6">IFERROR(ROWS(_xlfn._xlws.FILTER(
   DRG_Status!$A$2:$A$100000,
   (DRG_Status!$H$2:$H$100000=S_Curve_Data!AA6) *
   (DRG_Status!$B$2:$B$100000=S_Curve_Data!$AA$1)
)),0)/$AB$1</f>
        <v>0.10928961748633879</v>
      </c>
      <c r="AD6" s="24" cm="1">
        <f t="array" ref="AD6">IFERROR(ROWS(_xlfn._xlws.FILTER(
   DRG_Status!$A$2:$A$100000,
   (DRG_Status!$I$2:$I$100000=S_Curve_Data!AA6) *
   (DRG_Status!$B$2:$B$100000=S_Curve_Data!$AA$1)
)),0)/$AB$1</f>
        <v>0.13114754098360656</v>
      </c>
      <c r="AE6" s="24" cm="1">
        <f t="array" ref="AE6">IFERROR(ROWS(_xlfn._xlws.FILTER(
   DRG_Status!$A$2:$A$100000,
   (DRG_Status!$J$2:$J$100000=S_Curve_Data!AA6) *
   (DRG_Status!$B$2:$B$100000=S_Curve_Data!$AA$1)
)),0)/$AB$1</f>
        <v>1.6393442622950821E-2</v>
      </c>
      <c r="AH6" s="19">
        <v>45748</v>
      </c>
      <c r="AI6" s="24" cm="1">
        <f t="array" ref="AI6">IFERROR(ROWS(_xlfn._xlws.FILTER(
   DRG_Status!$A$2:$A$100000,
   (DRG_Status!$G$2:$G$100000=S_Curve_Data!AH6) *
   (DRG_Status!$B$2:$B$100000=S_Curve_Data!$AH$1)
)),0)/$AI$1</f>
        <v>0.11382113821138211</v>
      </c>
      <c r="AJ6" s="24" cm="1">
        <f t="array" ref="AJ6">IFERROR(ROWS(_xlfn._xlws.FILTER(
   DRG_Status!$A$2:$A$100000,
   (DRG_Status!$H$2:$H$100000=S_Curve_Data!AH6) *
   (DRG_Status!$B$2:$B$100000=S_Curve_Data!$AH$1)
)),0)/$AI$1</f>
        <v>0.11382113821138211</v>
      </c>
      <c r="AK6" s="24" cm="1">
        <f t="array" ref="AK6">IFERROR(ROWS(_xlfn._xlws.FILTER(
   DRG_Status!$A$2:$A$100000,
   (DRG_Status!$I$2:$I$100000=S_Curve_Data!AH6) *
   (DRG_Status!$B$2:$B$100000=S_Curve_Data!$AH$1)
)),0)/$AI$1</f>
        <v>0</v>
      </c>
      <c r="AL6" s="24" cm="1">
        <f t="array" ref="AL6">IFERROR(ROWS(_xlfn._xlws.FILTER(
   DRG_Status!$A$2:$A$100000,
   (DRG_Status!$J$2:$J$100000=S_Curve_Data!AH6) *
   (DRG_Status!$B$2:$B$100000=S_Curve_Data!$AH$1)
)),0)/$AI$1</f>
        <v>0</v>
      </c>
      <c r="AO6" s="19">
        <v>45748</v>
      </c>
      <c r="AP6" s="24" cm="1">
        <f t="array" ref="AP6">IFERROR(ROWS(_xlfn._xlws.FILTER(
   DRG_Status!$A$2:$A$100000,
   (DRG_Status!$G$2:$G$100000=S_Curve_Data!AO6) *
   (DRG_Status!$B$2:$B$100000=S_Curve_Data!$AO$1)
)),0)/$AP$1</f>
        <v>1.2711864406779662E-2</v>
      </c>
      <c r="AQ6" s="24" cm="1">
        <f t="array" ref="AQ6">IFERROR(ROWS(_xlfn._xlws.FILTER(
   DRG_Status!$A$2:$A$100000,
   (DRG_Status!$H$2:$H$100000=S_Curve_Data!AO6) *
   (DRG_Status!$B$2:$B$100000=S_Curve_Data!$AO$1)
)),0)/$AP$1</f>
        <v>0.14830508474576271</v>
      </c>
      <c r="AR6" s="24" cm="1">
        <f t="array" ref="AR6">IFERROR(ROWS(_xlfn._xlws.FILTER(
   DRG_Status!$A$2:$A$100000,
   (DRG_Status!$I$2:$I$100000=S_Curve_Data!AO6) *
   (DRG_Status!$B$2:$B$100000=S_Curve_Data!$AO$1)
)),0)/$AP$1</f>
        <v>0.19915254237288135</v>
      </c>
      <c r="AS6" s="24" cm="1">
        <f t="array" ref="AS6">IFERROR(ROWS(_xlfn._xlws.FILTER(
   DRG_Status!$A$2:$A$100000,
   (DRG_Status!$J$2:$J$100000=S_Curve_Data!AO6) *
   (DRG_Status!$B$2:$B$100000=S_Curve_Data!$AO$1)
)),0)/$AP$1</f>
        <v>4.2372881355932202E-2</v>
      </c>
    </row>
    <row r="7" spans="1:45">
      <c r="F7" s="18">
        <f>Mappings!B6</f>
        <v>45691</v>
      </c>
      <c r="G7" s="24" cm="1">
        <f t="array" ref="G7">IFERROR(ROWS(_xlfn._xlws.FILTER(
   DRG_Status!$A$2:$A$100000,
   (DRG_Status!$C$2:$C$100000=S_Curve_Data!F7) *
   (DRG_Status!$B$2:$B$100000=S_Curve_Data!$F$1)
)),0)/$G$1</f>
        <v>0</v>
      </c>
      <c r="H7" s="24" cm="1">
        <f t="array" ref="H7">IFERROR(ROWS(_xlfn._xlws.FILTER(
   DRG_Status!$A$2:$A$100000,
   (DRG_Status!$D$2:$D$100000=S_Curve_Data!F7) *
   (DRG_Status!$B$2:$B$100000=S_Curve_Data!$F$1)
)),0)/$G$1</f>
        <v>0</v>
      </c>
      <c r="I7" s="24" cm="1">
        <f t="array" ref="I7">IFERROR(ROWS(_xlfn._xlws.FILTER(
   DRG_Status!$A$2:$A$100000,
   (DRG_Status!$E$2:$E$100000=S_Curve_Data!F7) *
   (DRG_Status!$B$2:$B$100000=S_Curve_Data!$F$1)
)),0)/$G$1</f>
        <v>0</v>
      </c>
      <c r="J7" s="24" cm="1">
        <f t="array" ref="J7">IFERROR(ROWS(_xlfn._xlws.FILTER(
   DRG_Status!$A$2:$A$100000,
   (DRG_Status!$F$2:$F$100000=S_Curve_Data!F7) *
   (DRG_Status!$B$2:$B$100000=S_Curve_Data!$F$1)
)),0)/$G$1</f>
        <v>0</v>
      </c>
      <c r="M7" s="18">
        <f>Mappings!B6</f>
        <v>45691</v>
      </c>
      <c r="N7" s="24" cm="1">
        <f t="array" ref="N7">IFERROR(ROWS(_xlfn._xlws.FILTER(
   DRG_Status!$A$2:$A$100000,
   (DRG_Status!$C$2:$C$100000=S_Curve_Data!M7) *
   (DRG_Status!$B$2:$B$100000=S_Curve_Data!$M$1)
)),0)/$N$1</f>
        <v>0</v>
      </c>
      <c r="O7" s="24" cm="1">
        <f t="array" ref="O7">IFERROR(ROWS(_xlfn._xlws.FILTER(
   DRG_Status!$A$2:$A$100000,
   (DRG_Status!$D$2:$D$100000=S_Curve_Data!M7) *
   (DRG_Status!$B$2:$B$100000=S_Curve_Data!$M$1)
)),0)/$N$1</f>
        <v>0</v>
      </c>
      <c r="P7" s="24" cm="1">
        <f t="array" ref="P7">IFERROR(ROWS(_xlfn._xlws.FILTER(
   DRG_Status!$A$2:$A$100000,
   (DRG_Status!$E$2:$E$100000=S_Curve_Data!M7) *
   (DRG_Status!$B$2:$B$100000=S_Curve_Data!$M$1)
)),0)/$N$1</f>
        <v>0</v>
      </c>
      <c r="Q7" s="24" cm="1">
        <f t="array" ref="Q7">IFERROR(ROWS(_xlfn._xlws.FILTER(
   DRG_Status!$A$2:$A$100000,
   (DRG_Status!$F$2:$F$100000=S_Curve_Data!M7) *
   (DRG_Status!$B$2:$B$100000=S_Curve_Data!$M$1)
)),0)/$N$1</f>
        <v>0</v>
      </c>
      <c r="T7" s="18">
        <f>Mappings!B6</f>
        <v>45691</v>
      </c>
      <c r="U7" s="24" cm="1">
        <f t="array" ref="U7">IFERROR(ROWS(_xlfn._xlws.FILTER(
   DRG_Status!$A$2:$A$100000,
   (DRG_Status!$C$2:$C$100000=S_Curve_Data!T7) *
   (DRG_Status!$B$2:$B$100000=S_Curve_Data!$T$1)
)),0)/$U$1</f>
        <v>0</v>
      </c>
      <c r="V7" s="24" cm="1">
        <f t="array" ref="V7">IFERROR(ROWS(_xlfn._xlws.FILTER(
   DRG_Status!$A$2:$A$100000,
   (DRG_Status!$D$2:$D$100000=S_Curve_Data!T7) *
   (DRG_Status!$B$2:$B$100000=S_Curve_Data!$T$1)
)),0)/$U$1</f>
        <v>0</v>
      </c>
      <c r="W7" s="24" cm="1">
        <f t="array" ref="W7">IFERROR(ROWS(_xlfn._xlws.FILTER(
   DRG_Status!$A$2:$A$100000,
   (DRG_Status!$E$2:$E$100000=S_Curve_Data!T7) *
   (DRG_Status!$B$2:$B$100000=S_Curve_Data!$T$1)
)),0)/$U$1</f>
        <v>0</v>
      </c>
      <c r="X7" s="24" cm="1">
        <f t="array" ref="X7">IFERROR(ROWS(_xlfn._xlws.FILTER(
   DRG_Status!$A$2:$A$100000,
   (DRG_Status!$F$2:$F$100000=S_Curve_Data!T7) *
   (DRG_Status!$B$2:$B$100000=S_Curve_Data!$T$1)
)),0)/$U$1</f>
        <v>0</v>
      </c>
      <c r="AA7" s="19">
        <v>45778</v>
      </c>
      <c r="AB7" s="24" cm="1">
        <f t="array" ref="AB7">IFERROR(ROWS(_xlfn._xlws.FILTER(
   DRG_Status!$A$2:$A$100000,
   (DRG_Status!$G$2:$G$100000=S_Curve_Data!AA7) *
   (DRG_Status!$B$2:$B$100000=S_Curve_Data!$AA$1)
)),0)/$AB$1</f>
        <v>8.7431693989071038E-2</v>
      </c>
      <c r="AC7" s="24" cm="1">
        <f t="array" ref="AC7">IFERROR(ROWS(_xlfn._xlws.FILTER(
   DRG_Status!$A$2:$A$100000,
   (DRG_Status!$H$2:$H$100000=S_Curve_Data!AA7) *
   (DRG_Status!$B$2:$B$100000=S_Curve_Data!$AA$1)
)),0)/$AB$1</f>
        <v>1.6393442622950821E-2</v>
      </c>
      <c r="AD7" s="24" cm="1">
        <f t="array" ref="AD7">IFERROR(ROWS(_xlfn._xlws.FILTER(
   DRG_Status!$A$2:$A$100000,
   (DRG_Status!$I$2:$I$100000=S_Curve_Data!AA7) *
   (DRG_Status!$B$2:$B$100000=S_Curve_Data!$AA$1)
)),0)/$AB$1</f>
        <v>2.7322404371584699E-2</v>
      </c>
      <c r="AE7" s="24" cm="1">
        <f t="array" ref="AE7">IFERROR(ROWS(_xlfn._xlws.FILTER(
   DRG_Status!$A$2:$A$100000,
   (DRG_Status!$J$2:$J$100000=S_Curve_Data!AA7) *
   (DRG_Status!$B$2:$B$100000=S_Curve_Data!$AA$1)
)),0)/$AB$1</f>
        <v>5.4644808743169397E-2</v>
      </c>
      <c r="AH7" s="19">
        <v>45778</v>
      </c>
      <c r="AI7" s="24" cm="1">
        <f t="array" ref="AI7">IFERROR(ROWS(_xlfn._xlws.FILTER(
   DRG_Status!$A$2:$A$100000,
   (DRG_Status!$G$2:$G$100000=S_Curve_Data!AH7) *
   (DRG_Status!$B$2:$B$100000=S_Curve_Data!$AH$1)
)),0)/$AI$1</f>
        <v>0.16260162601626016</v>
      </c>
      <c r="AJ7" s="24" cm="1">
        <f t="array" ref="AJ7">IFERROR(ROWS(_xlfn._xlws.FILTER(
   DRG_Status!$A$2:$A$100000,
   (DRG_Status!$H$2:$H$100000=S_Curve_Data!AH7) *
   (DRG_Status!$B$2:$B$100000=S_Curve_Data!$AH$1)
)),0)/$AI$1</f>
        <v>6.5040650406504072E-2</v>
      </c>
      <c r="AK7" s="24" cm="1">
        <f t="array" ref="AK7">IFERROR(ROWS(_xlfn._xlws.FILTER(
   DRG_Status!$A$2:$A$100000,
   (DRG_Status!$I$2:$I$100000=S_Curve_Data!AH7) *
   (DRG_Status!$B$2:$B$100000=S_Curve_Data!$AH$1)
)),0)/$AI$1</f>
        <v>0.11382113821138211</v>
      </c>
      <c r="AL7" s="24" cm="1">
        <f t="array" ref="AL7">IFERROR(ROWS(_xlfn._xlws.FILTER(
   DRG_Status!$A$2:$A$100000,
   (DRG_Status!$J$2:$J$100000=S_Curve_Data!AH7) *
   (DRG_Status!$B$2:$B$100000=S_Curve_Data!$AH$1)
)),0)/$AI$1</f>
        <v>1.6260162601626018E-2</v>
      </c>
      <c r="AO7" s="19">
        <v>45778</v>
      </c>
      <c r="AP7" s="24" cm="1">
        <f t="array" ref="AP7">IFERROR(ROWS(_xlfn._xlws.FILTER(
   DRG_Status!$A$2:$A$100000,
   (DRG_Status!$G$2:$G$100000=S_Curve_Data!AO7) *
   (DRG_Status!$B$2:$B$100000=S_Curve_Data!$AO$1)
)),0)/$AP$1</f>
        <v>0.11864406779661017</v>
      </c>
      <c r="AQ7" s="24" cm="1">
        <f t="array" ref="AQ7">IFERROR(ROWS(_xlfn._xlws.FILTER(
   DRG_Status!$A$2:$A$100000,
   (DRG_Status!$H$2:$H$100000=S_Curve_Data!AO7) *
   (DRG_Status!$B$2:$B$100000=S_Curve_Data!$AO$1)
)),0)/$AP$1</f>
        <v>5.9322033898305086E-2</v>
      </c>
      <c r="AR7" s="24" cm="1">
        <f t="array" ref="AR7">IFERROR(ROWS(_xlfn._xlws.FILTER(
   DRG_Status!$A$2:$A$100000,
   (DRG_Status!$I$2:$I$100000=S_Curve_Data!AO7) *
   (DRG_Status!$B$2:$B$100000=S_Curve_Data!$AO$1)
)),0)/$AP$1</f>
        <v>6.7796610169491525E-2</v>
      </c>
      <c r="AS7" s="24" cm="1">
        <f t="array" ref="AS7">IFERROR(ROWS(_xlfn._xlws.FILTER(
   DRG_Status!$A$2:$A$100000,
   (DRG_Status!$J$2:$J$100000=S_Curve_Data!AO7) *
   (DRG_Status!$B$2:$B$100000=S_Curve_Data!$AO$1)
)),0)/$AP$1</f>
        <v>8.050847457627118E-2</v>
      </c>
    </row>
    <row r="8" spans="1:45">
      <c r="F8" s="18">
        <f>Mappings!B7</f>
        <v>45698</v>
      </c>
      <c r="G8" s="24" cm="1">
        <f t="array" ref="G8">IFERROR(ROWS(_xlfn._xlws.FILTER(
   DRG_Status!$A$2:$A$100000,
   (DRG_Status!$C$2:$C$100000=S_Curve_Data!F8) *
   (DRG_Status!$B$2:$B$100000=S_Curve_Data!$F$1)
)),0)/$G$1</f>
        <v>0</v>
      </c>
      <c r="H8" s="24" cm="1">
        <f t="array" ref="H8">IFERROR(ROWS(_xlfn._xlws.FILTER(
   DRG_Status!$A$2:$A$100000,
   (DRG_Status!$D$2:$D$100000=S_Curve_Data!F8) *
   (DRG_Status!$B$2:$B$100000=S_Curve_Data!$F$1)
)),0)/$G$1</f>
        <v>0</v>
      </c>
      <c r="I8" s="24" cm="1">
        <f t="array" ref="I8">IFERROR(ROWS(_xlfn._xlws.FILTER(
   DRG_Status!$A$2:$A$100000,
   (DRG_Status!$E$2:$E$100000=S_Curve_Data!F8) *
   (DRG_Status!$B$2:$B$100000=S_Curve_Data!$F$1)
)),0)/$G$1</f>
        <v>0</v>
      </c>
      <c r="J8" s="24" cm="1">
        <f t="array" ref="J8">IFERROR(ROWS(_xlfn._xlws.FILTER(
   DRG_Status!$A$2:$A$100000,
   (DRG_Status!$F$2:$F$100000=S_Curve_Data!F8) *
   (DRG_Status!$B$2:$B$100000=S_Curve_Data!$F$1)
)),0)/$G$1</f>
        <v>0</v>
      </c>
      <c r="M8" s="18">
        <f>Mappings!B7</f>
        <v>45698</v>
      </c>
      <c r="N8" s="24" cm="1">
        <f t="array" ref="N8">IFERROR(ROWS(_xlfn._xlws.FILTER(
   DRG_Status!$A$2:$A$100000,
   (DRG_Status!$C$2:$C$100000=S_Curve_Data!M8) *
   (DRG_Status!$B$2:$B$100000=S_Curve_Data!$M$1)
)),0)/$N$1</f>
        <v>0</v>
      </c>
      <c r="O8" s="24" cm="1">
        <f t="array" ref="O8">IFERROR(ROWS(_xlfn._xlws.FILTER(
   DRG_Status!$A$2:$A$100000,
   (DRG_Status!$D$2:$D$100000=S_Curve_Data!M8) *
   (DRG_Status!$B$2:$B$100000=S_Curve_Data!$M$1)
)),0)/$N$1</f>
        <v>0</v>
      </c>
      <c r="P8" s="24" cm="1">
        <f t="array" ref="P8">IFERROR(ROWS(_xlfn._xlws.FILTER(
   DRG_Status!$A$2:$A$100000,
   (DRG_Status!$E$2:$E$100000=S_Curve_Data!M8) *
   (DRG_Status!$B$2:$B$100000=S_Curve_Data!$M$1)
)),0)/$N$1</f>
        <v>0</v>
      </c>
      <c r="Q8" s="24" cm="1">
        <f t="array" ref="Q8">IFERROR(ROWS(_xlfn._xlws.FILTER(
   DRG_Status!$A$2:$A$100000,
   (DRG_Status!$F$2:$F$100000=S_Curve_Data!M8) *
   (DRG_Status!$B$2:$B$100000=S_Curve_Data!$M$1)
)),0)/$N$1</f>
        <v>0</v>
      </c>
      <c r="T8" s="18">
        <f>Mappings!B7</f>
        <v>45698</v>
      </c>
      <c r="U8" s="24" cm="1">
        <f t="array" ref="U8">IFERROR(ROWS(_xlfn._xlws.FILTER(
   DRG_Status!$A$2:$A$100000,
   (DRG_Status!$C$2:$C$100000=S_Curve_Data!T8) *
   (DRG_Status!$B$2:$B$100000=S_Curve_Data!$T$1)
)),0)/$U$1</f>
        <v>0</v>
      </c>
      <c r="V8" s="24" cm="1">
        <f t="array" ref="V8">IFERROR(ROWS(_xlfn._xlws.FILTER(
   DRG_Status!$A$2:$A$100000,
   (DRG_Status!$D$2:$D$100000=S_Curve_Data!T8) *
   (DRG_Status!$B$2:$B$100000=S_Curve_Data!$T$1)
)),0)/$U$1</f>
        <v>0</v>
      </c>
      <c r="W8" s="24" cm="1">
        <f t="array" ref="W8">IFERROR(ROWS(_xlfn._xlws.FILTER(
   DRG_Status!$A$2:$A$100000,
   (DRG_Status!$E$2:$E$100000=S_Curve_Data!T8) *
   (DRG_Status!$B$2:$B$100000=S_Curve_Data!$T$1)
)),0)/$U$1</f>
        <v>0</v>
      </c>
      <c r="X8" s="24" cm="1">
        <f t="array" ref="X8">IFERROR(ROWS(_xlfn._xlws.FILTER(
   DRG_Status!$A$2:$A$100000,
   (DRG_Status!$F$2:$F$100000=S_Curve_Data!T8) *
   (DRG_Status!$B$2:$B$100000=S_Curve_Data!$T$1)
)),0)/$U$1</f>
        <v>0</v>
      </c>
      <c r="AA8" s="19">
        <v>45809</v>
      </c>
      <c r="AB8" s="24" cm="1">
        <f t="array" ref="AB8">IFERROR(ROWS(_xlfn._xlws.FILTER(
   DRG_Status!$A$2:$A$100000,
   (DRG_Status!$G$2:$G$100000=S_Curve_Data!AA8) *
   (DRG_Status!$B$2:$B$100000=S_Curve_Data!$AA$1)
)),0)/$AB$1</f>
        <v>0.14207650273224043</v>
      </c>
      <c r="AC8" s="24" cm="1">
        <f t="array" ref="AC8">IFERROR(ROWS(_xlfn._xlws.FILTER(
   DRG_Status!$A$2:$A$100000,
   (DRG_Status!$H$2:$H$100000=S_Curve_Data!AA8) *
   (DRG_Status!$B$2:$B$100000=S_Curve_Data!$AA$1)
)),0)/$AB$1</f>
        <v>7.1038251366120214E-2</v>
      </c>
      <c r="AD8" s="24" cm="1">
        <f t="array" ref="AD8">IFERROR(ROWS(_xlfn._xlws.FILTER(
   DRG_Status!$A$2:$A$100000,
   (DRG_Status!$I$2:$I$100000=S_Curve_Data!AA8) *
   (DRG_Status!$B$2:$B$100000=S_Curve_Data!$AA$1)
)),0)/$AB$1</f>
        <v>8.7431693989071038E-2</v>
      </c>
      <c r="AE8" s="24" cm="1">
        <f t="array" ref="AE8">IFERROR(ROWS(_xlfn._xlws.FILTER(
   DRG_Status!$A$2:$A$100000,
   (DRG_Status!$J$2:$J$100000=S_Curve_Data!AA8) *
   (DRG_Status!$B$2:$B$100000=S_Curve_Data!$AA$1)
)),0)/$AB$1</f>
        <v>7.650273224043716E-2</v>
      </c>
      <c r="AH8" s="19">
        <v>45809</v>
      </c>
      <c r="AI8" s="24" cm="1">
        <f t="array" ref="AI8">IFERROR(ROWS(_xlfn._xlws.FILTER(
   DRG_Status!$A$2:$A$100000,
   (DRG_Status!$G$2:$G$100000=S_Curve_Data!AH8) *
   (DRG_Status!$B$2:$B$100000=S_Curve_Data!$AH$1)
)),0)/$AI$1</f>
        <v>2.4390243902439025E-2</v>
      </c>
      <c r="AJ8" s="24" cm="1">
        <f t="array" ref="AJ8">IFERROR(ROWS(_xlfn._xlws.FILTER(
   DRG_Status!$A$2:$A$100000,
   (DRG_Status!$H$2:$H$100000=S_Curve_Data!AH8) *
   (DRG_Status!$B$2:$B$100000=S_Curve_Data!$AH$1)
)),0)/$AI$1</f>
        <v>9.7560975609756101E-2</v>
      </c>
      <c r="AK8" s="24" cm="1">
        <f t="array" ref="AK8">IFERROR(ROWS(_xlfn._xlws.FILTER(
   DRG_Status!$A$2:$A$100000,
   (DRG_Status!$I$2:$I$100000=S_Curve_Data!AH8) *
   (DRG_Status!$B$2:$B$100000=S_Curve_Data!$AH$1)
)),0)/$AI$1</f>
        <v>0.16260162601626016</v>
      </c>
      <c r="AL8" s="24" cm="1">
        <f t="array" ref="AL8">IFERROR(ROWS(_xlfn._xlws.FILTER(
   DRG_Status!$A$2:$A$100000,
   (DRG_Status!$J$2:$J$100000=S_Curve_Data!AH8) *
   (DRG_Status!$B$2:$B$100000=S_Curve_Data!$AH$1)
)),0)/$AI$1</f>
        <v>0</v>
      </c>
      <c r="AO8" s="19">
        <v>45809</v>
      </c>
      <c r="AP8" s="24" cm="1">
        <f t="array" ref="AP8">IFERROR(ROWS(_xlfn._xlws.FILTER(
   DRG_Status!$A$2:$A$100000,
   (DRG_Status!$G$2:$G$100000=S_Curve_Data!AO8) *
   (DRG_Status!$B$2:$B$100000=S_Curve_Data!$AO$1)
)),0)/$AP$1</f>
        <v>0.19915254237288135</v>
      </c>
      <c r="AQ8" s="24" cm="1">
        <f t="array" ref="AQ8">IFERROR(ROWS(_xlfn._xlws.FILTER(
   DRG_Status!$A$2:$A$100000,
   (DRG_Status!$H$2:$H$100000=S_Curve_Data!AO8) *
   (DRG_Status!$B$2:$B$100000=S_Curve_Data!$AO$1)
)),0)/$AP$1</f>
        <v>5.5084745762711863E-2</v>
      </c>
      <c r="AR8" s="24" cm="1">
        <f t="array" ref="AR8">IFERROR(ROWS(_xlfn._xlws.FILTER(
   DRG_Status!$A$2:$A$100000,
   (DRG_Status!$I$2:$I$100000=S_Curve_Data!AO8) *
   (DRG_Status!$B$2:$B$100000=S_Curve_Data!$AO$1)
)),0)/$AP$1</f>
        <v>0.15254237288135594</v>
      </c>
      <c r="AS8" s="24" cm="1">
        <f t="array" ref="AS8">IFERROR(ROWS(_xlfn._xlws.FILTER(
   DRG_Status!$A$2:$A$100000,
   (DRG_Status!$J$2:$J$100000=S_Curve_Data!AO8) *
   (DRG_Status!$B$2:$B$100000=S_Curve_Data!$AO$1)
)),0)/$AP$1</f>
        <v>0.11864406779661017</v>
      </c>
    </row>
    <row r="9" spans="1:45">
      <c r="F9" s="18">
        <f>Mappings!B8</f>
        <v>45705</v>
      </c>
      <c r="G9" s="24" cm="1">
        <f t="array" ref="G9">IFERROR(ROWS(_xlfn._xlws.FILTER(
   DRG_Status!$A$2:$A$100000,
   (DRG_Status!$C$2:$C$100000=S_Curve_Data!F9) *
   (DRG_Status!$B$2:$B$100000=S_Curve_Data!$F$1)
)),0)/$G$1</f>
        <v>0</v>
      </c>
      <c r="H9" s="24" cm="1">
        <f t="array" ref="H9">IFERROR(ROWS(_xlfn._xlws.FILTER(
   DRG_Status!$A$2:$A$100000,
   (DRG_Status!$D$2:$D$100000=S_Curve_Data!F9) *
   (DRG_Status!$B$2:$B$100000=S_Curve_Data!$F$1)
)),0)/$G$1</f>
        <v>0</v>
      </c>
      <c r="I9" s="24" cm="1">
        <f t="array" ref="I9">IFERROR(ROWS(_xlfn._xlws.FILTER(
   DRG_Status!$A$2:$A$100000,
   (DRG_Status!$E$2:$E$100000=S_Curve_Data!F9) *
   (DRG_Status!$B$2:$B$100000=S_Curve_Data!$F$1)
)),0)/$G$1</f>
        <v>0</v>
      </c>
      <c r="J9" s="24" cm="1">
        <f t="array" ref="J9">IFERROR(ROWS(_xlfn._xlws.FILTER(
   DRG_Status!$A$2:$A$100000,
   (DRG_Status!$F$2:$F$100000=S_Curve_Data!F9) *
   (DRG_Status!$B$2:$B$100000=S_Curve_Data!$F$1)
)),0)/$G$1</f>
        <v>0</v>
      </c>
      <c r="M9" s="18">
        <f>Mappings!B8</f>
        <v>45705</v>
      </c>
      <c r="N9" s="24" cm="1">
        <f t="array" ref="N9">IFERROR(ROWS(_xlfn._xlws.FILTER(
   DRG_Status!$A$2:$A$100000,
   (DRG_Status!$C$2:$C$100000=S_Curve_Data!M9) *
   (DRG_Status!$B$2:$B$100000=S_Curve_Data!$M$1)
)),0)/$N$1</f>
        <v>0</v>
      </c>
      <c r="O9" s="24" cm="1">
        <f t="array" ref="O9">IFERROR(ROWS(_xlfn._xlws.FILTER(
   DRG_Status!$A$2:$A$100000,
   (DRG_Status!$D$2:$D$100000=S_Curve_Data!M9) *
   (DRG_Status!$B$2:$B$100000=S_Curve_Data!$M$1)
)),0)/$N$1</f>
        <v>0</v>
      </c>
      <c r="P9" s="24" cm="1">
        <f t="array" ref="P9">IFERROR(ROWS(_xlfn._xlws.FILTER(
   DRG_Status!$A$2:$A$100000,
   (DRG_Status!$E$2:$E$100000=S_Curve_Data!M9) *
   (DRG_Status!$B$2:$B$100000=S_Curve_Data!$M$1)
)),0)/$N$1</f>
        <v>0</v>
      </c>
      <c r="Q9" s="24" cm="1">
        <f t="array" ref="Q9">IFERROR(ROWS(_xlfn._xlws.FILTER(
   DRG_Status!$A$2:$A$100000,
   (DRG_Status!$F$2:$F$100000=S_Curve_Data!M9) *
   (DRG_Status!$B$2:$B$100000=S_Curve_Data!$M$1)
)),0)/$N$1</f>
        <v>0</v>
      </c>
      <c r="T9" s="18">
        <f>Mappings!B8</f>
        <v>45705</v>
      </c>
      <c r="U9" s="24" cm="1">
        <f t="array" ref="U9">IFERROR(ROWS(_xlfn._xlws.FILTER(
   DRG_Status!$A$2:$A$100000,
   (DRG_Status!$C$2:$C$100000=S_Curve_Data!T9) *
   (DRG_Status!$B$2:$B$100000=S_Curve_Data!$T$1)
)),0)/$U$1</f>
        <v>0</v>
      </c>
      <c r="V9" s="24" cm="1">
        <f t="array" ref="V9">IFERROR(ROWS(_xlfn._xlws.FILTER(
   DRG_Status!$A$2:$A$100000,
   (DRG_Status!$D$2:$D$100000=S_Curve_Data!T9) *
   (DRG_Status!$B$2:$B$100000=S_Curve_Data!$T$1)
)),0)/$U$1</f>
        <v>0</v>
      </c>
      <c r="W9" s="24" cm="1">
        <f t="array" ref="W9">IFERROR(ROWS(_xlfn._xlws.FILTER(
   DRG_Status!$A$2:$A$100000,
   (DRG_Status!$E$2:$E$100000=S_Curve_Data!T9) *
   (DRG_Status!$B$2:$B$100000=S_Curve_Data!$T$1)
)),0)/$U$1</f>
        <v>0</v>
      </c>
      <c r="X9" s="24" cm="1">
        <f t="array" ref="X9">IFERROR(ROWS(_xlfn._xlws.FILTER(
   DRG_Status!$A$2:$A$100000,
   (DRG_Status!$F$2:$F$100000=S_Curve_Data!T9) *
   (DRG_Status!$B$2:$B$100000=S_Curve_Data!$T$1)
)),0)/$U$1</f>
        <v>0</v>
      </c>
      <c r="AA9" s="19">
        <v>45839</v>
      </c>
      <c r="AB9" s="24" cm="1">
        <f t="array" ref="AB9">IFERROR(ROWS(_xlfn._xlws.FILTER(
   DRG_Status!$A$2:$A$100000,
   (DRG_Status!$G$2:$G$100000=S_Curve_Data!AA9) *
   (DRG_Status!$B$2:$B$100000=S_Curve_Data!$AA$1)
)),0)/$AB$1</f>
        <v>0.11475409836065574</v>
      </c>
      <c r="AC9" s="24" cm="1">
        <f t="array" ref="AC9">IFERROR(ROWS(_xlfn._xlws.FILTER(
   DRG_Status!$A$2:$A$100000,
   (DRG_Status!$H$2:$H$100000=S_Curve_Data!AA9) *
   (DRG_Status!$B$2:$B$100000=S_Curve_Data!$AA$1)
)),0)/$AB$1</f>
        <v>0.10928961748633879</v>
      </c>
      <c r="AD9" s="24" cm="1">
        <f t="array" ref="AD9">IFERROR(ROWS(_xlfn._xlws.FILTER(
   DRG_Status!$A$2:$A$100000,
   (DRG_Status!$I$2:$I$100000=S_Curve_Data!AA9) *
   (DRG_Status!$B$2:$B$100000=S_Curve_Data!$AA$1)
)),0)/$AB$1</f>
        <v>0.14754098360655737</v>
      </c>
      <c r="AE9" s="24" cm="1">
        <f t="array" ref="AE9">IFERROR(ROWS(_xlfn._xlws.FILTER(
   DRG_Status!$A$2:$A$100000,
   (DRG_Status!$J$2:$J$100000=S_Curve_Data!AA9) *
   (DRG_Status!$B$2:$B$100000=S_Curve_Data!$AA$1)
)),0)/$AB$1</f>
        <v>4.3715846994535519E-2</v>
      </c>
      <c r="AH9" s="19">
        <v>45839</v>
      </c>
      <c r="AI9" s="24" cm="1">
        <f t="array" ref="AI9">IFERROR(ROWS(_xlfn._xlws.FILTER(
   DRG_Status!$A$2:$A$100000,
   (DRG_Status!$G$2:$G$100000=S_Curve_Data!AH9) *
   (DRG_Status!$B$2:$B$100000=S_Curve_Data!$AH$1)
)),0)/$AI$1</f>
        <v>0</v>
      </c>
      <c r="AJ9" s="24" cm="1">
        <f t="array" ref="AJ9">IFERROR(ROWS(_xlfn._xlws.FILTER(
   DRG_Status!$A$2:$A$100000,
   (DRG_Status!$H$2:$H$100000=S_Curve_Data!AH9) *
   (DRG_Status!$B$2:$B$100000=S_Curve_Data!$AH$1)
)),0)/$AI$1</f>
        <v>3.2520325203252036E-2</v>
      </c>
      <c r="AK9" s="24" cm="1">
        <f t="array" ref="AK9">IFERROR(ROWS(_xlfn._xlws.FILTER(
   DRG_Status!$A$2:$A$100000,
   (DRG_Status!$I$2:$I$100000=S_Curve_Data!AH9) *
   (DRG_Status!$B$2:$B$100000=S_Curve_Data!$AH$1)
)),0)/$AI$1</f>
        <v>2.4390243902439025E-2</v>
      </c>
      <c r="AL9" s="24" cm="1">
        <f t="array" ref="AL9">IFERROR(ROWS(_xlfn._xlws.FILTER(
   DRG_Status!$A$2:$A$100000,
   (DRG_Status!$J$2:$J$100000=S_Curve_Data!AH9) *
   (DRG_Status!$B$2:$B$100000=S_Curve_Data!$AH$1)
)),0)/$AI$1</f>
        <v>6.5040650406504072E-2</v>
      </c>
      <c r="AO9" s="19">
        <v>45839</v>
      </c>
      <c r="AP9" s="24" cm="1">
        <f t="array" ref="AP9">IFERROR(ROWS(_xlfn._xlws.FILTER(
   DRG_Status!$A$2:$A$100000,
   (DRG_Status!$G$2:$G$100000=S_Curve_Data!AO9) *
   (DRG_Status!$B$2:$B$100000=S_Curve_Data!$AO$1)
)),0)/$AP$1</f>
        <v>0.11016949152542373</v>
      </c>
      <c r="AQ9" s="24" cm="1">
        <f t="array" ref="AQ9">IFERROR(ROWS(_xlfn._xlws.FILTER(
   DRG_Status!$A$2:$A$100000,
   (DRG_Status!$H$2:$H$100000=S_Curve_Data!AO9) *
   (DRG_Status!$B$2:$B$100000=S_Curve_Data!$AO$1)
)),0)/$AP$1</f>
        <v>0.1271186440677966</v>
      </c>
      <c r="AR9" s="24" cm="1">
        <f t="array" ref="AR9">IFERROR(ROWS(_xlfn._xlws.FILTER(
   DRG_Status!$A$2:$A$100000,
   (DRG_Status!$I$2:$I$100000=S_Curve_Data!AO9) *
   (DRG_Status!$B$2:$B$100000=S_Curve_Data!$AO$1)
)),0)/$AP$1</f>
        <v>0.17372881355932204</v>
      </c>
      <c r="AS9" s="24" cm="1">
        <f t="array" ref="AS9">IFERROR(ROWS(_xlfn._xlws.FILTER(
   DRG_Status!$A$2:$A$100000,
   (DRG_Status!$J$2:$J$100000=S_Curve_Data!AO9) *
   (DRG_Status!$B$2:$B$100000=S_Curve_Data!$AO$1)
)),0)/$AP$1</f>
        <v>5.9322033898305086E-2</v>
      </c>
    </row>
    <row r="10" spans="1:45">
      <c r="F10" s="18">
        <f>Mappings!B9</f>
        <v>45712</v>
      </c>
      <c r="G10" s="24" cm="1">
        <f t="array" ref="G10">IFERROR(ROWS(_xlfn._xlws.FILTER(
   DRG_Status!$A$2:$A$100000,
   (DRG_Status!$C$2:$C$100000=S_Curve_Data!F10) *
   (DRG_Status!$B$2:$B$100000=S_Curve_Data!$F$1)
)),0)/$G$1</f>
        <v>0</v>
      </c>
      <c r="H10" s="24" cm="1">
        <f t="array" ref="H10">IFERROR(ROWS(_xlfn._xlws.FILTER(
   DRG_Status!$A$2:$A$100000,
   (DRG_Status!$D$2:$D$100000=S_Curve_Data!F10) *
   (DRG_Status!$B$2:$B$100000=S_Curve_Data!$F$1)
)),0)/$G$1</f>
        <v>0</v>
      </c>
      <c r="I10" s="24" cm="1">
        <f t="array" ref="I10">IFERROR(ROWS(_xlfn._xlws.FILTER(
   DRG_Status!$A$2:$A$100000,
   (DRG_Status!$E$2:$E$100000=S_Curve_Data!F10) *
   (DRG_Status!$B$2:$B$100000=S_Curve_Data!$F$1)
)),0)/$G$1</f>
        <v>0</v>
      </c>
      <c r="J10" s="24" cm="1">
        <f t="array" ref="J10">IFERROR(ROWS(_xlfn._xlws.FILTER(
   DRG_Status!$A$2:$A$100000,
   (DRG_Status!$F$2:$F$100000=S_Curve_Data!F10) *
   (DRG_Status!$B$2:$B$100000=S_Curve_Data!$F$1)
)),0)/$G$1</f>
        <v>0</v>
      </c>
      <c r="M10" s="18">
        <f>Mappings!B9</f>
        <v>45712</v>
      </c>
      <c r="N10" s="24" cm="1">
        <f t="array" ref="N10">IFERROR(ROWS(_xlfn._xlws.FILTER(
   DRG_Status!$A$2:$A$100000,
   (DRG_Status!$C$2:$C$100000=S_Curve_Data!M10) *
   (DRG_Status!$B$2:$B$100000=S_Curve_Data!$M$1)
)),0)/$N$1</f>
        <v>0</v>
      </c>
      <c r="O10" s="24" cm="1">
        <f t="array" ref="O10">IFERROR(ROWS(_xlfn._xlws.FILTER(
   DRG_Status!$A$2:$A$100000,
   (DRG_Status!$D$2:$D$100000=S_Curve_Data!M10) *
   (DRG_Status!$B$2:$B$100000=S_Curve_Data!$M$1)
)),0)/$N$1</f>
        <v>0</v>
      </c>
      <c r="P10" s="24" cm="1">
        <f t="array" ref="P10">IFERROR(ROWS(_xlfn._xlws.FILTER(
   DRG_Status!$A$2:$A$100000,
   (DRG_Status!$E$2:$E$100000=S_Curve_Data!M10) *
   (DRG_Status!$B$2:$B$100000=S_Curve_Data!$M$1)
)),0)/$N$1</f>
        <v>0</v>
      </c>
      <c r="Q10" s="24" cm="1">
        <f t="array" ref="Q10">IFERROR(ROWS(_xlfn._xlws.FILTER(
   DRG_Status!$A$2:$A$100000,
   (DRG_Status!$F$2:$F$100000=S_Curve_Data!M10) *
   (DRG_Status!$B$2:$B$100000=S_Curve_Data!$M$1)
)),0)/$N$1</f>
        <v>0</v>
      </c>
      <c r="T10" s="18">
        <f>Mappings!B9</f>
        <v>45712</v>
      </c>
      <c r="U10" s="24" cm="1">
        <f t="array" ref="U10">IFERROR(ROWS(_xlfn._xlws.FILTER(
   DRG_Status!$A$2:$A$100000,
   (DRG_Status!$C$2:$C$100000=S_Curve_Data!T10) *
   (DRG_Status!$B$2:$B$100000=S_Curve_Data!$T$1)
)),0)/$U$1</f>
        <v>0</v>
      </c>
      <c r="V10" s="24" cm="1">
        <f t="array" ref="V10">IFERROR(ROWS(_xlfn._xlws.FILTER(
   DRG_Status!$A$2:$A$100000,
   (DRG_Status!$D$2:$D$100000=S_Curve_Data!T10) *
   (DRG_Status!$B$2:$B$100000=S_Curve_Data!$T$1)
)),0)/$U$1</f>
        <v>0</v>
      </c>
      <c r="W10" s="24" cm="1">
        <f t="array" ref="W10">IFERROR(ROWS(_xlfn._xlws.FILTER(
   DRG_Status!$A$2:$A$100000,
   (DRG_Status!$E$2:$E$100000=S_Curve_Data!T10) *
   (DRG_Status!$B$2:$B$100000=S_Curve_Data!$T$1)
)),0)/$U$1</f>
        <v>0</v>
      </c>
      <c r="X10" s="24" cm="1">
        <f t="array" ref="X10">IFERROR(ROWS(_xlfn._xlws.FILTER(
   DRG_Status!$A$2:$A$100000,
   (DRG_Status!$F$2:$F$100000=S_Curve_Data!T10) *
   (DRG_Status!$B$2:$B$100000=S_Curve_Data!$T$1)
)),0)/$U$1</f>
        <v>0</v>
      </c>
      <c r="AA10" s="19">
        <v>45870</v>
      </c>
      <c r="AB10" s="24" cm="1">
        <f t="array" ref="AB10">IFERROR(ROWS(_xlfn._xlws.FILTER(
   DRG_Status!$A$2:$A$100000,
   (DRG_Status!$G$2:$G$100000=S_Curve_Data!AA10) *
   (DRG_Status!$B$2:$B$100000=S_Curve_Data!$AA$1)
)),0)/$AB$1</f>
        <v>0</v>
      </c>
      <c r="AC10" s="24" cm="1">
        <f t="array" ref="AC10">IFERROR(ROWS(_xlfn._xlws.FILTER(
   DRG_Status!$A$2:$A$100000,
   (DRG_Status!$H$2:$H$100000=S_Curve_Data!AA10) *
   (DRG_Status!$B$2:$B$100000=S_Curve_Data!$AA$1)
)),0)/$AB$1</f>
        <v>0.10928961748633879</v>
      </c>
      <c r="AD10" s="24" cm="1">
        <f t="array" ref="AD10">IFERROR(ROWS(_xlfn._xlws.FILTER(
   DRG_Status!$A$2:$A$100000,
   (DRG_Status!$I$2:$I$100000=S_Curve_Data!AA10) *
   (DRG_Status!$B$2:$B$100000=S_Curve_Data!$AA$1)
)),0)/$AB$1</f>
        <v>0.13114754098360656</v>
      </c>
      <c r="AE10" s="24" cm="1">
        <f t="array" ref="AE10">IFERROR(ROWS(_xlfn._xlws.FILTER(
   DRG_Status!$A$2:$A$100000,
   (DRG_Status!$J$2:$J$100000=S_Curve_Data!AA10) *
   (DRG_Status!$B$2:$B$100000=S_Curve_Data!$AA$1)
)),0)/$AB$1</f>
        <v>3.2786885245901641E-2</v>
      </c>
      <c r="AH10" s="19">
        <v>45870</v>
      </c>
      <c r="AI10" s="24" cm="1">
        <f t="array" ref="AI10">IFERROR(ROWS(_xlfn._xlws.FILTER(
   DRG_Status!$A$2:$A$100000,
   (DRG_Status!$G$2:$G$100000=S_Curve_Data!AH10) *
   (DRG_Status!$B$2:$B$100000=S_Curve_Data!$AH$1)
)),0)/$AI$1</f>
        <v>8.130081300813009E-3</v>
      </c>
      <c r="AJ10" s="24" cm="1">
        <f t="array" ref="AJ10">IFERROR(ROWS(_xlfn._xlws.FILTER(
   DRG_Status!$A$2:$A$100000,
   (DRG_Status!$H$2:$H$100000=S_Curve_Data!AH10) *
   (DRG_Status!$B$2:$B$100000=S_Curve_Data!$AH$1)
)),0)/$AI$1</f>
        <v>1.6260162601626018E-2</v>
      </c>
      <c r="AK10" s="24" cm="1">
        <f t="array" ref="AK10">IFERROR(ROWS(_xlfn._xlws.FILTER(
   DRG_Status!$A$2:$A$100000,
   (DRG_Status!$I$2:$I$100000=S_Curve_Data!AH10) *
   (DRG_Status!$B$2:$B$100000=S_Curve_Data!$AH$1)
)),0)/$AI$1</f>
        <v>8.130081300813009E-3</v>
      </c>
      <c r="AL10" s="24" cm="1">
        <f t="array" ref="AL10">IFERROR(ROWS(_xlfn._xlws.FILTER(
   DRG_Status!$A$2:$A$100000,
   (DRG_Status!$J$2:$J$100000=S_Curve_Data!AH10) *
   (DRG_Status!$B$2:$B$100000=S_Curve_Data!$AH$1)
)),0)/$AI$1</f>
        <v>1.6260162601626018E-2</v>
      </c>
      <c r="AO10" s="19">
        <v>45870</v>
      </c>
      <c r="AP10" s="24" cm="1">
        <f t="array" ref="AP10">IFERROR(ROWS(_xlfn._xlws.FILTER(
   DRG_Status!$A$2:$A$100000,
   (DRG_Status!$G$2:$G$100000=S_Curve_Data!AO10) *
   (DRG_Status!$B$2:$B$100000=S_Curve_Data!$AO$1)
)),0)/$AP$1</f>
        <v>0</v>
      </c>
      <c r="AQ10" s="24" cm="1">
        <f t="array" ref="AQ10">IFERROR(ROWS(_xlfn._xlws.FILTER(
   DRG_Status!$A$2:$A$100000,
   (DRG_Status!$H$2:$H$100000=S_Curve_Data!AO10) *
   (DRG_Status!$B$2:$B$100000=S_Curve_Data!$AO$1)
)),0)/$AP$1</f>
        <v>0.13135593220338984</v>
      </c>
      <c r="AR10" s="24" cm="1">
        <f t="array" ref="AR10">IFERROR(ROWS(_xlfn._xlws.FILTER(
   DRG_Status!$A$2:$A$100000,
   (DRG_Status!$I$2:$I$100000=S_Curve_Data!AO10) *
   (DRG_Status!$B$2:$B$100000=S_Curve_Data!$AO$1)
)),0)/$AP$1</f>
        <v>0.21610169491525424</v>
      </c>
      <c r="AS10" s="24" cm="1">
        <f t="array" ref="AS10">IFERROR(ROWS(_xlfn._xlws.FILTER(
   DRG_Status!$A$2:$A$100000,
   (DRG_Status!$J$2:$J$100000=S_Curve_Data!AO10) *
   (DRG_Status!$B$2:$B$100000=S_Curve_Data!$AO$1)
)),0)/$AP$1</f>
        <v>1.2711864406779662E-2</v>
      </c>
    </row>
    <row r="11" spans="1:45">
      <c r="F11" s="18">
        <f>Mappings!B10</f>
        <v>45719</v>
      </c>
      <c r="G11" s="24" cm="1">
        <f t="array" ref="G11">IFERROR(ROWS(_xlfn._xlws.FILTER(
   DRG_Status!$A$2:$A$100000,
   (DRG_Status!$C$2:$C$100000=S_Curve_Data!F11) *
   (DRG_Status!$B$2:$B$100000=S_Curve_Data!$F$1)
)),0)/$G$1</f>
        <v>7.650273224043716E-2</v>
      </c>
      <c r="H11" s="24" cm="1">
        <f t="array" ref="H11">IFERROR(ROWS(_xlfn._xlws.FILTER(
   DRG_Status!$A$2:$A$100000,
   (DRG_Status!$D$2:$D$100000=S_Curve_Data!F11) *
   (DRG_Status!$B$2:$B$100000=S_Curve_Data!$F$1)
)),0)/$G$1</f>
        <v>8.1967213114754092E-2</v>
      </c>
      <c r="I11" s="24" cm="1">
        <f t="array" ref="I11">IFERROR(ROWS(_xlfn._xlws.FILTER(
   DRG_Status!$A$2:$A$100000,
   (DRG_Status!$E$2:$E$100000=S_Curve_Data!F11) *
   (DRG_Status!$B$2:$B$100000=S_Curve_Data!$F$1)
)),0)/$G$1</f>
        <v>0</v>
      </c>
      <c r="J11" s="24" cm="1">
        <f t="array" ref="J11">IFERROR(ROWS(_xlfn._xlws.FILTER(
   DRG_Status!$A$2:$A$100000,
   (DRG_Status!$F$2:$F$100000=S_Curve_Data!F11) *
   (DRG_Status!$B$2:$B$100000=S_Curve_Data!$F$1)
)),0)/$G$1</f>
        <v>0</v>
      </c>
      <c r="M11" s="18">
        <f>Mappings!B10</f>
        <v>45719</v>
      </c>
      <c r="N11" s="24" cm="1">
        <f t="array" ref="N11">IFERROR(ROWS(_xlfn._xlws.FILTER(
   DRG_Status!$A$2:$A$100000,
   (DRG_Status!$C$2:$C$100000=S_Curve_Data!M11) *
   (DRG_Status!$B$2:$B$100000=S_Curve_Data!$M$1)
)),0)/$N$1</f>
        <v>0.13821138211382114</v>
      </c>
      <c r="O11" s="24" cm="1">
        <f t="array" ref="O11">IFERROR(ROWS(_xlfn._xlws.FILTER(
   DRG_Status!$A$2:$A$100000,
   (DRG_Status!$D$2:$D$100000=S_Curve_Data!M11) *
   (DRG_Status!$B$2:$B$100000=S_Curve_Data!$M$1)
)),0)/$N$1</f>
        <v>0.13821138211382114</v>
      </c>
      <c r="P11" s="24" cm="1">
        <f t="array" ref="P11">IFERROR(ROWS(_xlfn._xlws.FILTER(
   DRG_Status!$A$2:$A$100000,
   (DRG_Status!$E$2:$E$100000=S_Curve_Data!M11) *
   (DRG_Status!$B$2:$B$100000=S_Curve_Data!$M$1)
)),0)/$N$1</f>
        <v>0</v>
      </c>
      <c r="Q11" s="24" cm="1">
        <f t="array" ref="Q11">IFERROR(ROWS(_xlfn._xlws.FILTER(
   DRG_Status!$A$2:$A$100000,
   (DRG_Status!$F$2:$F$100000=S_Curve_Data!M11) *
   (DRG_Status!$B$2:$B$100000=S_Curve_Data!$M$1)
)),0)/$N$1</f>
        <v>0</v>
      </c>
      <c r="T11" s="18">
        <f>Mappings!B10</f>
        <v>45719</v>
      </c>
      <c r="U11" s="24" cm="1">
        <f t="array" ref="U11">IFERROR(ROWS(_xlfn._xlws.FILTER(
   DRG_Status!$A$2:$A$100000,
   (DRG_Status!$C$2:$C$100000=S_Curve_Data!T11) *
   (DRG_Status!$B$2:$B$100000=S_Curve_Data!$T$1)
)),0)/$U$1</f>
        <v>0</v>
      </c>
      <c r="V11" s="24" cm="1">
        <f t="array" ref="V11">IFERROR(ROWS(_xlfn._xlws.FILTER(
   DRG_Status!$A$2:$A$100000,
   (DRG_Status!$D$2:$D$100000=S_Curve_Data!T11) *
   (DRG_Status!$B$2:$B$100000=S_Curve_Data!$T$1)
)),0)/$U$1</f>
        <v>0</v>
      </c>
      <c r="W11" s="24" cm="1">
        <f t="array" ref="W11">IFERROR(ROWS(_xlfn._xlws.FILTER(
   DRG_Status!$A$2:$A$100000,
   (DRG_Status!$E$2:$E$100000=S_Curve_Data!T11) *
   (DRG_Status!$B$2:$B$100000=S_Curve_Data!$T$1)
)),0)/$U$1</f>
        <v>0</v>
      </c>
      <c r="X11" s="24" cm="1">
        <f t="array" ref="X11">IFERROR(ROWS(_xlfn._xlws.FILTER(
   DRG_Status!$A$2:$A$100000,
   (DRG_Status!$F$2:$F$100000=S_Curve_Data!T11) *
   (DRG_Status!$B$2:$B$100000=S_Curve_Data!$T$1)
)),0)/$U$1</f>
        <v>0</v>
      </c>
      <c r="AA11" s="19">
        <v>45901</v>
      </c>
      <c r="AB11" s="24" cm="1">
        <f t="array" ref="AB11">IFERROR(ROWS(_xlfn._xlws.FILTER(
   DRG_Status!$A$2:$A$100000,
   (DRG_Status!$G$2:$G$100000=S_Curve_Data!AA11) *
   (DRG_Status!$B$2:$B$100000=S_Curve_Data!$AA$1)
)),0)/$AB$1</f>
        <v>0</v>
      </c>
      <c r="AC11" s="24" cm="1">
        <f t="array" ref="AC11">IFERROR(ROWS(_xlfn._xlws.FILTER(
   DRG_Status!$A$2:$A$100000,
   (DRG_Status!$H$2:$H$100000=S_Curve_Data!AA11) *
   (DRG_Status!$B$2:$B$100000=S_Curve_Data!$AA$1)
)),0)/$AB$1</f>
        <v>3.825136612021858E-2</v>
      </c>
      <c r="AD11" s="24" cm="1">
        <f t="array" ref="AD11">IFERROR(ROWS(_xlfn._xlws.FILTER(
   DRG_Status!$A$2:$A$100000,
   (DRG_Status!$I$2:$I$100000=S_Curve_Data!AA11) *
   (DRG_Status!$B$2:$B$100000=S_Curve_Data!$AA$1)
)),0)/$AB$1</f>
        <v>0</v>
      </c>
      <c r="AE11" s="24" cm="1">
        <f t="array" ref="AE11">IFERROR(ROWS(_xlfn._xlws.FILTER(
   DRG_Status!$A$2:$A$100000,
   (DRG_Status!$J$2:$J$100000=S_Curve_Data!AA11) *
   (DRG_Status!$B$2:$B$100000=S_Curve_Data!$AA$1)
)),0)/$AB$1</f>
        <v>6.0109289617486336E-2</v>
      </c>
      <c r="AH11" s="19">
        <v>45901</v>
      </c>
      <c r="AI11" s="24" cm="1">
        <f t="array" ref="AI11">IFERROR(ROWS(_xlfn._xlws.FILTER(
   DRG_Status!$A$2:$A$100000,
   (DRG_Status!$G$2:$G$100000=S_Curve_Data!AH11) *
   (DRG_Status!$B$2:$B$100000=S_Curve_Data!$AH$1)
)),0)/$AI$1</f>
        <v>0</v>
      </c>
      <c r="AJ11" s="24" cm="1">
        <f t="array" ref="AJ11">IFERROR(ROWS(_xlfn._xlws.FILTER(
   DRG_Status!$A$2:$A$100000,
   (DRG_Status!$H$2:$H$100000=S_Curve_Data!AH11) *
   (DRG_Status!$B$2:$B$100000=S_Curve_Data!$AH$1)
)),0)/$AI$1</f>
        <v>0</v>
      </c>
      <c r="AK11" s="24" cm="1">
        <f t="array" ref="AK11">IFERROR(ROWS(_xlfn._xlws.FILTER(
   DRG_Status!$A$2:$A$100000,
   (DRG_Status!$I$2:$I$100000=S_Curve_Data!AH11) *
   (DRG_Status!$B$2:$B$100000=S_Curve_Data!$AH$1)
)),0)/$AI$1</f>
        <v>0</v>
      </c>
      <c r="AL11" s="24" cm="1">
        <f t="array" ref="AL11">IFERROR(ROWS(_xlfn._xlws.FILTER(
   DRG_Status!$A$2:$A$100000,
   (DRG_Status!$J$2:$J$100000=S_Curve_Data!AH11) *
   (DRG_Status!$B$2:$B$100000=S_Curve_Data!$AH$1)
)),0)/$AI$1</f>
        <v>0.17886178861788618</v>
      </c>
      <c r="AO11" s="19">
        <v>45901</v>
      </c>
      <c r="AP11" s="24" cm="1">
        <f t="array" ref="AP11">IFERROR(ROWS(_xlfn._xlws.FILTER(
   DRG_Status!$A$2:$A$100000,
   (DRG_Status!$G$2:$G$100000=S_Curve_Data!AO11) *
   (DRG_Status!$B$2:$B$100000=S_Curve_Data!$AO$1)
)),0)/$AP$1</f>
        <v>0</v>
      </c>
      <c r="AQ11" s="24" cm="1">
        <f t="array" ref="AQ11">IFERROR(ROWS(_xlfn._xlws.FILTER(
   DRG_Status!$A$2:$A$100000,
   (DRG_Status!$H$2:$H$100000=S_Curve_Data!AO11) *
   (DRG_Status!$B$2:$B$100000=S_Curve_Data!$AO$1)
)),0)/$AP$1</f>
        <v>5.5084745762711863E-2</v>
      </c>
      <c r="AR11" s="24" cm="1">
        <f t="array" ref="AR11">IFERROR(ROWS(_xlfn._xlws.FILTER(
   DRG_Status!$A$2:$A$100000,
   (DRG_Status!$I$2:$I$100000=S_Curve_Data!AO11) *
   (DRG_Status!$B$2:$B$100000=S_Curve_Data!$AO$1)
)),0)/$AP$1</f>
        <v>0</v>
      </c>
      <c r="AS11" s="24" cm="1">
        <f t="array" ref="AS11">IFERROR(ROWS(_xlfn._xlws.FILTER(
   DRG_Status!$A$2:$A$100000,
   (DRG_Status!$J$2:$J$100000=S_Curve_Data!AO11) *
   (DRG_Status!$B$2:$B$100000=S_Curve_Data!$AO$1)
)),0)/$AP$1</f>
        <v>0</v>
      </c>
    </row>
    <row r="12" spans="1:45">
      <c r="F12" s="18">
        <f>Mappings!B11</f>
        <v>45726</v>
      </c>
      <c r="G12" s="24" cm="1">
        <f t="array" ref="G12">IFERROR(ROWS(_xlfn._xlws.FILTER(
   DRG_Status!$A$2:$A$100000,
   (DRG_Status!$C$2:$C$100000=S_Curve_Data!F12) *
   (DRG_Status!$B$2:$B$100000=S_Curve_Data!$F$1)
)),0)/$G$1</f>
        <v>1.6393442622950821E-2</v>
      </c>
      <c r="H12" s="24" cm="1">
        <f t="array" ref="H12">IFERROR(ROWS(_xlfn._xlws.FILTER(
   DRG_Status!$A$2:$A$100000,
   (DRG_Status!$D$2:$D$100000=S_Curve_Data!F12) *
   (DRG_Status!$B$2:$B$100000=S_Curve_Data!$F$1)
)),0)/$G$1</f>
        <v>2.185792349726776E-2</v>
      </c>
      <c r="I12" s="24" cm="1">
        <f t="array" ref="I12">IFERROR(ROWS(_xlfn._xlws.FILTER(
   DRG_Status!$A$2:$A$100000,
   (DRG_Status!$E$2:$E$100000=S_Curve_Data!F12) *
   (DRG_Status!$B$2:$B$100000=S_Curve_Data!$F$1)
)),0)/$G$1</f>
        <v>0</v>
      </c>
      <c r="J12" s="24" cm="1">
        <f t="array" ref="J12">IFERROR(ROWS(_xlfn._xlws.FILTER(
   DRG_Status!$A$2:$A$100000,
   (DRG_Status!$F$2:$F$100000=S_Curve_Data!F12) *
   (DRG_Status!$B$2:$B$100000=S_Curve_Data!$F$1)
)),0)/$G$1</f>
        <v>2.185792349726776E-2</v>
      </c>
      <c r="M12" s="18">
        <f>Mappings!B11</f>
        <v>45726</v>
      </c>
      <c r="N12" s="24" cm="1">
        <f t="array" ref="N12">IFERROR(ROWS(_xlfn._xlws.FILTER(
   DRG_Status!$A$2:$A$100000,
   (DRG_Status!$C$2:$C$100000=S_Curve_Data!M12) *
   (DRG_Status!$B$2:$B$100000=S_Curve_Data!$M$1)
)),0)/$N$1</f>
        <v>0</v>
      </c>
      <c r="O12" s="24" cm="1">
        <f t="array" ref="O12">IFERROR(ROWS(_xlfn._xlws.FILTER(
   DRG_Status!$A$2:$A$100000,
   (DRG_Status!$D$2:$D$100000=S_Curve_Data!M12) *
   (DRG_Status!$B$2:$B$100000=S_Curve_Data!$M$1)
)),0)/$N$1</f>
        <v>8.130081300813009E-3</v>
      </c>
      <c r="P12" s="24" cm="1">
        <f t="array" ref="P12">IFERROR(ROWS(_xlfn._xlws.FILTER(
   DRG_Status!$A$2:$A$100000,
   (DRG_Status!$E$2:$E$100000=S_Curve_Data!M12) *
   (DRG_Status!$B$2:$B$100000=S_Curve_Data!$M$1)
)),0)/$N$1</f>
        <v>0</v>
      </c>
      <c r="Q12" s="24" cm="1">
        <f t="array" ref="Q12">IFERROR(ROWS(_xlfn._xlws.FILTER(
   DRG_Status!$A$2:$A$100000,
   (DRG_Status!$F$2:$F$100000=S_Curve_Data!M12) *
   (DRG_Status!$B$2:$B$100000=S_Curve_Data!$M$1)
)),0)/$N$1</f>
        <v>0</v>
      </c>
      <c r="T12" s="18">
        <f>Mappings!B11</f>
        <v>45726</v>
      </c>
      <c r="U12" s="24" cm="1">
        <f t="array" ref="U12">IFERROR(ROWS(_xlfn._xlws.FILTER(
   DRG_Status!$A$2:$A$100000,
   (DRG_Status!$C$2:$C$100000=S_Curve_Data!T12) *
   (DRG_Status!$B$2:$B$100000=S_Curve_Data!$T$1)
)),0)/$U$1</f>
        <v>0.1228813559322034</v>
      </c>
      <c r="V12" s="24" cm="1">
        <f t="array" ref="V12">IFERROR(ROWS(_xlfn._xlws.FILTER(
   DRG_Status!$A$2:$A$100000,
   (DRG_Status!$D$2:$D$100000=S_Curve_Data!T12) *
   (DRG_Status!$B$2:$B$100000=S_Curve_Data!$T$1)
)),0)/$U$1</f>
        <v>6.3559322033898302E-2</v>
      </c>
      <c r="W12" s="24" cm="1">
        <f t="array" ref="W12">IFERROR(ROWS(_xlfn._xlws.FILTER(
   DRG_Status!$A$2:$A$100000,
   (DRG_Status!$E$2:$E$100000=S_Curve_Data!T12) *
   (DRG_Status!$B$2:$B$100000=S_Curve_Data!$T$1)
)),0)/$U$1</f>
        <v>0</v>
      </c>
      <c r="X12" s="24" cm="1">
        <f t="array" ref="X12">IFERROR(ROWS(_xlfn._xlws.FILTER(
   DRG_Status!$A$2:$A$100000,
   (DRG_Status!$F$2:$F$100000=S_Curve_Data!T12) *
   (DRG_Status!$B$2:$B$100000=S_Curve_Data!$T$1)
)),0)/$U$1</f>
        <v>0</v>
      </c>
      <c r="AA12" s="19">
        <v>45931</v>
      </c>
      <c r="AB12" s="24" cm="1">
        <f t="array" ref="AB12">IFERROR(ROWS(_xlfn._xlws.FILTER(
   DRG_Status!$A$2:$A$100000,
   (DRG_Status!$G$2:$G$100000=S_Curve_Data!AA12) *
   (DRG_Status!$B$2:$B$100000=S_Curve_Data!$AA$1)
)),0)/$AB$1</f>
        <v>8.1967213114754092E-2</v>
      </c>
      <c r="AC12" s="24" cm="1">
        <f t="array" ref="AC12">IFERROR(ROWS(_xlfn._xlws.FILTER(
   DRG_Status!$A$2:$A$100000,
   (DRG_Status!$H$2:$H$100000=S_Curve_Data!AA12) *
   (DRG_Status!$B$2:$B$100000=S_Curve_Data!$AA$1)
)),0)/$AB$1</f>
        <v>4.9180327868852458E-2</v>
      </c>
      <c r="AD12" s="24" cm="1">
        <f t="array" ref="AD12">IFERROR(ROWS(_xlfn._xlws.FILTER(
   DRG_Status!$A$2:$A$100000,
   (DRG_Status!$I$2:$I$100000=S_Curve_Data!AA12) *
   (DRG_Status!$B$2:$B$100000=S_Curve_Data!$AA$1)
)),0)/$AB$1</f>
        <v>1.092896174863388E-2</v>
      </c>
      <c r="AE12" s="24" cm="1">
        <f t="array" ref="AE12">IFERROR(ROWS(_xlfn._xlws.FILTER(
   DRG_Status!$A$2:$A$100000,
   (DRG_Status!$J$2:$J$100000=S_Curve_Data!AA12) *
   (DRG_Status!$B$2:$B$100000=S_Curve_Data!$AA$1)
)),0)/$AB$1</f>
        <v>0.15846994535519127</v>
      </c>
      <c r="AH12" s="19">
        <v>45931</v>
      </c>
      <c r="AI12" s="24" cm="1">
        <f t="array" ref="AI12">IFERROR(ROWS(_xlfn._xlws.FILTER(
   DRG_Status!$A$2:$A$100000,
   (DRG_Status!$G$2:$G$100000=S_Curve_Data!AH12) *
   (DRG_Status!$B$2:$B$100000=S_Curve_Data!$AH$1)
)),0)/$AI$1</f>
        <v>4.878048780487805E-2</v>
      </c>
      <c r="AJ12" s="24" cm="1">
        <f t="array" ref="AJ12">IFERROR(ROWS(_xlfn._xlws.FILTER(
   DRG_Status!$A$2:$A$100000,
   (DRG_Status!$H$2:$H$100000=S_Curve_Data!AH12) *
   (DRG_Status!$B$2:$B$100000=S_Curve_Data!$AH$1)
)),0)/$AI$1</f>
        <v>6.5040650406504072E-2</v>
      </c>
      <c r="AK12" s="24" cm="1">
        <f t="array" ref="AK12">IFERROR(ROWS(_xlfn._xlws.FILTER(
   DRG_Status!$A$2:$A$100000,
   (DRG_Status!$I$2:$I$100000=S_Curve_Data!AH12) *
   (DRG_Status!$B$2:$B$100000=S_Curve_Data!$AH$1)
)),0)/$AI$1</f>
        <v>0</v>
      </c>
      <c r="AL12" s="24" cm="1">
        <f t="array" ref="AL12">IFERROR(ROWS(_xlfn._xlws.FILTER(
   DRG_Status!$A$2:$A$100000,
   (DRG_Status!$J$2:$J$100000=S_Curve_Data!AH12) *
   (DRG_Status!$B$2:$B$100000=S_Curve_Data!$AH$1)
)),0)/$AI$1</f>
        <v>4.065040650406504E-2</v>
      </c>
      <c r="AO12" s="19">
        <v>45931</v>
      </c>
      <c r="AP12" s="24" cm="1">
        <f t="array" ref="AP12">IFERROR(ROWS(_xlfn._xlws.FILTER(
   DRG_Status!$A$2:$A$100000,
   (DRG_Status!$G$2:$G$100000=S_Curve_Data!AO12) *
   (DRG_Status!$B$2:$B$100000=S_Curve_Data!$AO$1)
)),0)/$AP$1</f>
        <v>0.11864406779661017</v>
      </c>
      <c r="AQ12" s="24" cm="1">
        <f t="array" ref="AQ12">IFERROR(ROWS(_xlfn._xlws.FILTER(
   DRG_Status!$A$2:$A$100000,
   (DRG_Status!$H$2:$H$100000=S_Curve_Data!AO12) *
   (DRG_Status!$B$2:$B$100000=S_Curve_Data!$AO$1)
)),0)/$AP$1</f>
        <v>6.7796610169491525E-2</v>
      </c>
      <c r="AR12" s="24" cm="1">
        <f t="array" ref="AR12">IFERROR(ROWS(_xlfn._xlws.FILTER(
   DRG_Status!$A$2:$A$100000,
   (DRG_Status!$I$2:$I$100000=S_Curve_Data!AO12) *
   (DRG_Status!$B$2:$B$100000=S_Curve_Data!$AO$1)
)),0)/$AP$1</f>
        <v>0</v>
      </c>
      <c r="AS12" s="24" cm="1">
        <f t="array" ref="AS12">IFERROR(ROWS(_xlfn._xlws.FILTER(
   DRG_Status!$A$2:$A$100000,
   (DRG_Status!$J$2:$J$100000=S_Curve_Data!AO12) *
   (DRG_Status!$B$2:$B$100000=S_Curve_Data!$AO$1)
)),0)/$AP$1</f>
        <v>0.29661016949152541</v>
      </c>
    </row>
    <row r="13" spans="1:45">
      <c r="F13" s="18">
        <f>Mappings!B12</f>
        <v>45733</v>
      </c>
      <c r="G13" s="24" cm="1">
        <f t="array" ref="G13">IFERROR(ROWS(_xlfn._xlws.FILTER(
   DRG_Status!$A$2:$A$100000,
   (DRG_Status!$C$2:$C$100000=S_Curve_Data!F13) *
   (DRG_Status!$B$2:$B$100000=S_Curve_Data!$F$1)
)),0)/$G$1</f>
        <v>0</v>
      </c>
      <c r="H13" s="24" cm="1">
        <f t="array" ref="H13">IFERROR(ROWS(_xlfn._xlws.FILTER(
   DRG_Status!$A$2:$A$100000,
   (DRG_Status!$D$2:$D$100000=S_Curve_Data!F13) *
   (DRG_Status!$B$2:$B$100000=S_Curve_Data!$F$1)
)),0)/$G$1</f>
        <v>0</v>
      </c>
      <c r="I13" s="24" cm="1">
        <f t="array" ref="I13">IFERROR(ROWS(_xlfn._xlws.FILTER(
   DRG_Status!$A$2:$A$100000,
   (DRG_Status!$E$2:$E$100000=S_Curve_Data!F13) *
   (DRG_Status!$B$2:$B$100000=S_Curve_Data!$F$1)
)),0)/$G$1</f>
        <v>0</v>
      </c>
      <c r="J13" s="24" cm="1">
        <f t="array" ref="J13">IFERROR(ROWS(_xlfn._xlws.FILTER(
   DRG_Status!$A$2:$A$100000,
   (DRG_Status!$F$2:$F$100000=S_Curve_Data!F13) *
   (DRG_Status!$B$2:$B$100000=S_Curve_Data!$F$1)
)),0)/$G$1</f>
        <v>0</v>
      </c>
      <c r="M13" s="18">
        <f>Mappings!B12</f>
        <v>45733</v>
      </c>
      <c r="N13" s="24" cm="1">
        <f t="array" ref="N13">IFERROR(ROWS(_xlfn._xlws.FILTER(
   DRG_Status!$A$2:$A$100000,
   (DRG_Status!$C$2:$C$100000=S_Curve_Data!M13) *
   (DRG_Status!$B$2:$B$100000=S_Curve_Data!$M$1)
)),0)/$N$1</f>
        <v>0</v>
      </c>
      <c r="O13" s="24" cm="1">
        <f t="array" ref="O13">IFERROR(ROWS(_xlfn._xlws.FILTER(
   DRG_Status!$A$2:$A$100000,
   (DRG_Status!$D$2:$D$100000=S_Curve_Data!M13) *
   (DRG_Status!$B$2:$B$100000=S_Curve_Data!$M$1)
)),0)/$N$1</f>
        <v>0</v>
      </c>
      <c r="P13" s="24" cm="1">
        <f t="array" ref="P13">IFERROR(ROWS(_xlfn._xlws.FILTER(
   DRG_Status!$A$2:$A$100000,
   (DRG_Status!$E$2:$E$100000=S_Curve_Data!M13) *
   (DRG_Status!$B$2:$B$100000=S_Curve_Data!$M$1)
)),0)/$N$1</f>
        <v>0</v>
      </c>
      <c r="Q13" s="24" cm="1">
        <f t="array" ref="Q13">IFERROR(ROWS(_xlfn._xlws.FILTER(
   DRG_Status!$A$2:$A$100000,
   (DRG_Status!$F$2:$F$100000=S_Curve_Data!M13) *
   (DRG_Status!$B$2:$B$100000=S_Curve_Data!$M$1)
)),0)/$N$1</f>
        <v>0</v>
      </c>
      <c r="T13" s="18">
        <f>Mappings!B12</f>
        <v>45733</v>
      </c>
      <c r="U13" s="24" cm="1">
        <f t="array" ref="U13">IFERROR(ROWS(_xlfn._xlws.FILTER(
   DRG_Status!$A$2:$A$100000,
   (DRG_Status!$C$2:$C$100000=S_Curve_Data!T13) *
   (DRG_Status!$B$2:$B$100000=S_Curve_Data!$T$1)
)),0)/$U$1</f>
        <v>0</v>
      </c>
      <c r="V13" s="24" cm="1">
        <f t="array" ref="V13">IFERROR(ROWS(_xlfn._xlws.FILTER(
   DRG_Status!$A$2:$A$100000,
   (DRG_Status!$D$2:$D$100000=S_Curve_Data!T13) *
   (DRG_Status!$B$2:$B$100000=S_Curve_Data!$T$1)
)),0)/$U$1</f>
        <v>0</v>
      </c>
      <c r="W13" s="24" cm="1">
        <f t="array" ref="W13">IFERROR(ROWS(_xlfn._xlws.FILTER(
   DRG_Status!$A$2:$A$100000,
   (DRG_Status!$E$2:$E$100000=S_Curve_Data!T13) *
   (DRG_Status!$B$2:$B$100000=S_Curve_Data!$T$1)
)),0)/$U$1</f>
        <v>0</v>
      </c>
      <c r="X13" s="24" cm="1">
        <f t="array" ref="X13">IFERROR(ROWS(_xlfn._xlws.FILTER(
   DRG_Status!$A$2:$A$100000,
   (DRG_Status!$F$2:$F$100000=S_Curve_Data!T13) *
   (DRG_Status!$B$2:$B$100000=S_Curve_Data!$T$1)
)),0)/$U$1</f>
        <v>0</v>
      </c>
      <c r="AA13" s="19">
        <v>45962</v>
      </c>
      <c r="AB13" s="24" cm="1">
        <f t="array" ref="AB13">IFERROR(ROWS(_xlfn._xlws.FILTER(
   DRG_Status!$A$2:$A$100000,
   (DRG_Status!$G$2:$G$100000=S_Curve_Data!AA13) *
   (DRG_Status!$B$2:$B$100000=S_Curve_Data!$AA$1)
)),0)/$AB$1</f>
        <v>8.7431693989071038E-2</v>
      </c>
      <c r="AC13" s="24" cm="1">
        <f t="array" ref="AC13">IFERROR(ROWS(_xlfn._xlws.FILTER(
   DRG_Status!$A$2:$A$100000,
   (DRG_Status!$H$2:$H$100000=S_Curve_Data!AA13) *
   (DRG_Status!$B$2:$B$100000=S_Curve_Data!$AA$1)
)),0)/$AB$1</f>
        <v>0.10382513661202186</v>
      </c>
      <c r="AD13" s="24" cm="1">
        <f t="array" ref="AD13">IFERROR(ROWS(_xlfn._xlws.FILTER(
   DRG_Status!$A$2:$A$100000,
   (DRG_Status!$I$2:$I$100000=S_Curve_Data!AA13) *
   (DRG_Status!$B$2:$B$100000=S_Curve_Data!$AA$1)
)),0)/$AB$1</f>
        <v>0.12021857923497267</v>
      </c>
      <c r="AE13" s="24" cm="1">
        <f t="array" ref="AE13">IFERROR(ROWS(_xlfn._xlws.FILTER(
   DRG_Status!$A$2:$A$100000,
   (DRG_Status!$J$2:$J$100000=S_Curve_Data!AA13) *
   (DRG_Status!$B$2:$B$100000=S_Curve_Data!$AA$1)
)),0)/$AB$1</f>
        <v>0</v>
      </c>
      <c r="AH13" s="19">
        <v>45962</v>
      </c>
      <c r="AI13" s="24" cm="1">
        <f t="array" ref="AI13">IFERROR(ROWS(_xlfn._xlws.FILTER(
   DRG_Status!$A$2:$A$100000,
   (DRG_Status!$G$2:$G$100000=S_Curve_Data!AH13) *
   (DRG_Status!$B$2:$B$100000=S_Curve_Data!$AH$1)
)),0)/$AI$1</f>
        <v>0.15447154471544716</v>
      </c>
      <c r="AJ13" s="24" cm="1">
        <f t="array" ref="AJ13">IFERROR(ROWS(_xlfn._xlws.FILTER(
   DRG_Status!$A$2:$A$100000,
   (DRG_Status!$H$2:$H$100000=S_Curve_Data!AH13) *
   (DRG_Status!$B$2:$B$100000=S_Curve_Data!$AH$1)
)),0)/$AI$1</f>
        <v>0.18699186991869918</v>
      </c>
      <c r="AK13" s="24" cm="1">
        <f t="array" ref="AK13">IFERROR(ROWS(_xlfn._xlws.FILTER(
   DRG_Status!$A$2:$A$100000,
   (DRG_Status!$I$2:$I$100000=S_Curve_Data!AH13) *
   (DRG_Status!$B$2:$B$100000=S_Curve_Data!$AH$1)
)),0)/$AI$1</f>
        <v>0.10569105691056911</v>
      </c>
      <c r="AL13" s="24" cm="1">
        <f t="array" ref="AL13">IFERROR(ROWS(_xlfn._xlws.FILTER(
   DRG_Status!$A$2:$A$100000,
   (DRG_Status!$J$2:$J$100000=S_Curve_Data!AH13) *
   (DRG_Status!$B$2:$B$100000=S_Curve_Data!$AH$1)
)),0)/$AI$1</f>
        <v>4.065040650406504E-2</v>
      </c>
      <c r="AO13" s="19">
        <v>45962</v>
      </c>
      <c r="AP13" s="24" cm="1">
        <f t="array" ref="AP13">IFERROR(ROWS(_xlfn._xlws.FILTER(
   DRG_Status!$A$2:$A$100000,
   (DRG_Status!$G$2:$G$100000=S_Curve_Data!AO13) *
   (DRG_Status!$B$2:$B$100000=S_Curve_Data!$AO$1)
)),0)/$AP$1</f>
        <v>0.11864406779661017</v>
      </c>
      <c r="AQ13" s="24" cm="1">
        <f t="array" ref="AQ13">IFERROR(ROWS(_xlfn._xlws.FILTER(
   DRG_Status!$A$2:$A$100000,
   (DRG_Status!$H$2:$H$100000=S_Curve_Data!AO13) *
   (DRG_Status!$B$2:$B$100000=S_Curve_Data!$AO$1)
)),0)/$AP$1</f>
        <v>0.23305084745762711</v>
      </c>
      <c r="AR13" s="24" cm="1">
        <f t="array" ref="AR13">IFERROR(ROWS(_xlfn._xlws.FILTER(
   DRG_Status!$A$2:$A$100000,
   (DRG_Status!$I$2:$I$100000=S_Curve_Data!AO13) *
   (DRG_Status!$B$2:$B$100000=S_Curve_Data!$AO$1)
)),0)/$AP$1</f>
        <v>0.17372881355932204</v>
      </c>
      <c r="AS13" s="24" cm="1">
        <f t="array" ref="AS13">IFERROR(ROWS(_xlfn._xlws.FILTER(
   DRG_Status!$A$2:$A$100000,
   (DRG_Status!$J$2:$J$100000=S_Curve_Data!AO13) *
   (DRG_Status!$B$2:$B$100000=S_Curve_Data!$AO$1)
)),0)/$AP$1</f>
        <v>0</v>
      </c>
    </row>
    <row r="14" spans="1:45">
      <c r="F14" s="18">
        <f>Mappings!B13</f>
        <v>45740</v>
      </c>
      <c r="G14" s="24" cm="1">
        <f t="array" ref="G14">IFERROR(ROWS(_xlfn._xlws.FILTER(
   DRG_Status!$A$2:$A$100000,
   (DRG_Status!$C$2:$C$100000=S_Curve_Data!F14) *
   (DRG_Status!$B$2:$B$100000=S_Curve_Data!$F$1)
)),0)/$G$1</f>
        <v>2.185792349726776E-2</v>
      </c>
      <c r="H14" s="24" cm="1">
        <f t="array" ref="H14">IFERROR(ROWS(_xlfn._xlws.FILTER(
   DRG_Status!$A$2:$A$100000,
   (DRG_Status!$D$2:$D$100000=S_Curve_Data!F14) *
   (DRG_Status!$B$2:$B$100000=S_Curve_Data!$F$1)
)),0)/$G$1</f>
        <v>4.3715846994535519E-2</v>
      </c>
      <c r="I14" s="24" cm="1">
        <f t="array" ref="I14">IFERROR(ROWS(_xlfn._xlws.FILTER(
   DRG_Status!$A$2:$A$100000,
   (DRG_Status!$E$2:$E$100000=S_Curve_Data!F14) *
   (DRG_Status!$B$2:$B$100000=S_Curve_Data!$F$1)
)),0)/$G$1</f>
        <v>7.1038251366120214E-2</v>
      </c>
      <c r="J14" s="24" cm="1">
        <f t="array" ref="J14">IFERROR(ROWS(_xlfn._xlws.FILTER(
   DRG_Status!$A$2:$A$100000,
   (DRG_Status!$F$2:$F$100000=S_Curve_Data!F14) *
   (DRG_Status!$B$2:$B$100000=S_Curve_Data!$F$1)
)),0)/$G$1</f>
        <v>6.0109289617486336E-2</v>
      </c>
      <c r="M14" s="18">
        <f>Mappings!B13</f>
        <v>45740</v>
      </c>
      <c r="N14" s="24" cm="1">
        <f t="array" ref="N14">IFERROR(ROWS(_xlfn._xlws.FILTER(
   DRG_Status!$A$2:$A$100000,
   (DRG_Status!$C$2:$C$100000=S_Curve_Data!M14) *
   (DRG_Status!$B$2:$B$100000=S_Curve_Data!$M$1)
)),0)/$N$1</f>
        <v>0</v>
      </c>
      <c r="O14" s="24" cm="1">
        <f t="array" ref="O14">IFERROR(ROWS(_xlfn._xlws.FILTER(
   DRG_Status!$A$2:$A$100000,
   (DRG_Status!$D$2:$D$100000=S_Curve_Data!M14) *
   (DRG_Status!$B$2:$B$100000=S_Curve_Data!$M$1)
)),0)/$N$1</f>
        <v>0</v>
      </c>
      <c r="P14" s="24" cm="1">
        <f t="array" ref="P14">IFERROR(ROWS(_xlfn._xlws.FILTER(
   DRG_Status!$A$2:$A$100000,
   (DRG_Status!$E$2:$E$100000=S_Curve_Data!M14) *
   (DRG_Status!$B$2:$B$100000=S_Curve_Data!$M$1)
)),0)/$N$1</f>
        <v>2.4390243902439025E-2</v>
      </c>
      <c r="Q14" s="24" cm="1">
        <f t="array" ref="Q14">IFERROR(ROWS(_xlfn._xlws.FILTER(
   DRG_Status!$A$2:$A$100000,
   (DRG_Status!$F$2:$F$100000=S_Curve_Data!M14) *
   (DRG_Status!$B$2:$B$100000=S_Curve_Data!$M$1)
)),0)/$N$1</f>
        <v>0.13821138211382114</v>
      </c>
      <c r="T14" s="18">
        <f>Mappings!B13</f>
        <v>45740</v>
      </c>
      <c r="U14" s="24" cm="1">
        <f t="array" ref="U14">IFERROR(ROWS(_xlfn._xlws.FILTER(
   DRG_Status!$A$2:$A$100000,
   (DRG_Status!$C$2:$C$100000=S_Curve_Data!T14) *
   (DRG_Status!$B$2:$B$100000=S_Curve_Data!$T$1)
)),0)/$U$1</f>
        <v>0</v>
      </c>
      <c r="V14" s="24" cm="1">
        <f t="array" ref="V14">IFERROR(ROWS(_xlfn._xlws.FILTER(
   DRG_Status!$A$2:$A$100000,
   (DRG_Status!$D$2:$D$100000=S_Curve_Data!T14) *
   (DRG_Status!$B$2:$B$100000=S_Curve_Data!$T$1)
)),0)/$U$1</f>
        <v>0</v>
      </c>
      <c r="W14" s="24" cm="1">
        <f t="array" ref="W14">IFERROR(ROWS(_xlfn._xlws.FILTER(
   DRG_Status!$A$2:$A$100000,
   (DRG_Status!$E$2:$E$100000=S_Curve_Data!T14) *
   (DRG_Status!$B$2:$B$100000=S_Curve_Data!$T$1)
)),0)/$U$1</f>
        <v>0</v>
      </c>
      <c r="X14" s="24" cm="1">
        <f t="array" ref="X14">IFERROR(ROWS(_xlfn._xlws.FILTER(
   DRG_Status!$A$2:$A$100000,
   (DRG_Status!$F$2:$F$100000=S_Curve_Data!T14) *
   (DRG_Status!$B$2:$B$100000=S_Curve_Data!$T$1)
)),0)/$U$1</f>
        <v>0</v>
      </c>
      <c r="AA14" s="19">
        <v>45992</v>
      </c>
      <c r="AB14" s="24" cm="1">
        <f t="array" ref="AB14">IFERROR(ROWS(_xlfn._xlws.FILTER(
   DRG_Status!$A$2:$A$100000,
   (DRG_Status!$G$2:$G$100000=S_Curve_Data!AA14) *
   (DRG_Status!$B$2:$B$100000=S_Curve_Data!$AA$1)
)),0)/$AB$1</f>
        <v>0.12568306010928962</v>
      </c>
      <c r="AC14" s="24" cm="1">
        <f t="array" ref="AC14">IFERROR(ROWS(_xlfn._xlws.FILTER(
   DRG_Status!$A$2:$A$100000,
   (DRG_Status!$H$2:$H$100000=S_Curve_Data!AA14) *
   (DRG_Status!$B$2:$B$100000=S_Curve_Data!$AA$1)
)),0)/$AB$1</f>
        <v>7.1038251366120214E-2</v>
      </c>
      <c r="AD14" s="24" cm="1">
        <f t="array" ref="AD14">IFERROR(ROWS(_xlfn._xlws.FILTER(
   DRG_Status!$A$2:$A$100000,
   (DRG_Status!$I$2:$I$100000=S_Curve_Data!AA14) *
   (DRG_Status!$B$2:$B$100000=S_Curve_Data!$AA$1)
)),0)/$AB$1</f>
        <v>2.185792349726776E-2</v>
      </c>
      <c r="AE14" s="24" cm="1">
        <f t="array" ref="AE14">IFERROR(ROWS(_xlfn._xlws.FILTER(
   DRG_Status!$A$2:$A$100000,
   (DRG_Status!$J$2:$J$100000=S_Curve_Data!AA14) *
   (DRG_Status!$B$2:$B$100000=S_Curve_Data!$AA$1)
)),0)/$AB$1</f>
        <v>0.22950819672131148</v>
      </c>
      <c r="AH14" s="19">
        <v>45992</v>
      </c>
      <c r="AI14" s="24" cm="1">
        <f t="array" ref="AI14">IFERROR(ROWS(_xlfn._xlws.FILTER(
   DRG_Status!$A$2:$A$100000,
   (DRG_Status!$G$2:$G$100000=S_Curve_Data!AH14) *
   (DRG_Status!$B$2:$B$100000=S_Curve_Data!$AH$1)
)),0)/$AI$1</f>
        <v>0.34959349593495936</v>
      </c>
      <c r="AJ14" s="24" cm="1">
        <f t="array" ref="AJ14">IFERROR(ROWS(_xlfn._xlws.FILTER(
   DRG_Status!$A$2:$A$100000,
   (DRG_Status!$H$2:$H$100000=S_Curve_Data!AH14) *
   (DRG_Status!$B$2:$B$100000=S_Curve_Data!$AH$1)
)),0)/$AI$1</f>
        <v>0.2032520325203252</v>
      </c>
      <c r="AK14" s="24" cm="1">
        <f t="array" ref="AK14">IFERROR(ROWS(_xlfn._xlws.FILTER(
   DRG_Status!$A$2:$A$100000,
   (DRG_Status!$I$2:$I$100000=S_Curve_Data!AH14) *
   (DRG_Status!$B$2:$B$100000=S_Curve_Data!$AH$1)
)),0)/$AI$1</f>
        <v>0.2032520325203252</v>
      </c>
      <c r="AL14" s="24" cm="1">
        <f t="array" ref="AL14">IFERROR(ROWS(_xlfn._xlws.FILTER(
   DRG_Status!$A$2:$A$100000,
   (DRG_Status!$J$2:$J$100000=S_Curve_Data!AH14) *
   (DRG_Status!$B$2:$B$100000=S_Curve_Data!$AH$1)
)),0)/$AI$1</f>
        <v>0.36585365853658536</v>
      </c>
      <c r="AO14" s="19">
        <v>45992</v>
      </c>
      <c r="AP14" s="24" cm="1">
        <f t="array" ref="AP14">IFERROR(ROWS(_xlfn._xlws.FILTER(
   DRG_Status!$A$2:$A$100000,
   (DRG_Status!$G$2:$G$100000=S_Curve_Data!AO14) *
   (DRG_Status!$B$2:$B$100000=S_Curve_Data!$AO$1)
)),0)/$AP$1</f>
        <v>2.1186440677966101E-2</v>
      </c>
      <c r="AQ14" s="24" cm="1">
        <f t="array" ref="AQ14">IFERROR(ROWS(_xlfn._xlws.FILTER(
   DRG_Status!$A$2:$A$100000,
   (DRG_Status!$H$2:$H$100000=S_Curve_Data!AO14) *
   (DRG_Status!$B$2:$B$100000=S_Curve_Data!$AO$1)
)),0)/$AP$1</f>
        <v>0</v>
      </c>
      <c r="AR14" s="24" cm="1">
        <f t="array" ref="AR14">IFERROR(ROWS(_xlfn._xlws.FILTER(
   DRG_Status!$A$2:$A$100000,
   (DRG_Status!$I$2:$I$100000=S_Curve_Data!AO14) *
   (DRG_Status!$B$2:$B$100000=S_Curve_Data!$AO$1)
)),0)/$AP$1</f>
        <v>8.4745762711864406E-3</v>
      </c>
      <c r="AS14" s="24" cm="1">
        <f t="array" ref="AS14">IFERROR(ROWS(_xlfn._xlws.FILTER(
   DRG_Status!$A$2:$A$100000,
   (DRG_Status!$J$2:$J$100000=S_Curve_Data!AO14) *
   (DRG_Status!$B$2:$B$100000=S_Curve_Data!$AO$1)
)),0)/$AP$1</f>
        <v>0.17372881355932204</v>
      </c>
    </row>
    <row r="15" spans="1:45">
      <c r="F15" s="18">
        <f>Mappings!B14</f>
        <v>45747</v>
      </c>
      <c r="G15" s="24" cm="1">
        <f t="array" ref="G15">IFERROR(ROWS(_xlfn._xlws.FILTER(
   DRG_Status!$A$2:$A$100000,
   (DRG_Status!$C$2:$C$100000=S_Curve_Data!F15) *
   (DRG_Status!$B$2:$B$100000=S_Curve_Data!$F$1)
)),0)/$G$1</f>
        <v>0.10928961748633879</v>
      </c>
      <c r="H15" s="24" cm="1">
        <f t="array" ref="H15">IFERROR(ROWS(_xlfn._xlws.FILTER(
   DRG_Status!$A$2:$A$100000,
   (DRG_Status!$D$2:$D$100000=S_Curve_Data!F15) *
   (DRG_Status!$B$2:$B$100000=S_Curve_Data!$F$1)
)),0)/$G$1</f>
        <v>6.0109289617486336E-2</v>
      </c>
      <c r="I15" s="24" cm="1">
        <f t="array" ref="I15">IFERROR(ROWS(_xlfn._xlws.FILTER(
   DRG_Status!$A$2:$A$100000,
   (DRG_Status!$E$2:$E$100000=S_Curve_Data!F15) *
   (DRG_Status!$B$2:$B$100000=S_Curve_Data!$F$1)
)),0)/$G$1</f>
        <v>1.092896174863388E-2</v>
      </c>
      <c r="J15" s="24" cm="1">
        <f t="array" ref="J15">IFERROR(ROWS(_xlfn._xlws.FILTER(
   DRG_Status!$A$2:$A$100000,
   (DRG_Status!$F$2:$F$100000=S_Curve_Data!F15) *
   (DRG_Status!$B$2:$B$100000=S_Curve_Data!$F$1)
)),0)/$G$1</f>
        <v>0</v>
      </c>
      <c r="M15" s="18">
        <f>Mappings!B14</f>
        <v>45747</v>
      </c>
      <c r="N15" s="24" cm="1">
        <f t="array" ref="N15">IFERROR(ROWS(_xlfn._xlws.FILTER(
   DRG_Status!$A$2:$A$100000,
   (DRG_Status!$C$2:$C$100000=S_Curve_Data!M15) *
   (DRG_Status!$B$2:$B$100000=S_Curve_Data!$M$1)
)),0)/$N$1</f>
        <v>4.065040650406504E-2</v>
      </c>
      <c r="O15" s="24" cm="1">
        <f t="array" ref="O15">IFERROR(ROWS(_xlfn._xlws.FILTER(
   DRG_Status!$A$2:$A$100000,
   (DRG_Status!$D$2:$D$100000=S_Curve_Data!M15) *
   (DRG_Status!$B$2:$B$100000=S_Curve_Data!$M$1)
)),0)/$N$1</f>
        <v>3.2520325203252036E-2</v>
      </c>
      <c r="P15" s="24" cm="1">
        <f t="array" ref="P15">IFERROR(ROWS(_xlfn._xlws.FILTER(
   DRG_Status!$A$2:$A$100000,
   (DRG_Status!$E$2:$E$100000=S_Curve_Data!M15) *
   (DRG_Status!$B$2:$B$100000=S_Curve_Data!$M$1)
)),0)/$N$1</f>
        <v>0.11382113821138211</v>
      </c>
      <c r="Q15" s="24" cm="1">
        <f t="array" ref="Q15">IFERROR(ROWS(_xlfn._xlws.FILTER(
   DRG_Status!$A$2:$A$100000,
   (DRG_Status!$F$2:$F$100000=S_Curve_Data!M15) *
   (DRG_Status!$B$2:$B$100000=S_Curve_Data!$M$1)
)),0)/$N$1</f>
        <v>0</v>
      </c>
      <c r="T15" s="18">
        <f>Mappings!B14</f>
        <v>45747</v>
      </c>
      <c r="U15" s="24" cm="1">
        <f t="array" ref="U15">IFERROR(ROWS(_xlfn._xlws.FILTER(
   DRG_Status!$A$2:$A$100000,
   (DRG_Status!$C$2:$C$100000=S_Curve_Data!T15) *
   (DRG_Status!$B$2:$B$100000=S_Curve_Data!$T$1)
)),0)/$U$1</f>
        <v>0.17796610169491525</v>
      </c>
      <c r="V15" s="24" cm="1">
        <f t="array" ref="V15">IFERROR(ROWS(_xlfn._xlws.FILTER(
   DRG_Status!$A$2:$A$100000,
   (DRG_Status!$D$2:$D$100000=S_Curve_Data!T15) *
   (DRG_Status!$B$2:$B$100000=S_Curve_Data!$T$1)
)),0)/$U$1</f>
        <v>8.4745762711864403E-2</v>
      </c>
      <c r="W15" s="24" cm="1">
        <f t="array" ref="W15">IFERROR(ROWS(_xlfn._xlws.FILTER(
   DRG_Status!$A$2:$A$100000,
   (DRG_Status!$E$2:$E$100000=S_Curve_Data!T15) *
   (DRG_Status!$B$2:$B$100000=S_Curve_Data!$T$1)
)),0)/$U$1</f>
        <v>4.2372881355932203E-3</v>
      </c>
      <c r="X15" s="24" cm="1">
        <f t="array" ref="X15">IFERROR(ROWS(_xlfn._xlws.FILTER(
   DRG_Status!$A$2:$A$100000,
   (DRG_Status!$F$2:$F$100000=S_Curve_Data!T15) *
   (DRG_Status!$B$2:$B$100000=S_Curve_Data!$T$1)
)),0)/$U$1</f>
        <v>4.2372881355932203E-3</v>
      </c>
      <c r="AA15" s="19">
        <v>46023</v>
      </c>
      <c r="AB15" s="24" cm="1">
        <f t="array" ref="AB15">IFERROR(ROWS(_xlfn._xlws.FILTER(
   DRG_Status!$A$2:$A$100000,
   (DRG_Status!$G$2:$G$100000=S_Curve_Data!AA15) *
   (DRG_Status!$B$2:$B$100000=S_Curve_Data!$AA$1)
)),0)/$AB$1</f>
        <v>0</v>
      </c>
      <c r="AC15" s="24" cm="1">
        <f t="array" ref="AC15">IFERROR(ROWS(_xlfn._xlws.FILTER(
   DRG_Status!$A$2:$A$100000,
   (DRG_Status!$H$2:$H$100000=S_Curve_Data!AA15) *
   (DRG_Status!$B$2:$B$100000=S_Curve_Data!$AA$1)
)),0)/$AB$1</f>
        <v>3.2786885245901641E-2</v>
      </c>
      <c r="AD15" s="24" cm="1">
        <f t="array" ref="AD15">IFERROR(ROWS(_xlfn._xlws.FILTER(
   DRG_Status!$A$2:$A$100000,
   (DRG_Status!$I$2:$I$100000=S_Curve_Data!AA15) *
   (DRG_Status!$B$2:$B$100000=S_Curve_Data!$AA$1)
)),0)/$AB$1</f>
        <v>0.10928961748633879</v>
      </c>
      <c r="AE15" s="24" cm="1">
        <f t="array" ref="AE15">IFERROR(ROWS(_xlfn._xlws.FILTER(
   DRG_Status!$A$2:$A$100000,
   (DRG_Status!$J$2:$J$100000=S_Curve_Data!AA15) *
   (DRG_Status!$B$2:$B$100000=S_Curve_Data!$AA$1)
)),0)/$AB$1</f>
        <v>5.4644808743169399E-3</v>
      </c>
      <c r="AH15" s="19">
        <v>46023</v>
      </c>
      <c r="AI15" s="24" cm="1">
        <f t="array" ref="AI15">IFERROR(ROWS(_xlfn._xlws.FILTER(
   DRG_Status!$A$2:$A$100000,
   (DRG_Status!$G$2:$G$100000=S_Curve_Data!AH15) *
   (DRG_Status!$B$2:$B$100000=S_Curve_Data!$AH$1)
)),0)/$AI$1</f>
        <v>0</v>
      </c>
      <c r="AJ15" s="24" cm="1">
        <f t="array" ref="AJ15">IFERROR(ROWS(_xlfn._xlws.FILTER(
   DRG_Status!$A$2:$A$100000,
   (DRG_Status!$H$2:$H$100000=S_Curve_Data!AH15) *
   (DRG_Status!$B$2:$B$100000=S_Curve_Data!$AH$1)
)),0)/$AI$1</f>
        <v>1.6260162601626018E-2</v>
      </c>
      <c r="AK15" s="24" cm="1">
        <f t="array" ref="AK15">IFERROR(ROWS(_xlfn._xlws.FILTER(
   DRG_Status!$A$2:$A$100000,
   (DRG_Status!$I$2:$I$100000=S_Curve_Data!AH15) *
   (DRG_Status!$B$2:$B$100000=S_Curve_Data!$AH$1)
)),0)/$AI$1</f>
        <v>0.24390243902439024</v>
      </c>
      <c r="AL15" s="24" cm="1">
        <f t="array" ref="AL15">IFERROR(ROWS(_xlfn._xlws.FILTER(
   DRG_Status!$A$2:$A$100000,
   (DRG_Status!$J$2:$J$100000=S_Curve_Data!AH15) *
   (DRG_Status!$B$2:$B$100000=S_Curve_Data!$AH$1)
)),0)/$AI$1</f>
        <v>3.2520325203252036E-2</v>
      </c>
      <c r="AO15" s="19">
        <v>46023</v>
      </c>
      <c r="AP15" s="24" cm="1">
        <f t="array" ref="AP15">IFERROR(ROWS(_xlfn._xlws.FILTER(
   DRG_Status!$A$2:$A$100000,
   (DRG_Status!$G$2:$G$100000=S_Curve_Data!AO15) *
   (DRG_Status!$B$2:$B$100000=S_Curve_Data!$AO$1)
)),0)/$AP$1</f>
        <v>0</v>
      </c>
      <c r="AQ15" s="24" cm="1">
        <f t="array" ref="AQ15">IFERROR(ROWS(_xlfn._xlws.FILTER(
   DRG_Status!$A$2:$A$100000,
   (DRG_Status!$H$2:$H$100000=S_Curve_Data!AO15) *
   (DRG_Status!$B$2:$B$100000=S_Curve_Data!$AO$1)
)),0)/$AP$1</f>
        <v>0</v>
      </c>
      <c r="AR15" s="24" cm="1">
        <f t="array" ref="AR15">IFERROR(ROWS(_xlfn._xlws.FILTER(
   DRG_Status!$A$2:$A$100000,
   (DRG_Status!$I$2:$I$100000=S_Curve_Data!AO15) *
   (DRG_Status!$B$2:$B$100000=S_Curve_Data!$AO$1)
)),0)/$AP$1</f>
        <v>8.4745762711864406E-3</v>
      </c>
      <c r="AS15" s="24" cm="1">
        <f t="array" ref="AS15">IFERROR(ROWS(_xlfn._xlws.FILTER(
   DRG_Status!$A$2:$A$100000,
   (DRG_Status!$J$2:$J$100000=S_Curve_Data!AO15) *
   (DRG_Status!$B$2:$B$100000=S_Curve_Data!$AO$1)
)),0)/$AP$1</f>
        <v>0</v>
      </c>
    </row>
    <row r="16" spans="1:45">
      <c r="F16" s="18">
        <f>Mappings!B15</f>
        <v>45754</v>
      </c>
      <c r="G16" s="24" cm="1">
        <f t="array" ref="G16">IFERROR(ROWS(_xlfn._xlws.FILTER(
   DRG_Status!$A$2:$A$100000,
   (DRG_Status!$C$2:$C$100000=S_Curve_Data!F16) *
   (DRG_Status!$B$2:$B$100000=S_Curve_Data!$F$1)
)),0)/$G$1</f>
        <v>5.4644808743169399E-3</v>
      </c>
      <c r="H16" s="24" cm="1">
        <f t="array" ref="H16">IFERROR(ROWS(_xlfn._xlws.FILTER(
   DRG_Status!$A$2:$A$100000,
   (DRG_Status!$D$2:$D$100000=S_Curve_Data!F16) *
   (DRG_Status!$B$2:$B$100000=S_Curve_Data!$F$1)
)),0)/$G$1</f>
        <v>4.3715846994535519E-2</v>
      </c>
      <c r="I16" s="24" cm="1">
        <f t="array" ref="I16">IFERROR(ROWS(_xlfn._xlws.FILTER(
   DRG_Status!$A$2:$A$100000,
   (DRG_Status!$E$2:$E$100000=S_Curve_Data!F16) *
   (DRG_Status!$B$2:$B$100000=S_Curve_Data!$F$1)
)),0)/$G$1</f>
        <v>2.185792349726776E-2</v>
      </c>
      <c r="J16" s="24" cm="1">
        <f t="array" ref="J16">IFERROR(ROWS(_xlfn._xlws.FILTER(
   DRG_Status!$A$2:$A$100000,
   (DRG_Status!$F$2:$F$100000=S_Curve_Data!F16) *
   (DRG_Status!$B$2:$B$100000=S_Curve_Data!$F$1)
)),0)/$G$1</f>
        <v>0</v>
      </c>
      <c r="M16" s="18">
        <f>Mappings!B15</f>
        <v>45754</v>
      </c>
      <c r="N16" s="24" cm="1">
        <f t="array" ref="N16">IFERROR(ROWS(_xlfn._xlws.FILTER(
   DRG_Status!$A$2:$A$100000,
   (DRG_Status!$C$2:$C$100000=S_Curve_Data!M16) *
   (DRG_Status!$B$2:$B$100000=S_Curve_Data!$M$1)
)),0)/$N$1</f>
        <v>5.6910569105691054E-2</v>
      </c>
      <c r="O16" s="24" cm="1">
        <f t="array" ref="O16">IFERROR(ROWS(_xlfn._xlws.FILTER(
   DRG_Status!$A$2:$A$100000,
   (DRG_Status!$D$2:$D$100000=S_Curve_Data!M16) *
   (DRG_Status!$B$2:$B$100000=S_Curve_Data!$M$1)
)),0)/$N$1</f>
        <v>4.878048780487805E-2</v>
      </c>
      <c r="P16" s="24" cm="1">
        <f t="array" ref="P16">IFERROR(ROWS(_xlfn._xlws.FILTER(
   DRG_Status!$A$2:$A$100000,
   (DRG_Status!$E$2:$E$100000=S_Curve_Data!M16) *
   (DRG_Status!$B$2:$B$100000=S_Curve_Data!$M$1)
)),0)/$N$1</f>
        <v>0</v>
      </c>
      <c r="Q16" s="24" cm="1">
        <f t="array" ref="Q16">IFERROR(ROWS(_xlfn._xlws.FILTER(
   DRG_Status!$A$2:$A$100000,
   (DRG_Status!$F$2:$F$100000=S_Curve_Data!M16) *
   (DRG_Status!$B$2:$B$100000=S_Curve_Data!$M$1)
)),0)/$N$1</f>
        <v>0</v>
      </c>
      <c r="T16" s="18">
        <f>Mappings!B15</f>
        <v>45754</v>
      </c>
      <c r="U16" s="24" cm="1">
        <f t="array" ref="U16">IFERROR(ROWS(_xlfn._xlws.FILTER(
   DRG_Status!$A$2:$A$100000,
   (DRG_Status!$C$2:$C$100000=S_Curve_Data!T16) *
   (DRG_Status!$B$2:$B$100000=S_Curve_Data!$T$1)
)),0)/$U$1</f>
        <v>0</v>
      </c>
      <c r="V16" s="24" cm="1">
        <f t="array" ref="V16">IFERROR(ROWS(_xlfn._xlws.FILTER(
   DRG_Status!$A$2:$A$100000,
   (DRG_Status!$D$2:$D$100000=S_Curve_Data!T16) *
   (DRG_Status!$B$2:$B$100000=S_Curve_Data!$T$1)
)),0)/$U$1</f>
        <v>6.3559322033898302E-2</v>
      </c>
      <c r="W16" s="24" cm="1">
        <f t="array" ref="W16">IFERROR(ROWS(_xlfn._xlws.FILTER(
   DRG_Status!$A$2:$A$100000,
   (DRG_Status!$E$2:$E$100000=S_Curve_Data!T16) *
   (DRG_Status!$B$2:$B$100000=S_Curve_Data!$T$1)
)),0)/$U$1</f>
        <v>3.8135593220338986E-2</v>
      </c>
      <c r="X16" s="24" cm="1">
        <f t="array" ref="X16">IFERROR(ROWS(_xlfn._xlws.FILTER(
   DRG_Status!$A$2:$A$100000,
   (DRG_Status!$F$2:$F$100000=S_Curve_Data!T16) *
   (DRG_Status!$B$2:$B$100000=S_Curve_Data!$T$1)
)),0)/$U$1</f>
        <v>3.3898305084745763E-2</v>
      </c>
      <c r="AA16" s="19">
        <v>46054</v>
      </c>
      <c r="AB16" s="24" cm="1">
        <f t="array" ref="AB16">IFERROR(ROWS(_xlfn._xlws.FILTER(
   DRG_Status!$A$2:$A$100000,
   (DRG_Status!$G$2:$G$100000=S_Curve_Data!AA16) *
   (DRG_Status!$B$2:$B$100000=S_Curve_Data!$AA$1)
)),0)/$AB$1</f>
        <v>0.13114754098360656</v>
      </c>
      <c r="AC16" s="24" cm="1">
        <f t="array" ref="AC16">IFERROR(ROWS(_xlfn._xlws.FILTER(
   DRG_Status!$A$2:$A$100000,
   (DRG_Status!$H$2:$H$100000=S_Curve_Data!AA16) *
   (DRG_Status!$B$2:$B$100000=S_Curve_Data!$AA$1)
)),0)/$AB$1</f>
        <v>7.650273224043716E-2</v>
      </c>
      <c r="AD16" s="24" cm="1">
        <f t="array" ref="AD16">IFERROR(ROWS(_xlfn._xlws.FILTER(
   DRG_Status!$A$2:$A$100000,
   (DRG_Status!$I$2:$I$100000=S_Curve_Data!AA16) *
   (DRG_Status!$B$2:$B$100000=S_Curve_Data!$AA$1)
)),0)/$AB$1</f>
        <v>0</v>
      </c>
      <c r="AE16" s="24" cm="1">
        <f t="array" ref="AE16">IFERROR(ROWS(_xlfn._xlws.FILTER(
   DRG_Status!$A$2:$A$100000,
   (DRG_Status!$J$2:$J$100000=S_Curve_Data!AA16) *
   (DRG_Status!$B$2:$B$100000=S_Curve_Data!$AA$1)
)),0)/$AB$1</f>
        <v>8.1967213114754092E-2</v>
      </c>
      <c r="AH16" s="19">
        <v>46054</v>
      </c>
      <c r="AI16" s="24" cm="1">
        <f t="array" ref="AI16">IFERROR(ROWS(_xlfn._xlws.FILTER(
   DRG_Status!$A$2:$A$100000,
   (DRG_Status!$G$2:$G$100000=S_Curve_Data!AH16) *
   (DRG_Status!$B$2:$B$100000=S_Curve_Data!$AH$1)
)),0)/$AI$1</f>
        <v>0</v>
      </c>
      <c r="AJ16" s="24" cm="1">
        <f t="array" ref="AJ16">IFERROR(ROWS(_xlfn._xlws.FILTER(
   DRG_Status!$A$2:$A$100000,
   (DRG_Status!$H$2:$H$100000=S_Curve_Data!AH16) *
   (DRG_Status!$B$2:$B$100000=S_Curve_Data!$AH$1)
)),0)/$AI$1</f>
        <v>0</v>
      </c>
      <c r="AK16" s="24" cm="1">
        <f t="array" ref="AK16">IFERROR(ROWS(_xlfn._xlws.FILTER(
   DRG_Status!$A$2:$A$100000,
   (DRG_Status!$I$2:$I$100000=S_Curve_Data!AH16) *
   (DRG_Status!$B$2:$B$100000=S_Curve_Data!$AH$1)
)),0)/$AI$1</f>
        <v>0</v>
      </c>
      <c r="AL16" s="24" cm="1">
        <f t="array" ref="AL16">IFERROR(ROWS(_xlfn._xlws.FILTER(
   DRG_Status!$A$2:$A$100000,
   (DRG_Status!$J$2:$J$100000=S_Curve_Data!AH16) *
   (DRG_Status!$B$2:$B$100000=S_Curve_Data!$AH$1)
)),0)/$AI$1</f>
        <v>0</v>
      </c>
      <c r="AO16" s="19">
        <v>46054</v>
      </c>
      <c r="AP16" s="24" cm="1">
        <f t="array" ref="AP16">IFERROR(ROWS(_xlfn._xlws.FILTER(
   DRG_Status!$A$2:$A$100000,
   (DRG_Status!$G$2:$G$100000=S_Curve_Data!AO16) *
   (DRG_Status!$B$2:$B$100000=S_Curve_Data!$AO$1)
)),0)/$AP$1</f>
        <v>0</v>
      </c>
      <c r="AQ16" s="24" cm="1">
        <f t="array" ref="AQ16">IFERROR(ROWS(_xlfn._xlws.FILTER(
   DRG_Status!$A$2:$A$100000,
   (DRG_Status!$H$2:$H$100000=S_Curve_Data!AO16) *
   (DRG_Status!$B$2:$B$100000=S_Curve_Data!$AO$1)
)),0)/$AP$1</f>
        <v>8.4745762711864406E-3</v>
      </c>
      <c r="AR16" s="24" cm="1">
        <f t="array" ref="AR16">IFERROR(ROWS(_xlfn._xlws.FILTER(
   DRG_Status!$A$2:$A$100000,
   (DRG_Status!$I$2:$I$100000=S_Curve_Data!AO16) *
   (DRG_Status!$B$2:$B$100000=S_Curve_Data!$AO$1)
)),0)/$AP$1</f>
        <v>0</v>
      </c>
      <c r="AS16" s="24" cm="1">
        <f t="array" ref="AS16">IFERROR(ROWS(_xlfn._xlws.FILTER(
   DRG_Status!$A$2:$A$100000,
   (DRG_Status!$J$2:$J$100000=S_Curve_Data!AO16) *
   (DRG_Status!$B$2:$B$100000=S_Curve_Data!$AO$1)
)),0)/$AP$1</f>
        <v>0.1271186440677966</v>
      </c>
    </row>
    <row r="17" spans="6:45">
      <c r="F17" s="18">
        <f>Mappings!B16</f>
        <v>45761</v>
      </c>
      <c r="G17" s="24" cm="1">
        <f t="array" ref="G17">IFERROR(ROWS(_xlfn._xlws.FILTER(
   DRG_Status!$A$2:$A$100000,
   (DRG_Status!$C$2:$C$100000=S_Curve_Data!F17) *
   (DRG_Status!$B$2:$B$100000=S_Curve_Data!$F$1)
)),0)/$G$1</f>
        <v>0</v>
      </c>
      <c r="H17" s="24" cm="1">
        <f t="array" ref="H17">IFERROR(ROWS(_xlfn._xlws.FILTER(
   DRG_Status!$A$2:$A$100000,
   (DRG_Status!$D$2:$D$100000=S_Curve_Data!F17) *
   (DRG_Status!$B$2:$B$100000=S_Curve_Data!$F$1)
)),0)/$G$1</f>
        <v>5.4644808743169399E-3</v>
      </c>
      <c r="I17" s="24" cm="1">
        <f t="array" ref="I17">IFERROR(ROWS(_xlfn._xlws.FILTER(
   DRG_Status!$A$2:$A$100000,
   (DRG_Status!$E$2:$E$100000=S_Curve_Data!F17) *
   (DRG_Status!$B$2:$B$100000=S_Curve_Data!$F$1)
)),0)/$G$1</f>
        <v>8.7431693989071038E-2</v>
      </c>
      <c r="J17" s="24" cm="1">
        <f t="array" ref="J17">IFERROR(ROWS(_xlfn._xlws.FILTER(
   DRG_Status!$A$2:$A$100000,
   (DRG_Status!$F$2:$F$100000=S_Curve_Data!F17) *
   (DRG_Status!$B$2:$B$100000=S_Curve_Data!$F$1)
)),0)/$G$1</f>
        <v>0</v>
      </c>
      <c r="M17" s="18">
        <f>Mappings!B16</f>
        <v>45761</v>
      </c>
      <c r="N17" s="24" cm="1">
        <f t="array" ref="N17">IFERROR(ROWS(_xlfn._xlws.FILTER(
   DRG_Status!$A$2:$A$100000,
   (DRG_Status!$C$2:$C$100000=S_Curve_Data!M17) *
   (DRG_Status!$B$2:$B$100000=S_Curve_Data!$M$1)
)),0)/$N$1</f>
        <v>1.6260162601626018E-2</v>
      </c>
      <c r="O17" s="24" cm="1">
        <f t="array" ref="O17">IFERROR(ROWS(_xlfn._xlws.FILTER(
   DRG_Status!$A$2:$A$100000,
   (DRG_Status!$D$2:$D$100000=S_Curve_Data!M17) *
   (DRG_Status!$B$2:$B$100000=S_Curve_Data!$M$1)
)),0)/$N$1</f>
        <v>3.2520325203252036E-2</v>
      </c>
      <c r="P17" s="24" cm="1">
        <f t="array" ref="P17">IFERROR(ROWS(_xlfn._xlws.FILTER(
   DRG_Status!$A$2:$A$100000,
   (DRG_Status!$E$2:$E$100000=S_Curve_Data!M17) *
   (DRG_Status!$B$2:$B$100000=S_Curve_Data!$M$1)
)),0)/$N$1</f>
        <v>0</v>
      </c>
      <c r="Q17" s="24" cm="1">
        <f t="array" ref="Q17">IFERROR(ROWS(_xlfn._xlws.FILTER(
   DRG_Status!$A$2:$A$100000,
   (DRG_Status!$F$2:$F$100000=S_Curve_Data!M17) *
   (DRG_Status!$B$2:$B$100000=S_Curve_Data!$M$1)
)),0)/$N$1</f>
        <v>0</v>
      </c>
      <c r="T17" s="18">
        <f>Mappings!B16</f>
        <v>45761</v>
      </c>
      <c r="U17" s="24" cm="1">
        <f t="array" ref="U17">IFERROR(ROWS(_xlfn._xlws.FILTER(
   DRG_Status!$A$2:$A$100000,
   (DRG_Status!$C$2:$C$100000=S_Curve_Data!T17) *
   (DRG_Status!$B$2:$B$100000=S_Curve_Data!$T$1)
)),0)/$U$1</f>
        <v>8.4745762711864406E-3</v>
      </c>
      <c r="V17" s="24" cm="1">
        <f t="array" ref="V17">IFERROR(ROWS(_xlfn._xlws.FILTER(
   DRG_Status!$A$2:$A$100000,
   (DRG_Status!$D$2:$D$100000=S_Curve_Data!T17) *
   (DRG_Status!$B$2:$B$100000=S_Curve_Data!$T$1)
)),0)/$U$1</f>
        <v>2.9661016949152543E-2</v>
      </c>
      <c r="W17" s="24" cm="1">
        <f t="array" ref="W17">IFERROR(ROWS(_xlfn._xlws.FILTER(
   DRG_Status!$A$2:$A$100000,
   (DRG_Status!$E$2:$E$100000=S_Curve_Data!T17) *
   (DRG_Status!$B$2:$B$100000=S_Curve_Data!$T$1)
)),0)/$U$1</f>
        <v>0.11440677966101695</v>
      </c>
      <c r="X17" s="24" cm="1">
        <f t="array" ref="X17">IFERROR(ROWS(_xlfn._xlws.FILTER(
   DRG_Status!$A$2:$A$100000,
   (DRG_Status!$F$2:$F$100000=S_Curve_Data!T17) *
   (DRG_Status!$B$2:$B$100000=S_Curve_Data!$T$1)
)),0)/$U$1</f>
        <v>8.4745762711864406E-3</v>
      </c>
      <c r="AA17" s="19">
        <v>46082</v>
      </c>
      <c r="AB17" s="24" cm="1">
        <f t="array" ref="AB17">IFERROR(ROWS(_xlfn._xlws.FILTER(
   DRG_Status!$A$2:$A$100000,
   (DRG_Status!$G$2:$G$100000=S_Curve_Data!AA17) *
   (DRG_Status!$B$2:$B$100000=S_Curve_Data!$AA$1)
)),0)/$AB$1</f>
        <v>0</v>
      </c>
      <c r="AC17" s="24" cm="1">
        <f t="array" ref="AC17">IFERROR(ROWS(_xlfn._xlws.FILTER(
   DRG_Status!$A$2:$A$100000,
   (DRG_Status!$H$2:$H$100000=S_Curve_Data!AA17) *
   (DRG_Status!$B$2:$B$100000=S_Curve_Data!$AA$1)
)),0)/$AB$1</f>
        <v>1.092896174863388E-2</v>
      </c>
      <c r="AD17" s="24" cm="1">
        <f t="array" ref="AD17">IFERROR(ROWS(_xlfn._xlws.FILTER(
   DRG_Status!$A$2:$A$100000,
   (DRG_Status!$I$2:$I$100000=S_Curve_Data!AA17) *
   (DRG_Status!$B$2:$B$100000=S_Curve_Data!$AA$1)
)),0)/$AB$1</f>
        <v>0.13114754098360656</v>
      </c>
      <c r="AE17" s="24" cm="1">
        <f t="array" ref="AE17">IFERROR(ROWS(_xlfn._xlws.FILTER(
   DRG_Status!$A$2:$A$100000,
   (DRG_Status!$J$2:$J$100000=S_Curve_Data!AA17) *
   (DRG_Status!$B$2:$B$100000=S_Curve_Data!$AA$1)
)),0)/$AB$1</f>
        <v>0</v>
      </c>
      <c r="AH17" s="19">
        <v>46082</v>
      </c>
      <c r="AI17" s="24" cm="1">
        <f t="array" ref="AI17">IFERROR(ROWS(_xlfn._xlws.FILTER(
   DRG_Status!$A$2:$A$100000,
   (DRG_Status!$G$2:$G$100000=S_Curve_Data!AH17) *
   (DRG_Status!$B$2:$B$100000=S_Curve_Data!$AH$1)
)),0)/$AI$1</f>
        <v>0</v>
      </c>
      <c r="AJ17" s="24" cm="1">
        <f t="array" ref="AJ17">IFERROR(ROWS(_xlfn._xlws.FILTER(
   DRG_Status!$A$2:$A$100000,
   (DRG_Status!$H$2:$H$100000=S_Curve_Data!AH17) *
   (DRG_Status!$B$2:$B$100000=S_Curve_Data!$AH$1)
)),0)/$AI$1</f>
        <v>4.878048780487805E-2</v>
      </c>
      <c r="AK17" s="24" cm="1">
        <f t="array" ref="AK17">IFERROR(ROWS(_xlfn._xlws.FILTER(
   DRG_Status!$A$2:$A$100000,
   (DRG_Status!$I$2:$I$100000=S_Curve_Data!AH17) *
   (DRG_Status!$B$2:$B$100000=S_Curve_Data!$AH$1)
)),0)/$AI$1</f>
        <v>0</v>
      </c>
      <c r="AL17" s="24" cm="1">
        <f t="array" ref="AL17">IFERROR(ROWS(_xlfn._xlws.FILTER(
   DRG_Status!$A$2:$A$100000,
   (DRG_Status!$J$2:$J$100000=S_Curve_Data!AH17) *
   (DRG_Status!$B$2:$B$100000=S_Curve_Data!$AH$1)
)),0)/$AI$1</f>
        <v>0</v>
      </c>
      <c r="AO17" s="19">
        <v>46082</v>
      </c>
      <c r="AP17" s="24" cm="1">
        <f t="array" ref="AP17">IFERROR(ROWS(_xlfn._xlws.FILTER(
   DRG_Status!$A$2:$A$100000,
   (DRG_Status!$G$2:$G$100000=S_Curve_Data!AO17) *
   (DRG_Status!$B$2:$B$100000=S_Curve_Data!$AO$1)
)),0)/$AP$1</f>
        <v>0</v>
      </c>
      <c r="AQ17" s="24" cm="1">
        <f t="array" ref="AQ17">IFERROR(ROWS(_xlfn._xlws.FILTER(
   DRG_Status!$A$2:$A$100000,
   (DRG_Status!$H$2:$H$100000=S_Curve_Data!AO17) *
   (DRG_Status!$B$2:$B$100000=S_Curve_Data!$AO$1)
)),0)/$AP$1</f>
        <v>1.6949152542372881E-2</v>
      </c>
      <c r="AR17" s="24" cm="1">
        <f t="array" ref="AR17">IFERROR(ROWS(_xlfn._xlws.FILTER(
   DRG_Status!$A$2:$A$100000,
   (DRG_Status!$I$2:$I$100000=S_Curve_Data!AO17) *
   (DRG_Status!$B$2:$B$100000=S_Curve_Data!$AO$1)
)),0)/$AP$1</f>
        <v>0</v>
      </c>
      <c r="AS17" s="24" cm="1">
        <f t="array" ref="AS17">IFERROR(ROWS(_xlfn._xlws.FILTER(
   DRG_Status!$A$2:$A$100000,
   (DRG_Status!$J$2:$J$100000=S_Curve_Data!AO17) *
   (DRG_Status!$B$2:$B$100000=S_Curve_Data!$AO$1)
)),0)/$AP$1</f>
        <v>1.2711864406779662E-2</v>
      </c>
    </row>
    <row r="18" spans="6:45">
      <c r="F18" s="18">
        <f>Mappings!B17</f>
        <v>45768</v>
      </c>
      <c r="G18" s="24" cm="1">
        <f t="array" ref="G18">IFERROR(ROWS(_xlfn._xlws.FILTER(
   DRG_Status!$A$2:$A$100000,
   (DRG_Status!$C$2:$C$100000=S_Curve_Data!F18) *
   (DRG_Status!$B$2:$B$100000=S_Curve_Data!$F$1)
)),0)/$G$1</f>
        <v>0</v>
      </c>
      <c r="H18" s="24" cm="1">
        <f t="array" ref="H18">IFERROR(ROWS(_xlfn._xlws.FILTER(
   DRG_Status!$A$2:$A$100000,
   (DRG_Status!$D$2:$D$100000=S_Curve_Data!F18) *
   (DRG_Status!$B$2:$B$100000=S_Curve_Data!$F$1)
)),0)/$G$1</f>
        <v>0</v>
      </c>
      <c r="I18" s="24" cm="1">
        <f t="array" ref="I18">IFERROR(ROWS(_xlfn._xlws.FILTER(
   DRG_Status!$A$2:$A$100000,
   (DRG_Status!$E$2:$E$100000=S_Curve_Data!F18) *
   (DRG_Status!$B$2:$B$100000=S_Curve_Data!$F$1)
)),0)/$G$1</f>
        <v>2.185792349726776E-2</v>
      </c>
      <c r="J18" s="24" cm="1">
        <f t="array" ref="J18">IFERROR(ROWS(_xlfn._xlws.FILTER(
   DRG_Status!$A$2:$A$100000,
   (DRG_Status!$F$2:$F$100000=S_Curve_Data!F18) *
   (DRG_Status!$B$2:$B$100000=S_Curve_Data!$F$1)
)),0)/$G$1</f>
        <v>1.6393442622950821E-2</v>
      </c>
      <c r="M18" s="18">
        <f>Mappings!B17</f>
        <v>45768</v>
      </c>
      <c r="N18" s="24" cm="1">
        <f t="array" ref="N18">IFERROR(ROWS(_xlfn._xlws.FILTER(
   DRG_Status!$A$2:$A$100000,
   (DRG_Status!$C$2:$C$100000=S_Curve_Data!M18) *
   (DRG_Status!$B$2:$B$100000=S_Curve_Data!$M$1)
)),0)/$N$1</f>
        <v>0</v>
      </c>
      <c r="O18" s="24" cm="1">
        <f t="array" ref="O18">IFERROR(ROWS(_xlfn._xlws.FILTER(
   DRG_Status!$A$2:$A$100000,
   (DRG_Status!$D$2:$D$100000=S_Curve_Data!M18) *
   (DRG_Status!$B$2:$B$100000=S_Curve_Data!$M$1)
)),0)/$N$1</f>
        <v>0</v>
      </c>
      <c r="P18" s="24" cm="1">
        <f t="array" ref="P18">IFERROR(ROWS(_xlfn._xlws.FILTER(
   DRG_Status!$A$2:$A$100000,
   (DRG_Status!$E$2:$E$100000=S_Curve_Data!M18) *
   (DRG_Status!$B$2:$B$100000=S_Curve_Data!$M$1)
)),0)/$N$1</f>
        <v>0</v>
      </c>
      <c r="Q18" s="24" cm="1">
        <f t="array" ref="Q18">IFERROR(ROWS(_xlfn._xlws.FILTER(
   DRG_Status!$A$2:$A$100000,
   (DRG_Status!$F$2:$F$100000=S_Curve_Data!M18) *
   (DRG_Status!$B$2:$B$100000=S_Curve_Data!$M$1)
)),0)/$N$1</f>
        <v>0</v>
      </c>
      <c r="T18" s="18">
        <f>Mappings!B17</f>
        <v>45768</v>
      </c>
      <c r="U18" s="24" cm="1">
        <f t="array" ref="U18">IFERROR(ROWS(_xlfn._xlws.FILTER(
   DRG_Status!$A$2:$A$100000,
   (DRG_Status!$C$2:$C$100000=S_Curve_Data!T18) *
   (DRG_Status!$B$2:$B$100000=S_Curve_Data!$T$1)
)),0)/$U$1</f>
        <v>0</v>
      </c>
      <c r="V18" s="24" cm="1">
        <f t="array" ref="V18">IFERROR(ROWS(_xlfn._xlws.FILTER(
   DRG_Status!$A$2:$A$100000,
   (DRG_Status!$D$2:$D$100000=S_Curve_Data!T18) *
   (DRG_Status!$B$2:$B$100000=S_Curve_Data!$T$1)
)),0)/$U$1</f>
        <v>0</v>
      </c>
      <c r="W18" s="24" cm="1">
        <f t="array" ref="W18">IFERROR(ROWS(_xlfn._xlws.FILTER(
   DRG_Status!$A$2:$A$100000,
   (DRG_Status!$E$2:$E$100000=S_Curve_Data!T18) *
   (DRG_Status!$B$2:$B$100000=S_Curve_Data!$T$1)
)),0)/$U$1</f>
        <v>4.2372881355932202E-2</v>
      </c>
      <c r="X18" s="24" cm="1">
        <f t="array" ref="X18">IFERROR(ROWS(_xlfn._xlws.FILTER(
   DRG_Status!$A$2:$A$100000,
   (DRG_Status!$F$2:$F$100000=S_Curve_Data!T18) *
   (DRG_Status!$B$2:$B$100000=S_Curve_Data!$T$1)
)),0)/$U$1</f>
        <v>0</v>
      </c>
      <c r="AA18" s="19">
        <v>46113</v>
      </c>
      <c r="AB18" s="24" cm="1">
        <f t="array" ref="AB18">IFERROR(ROWS(_xlfn._xlws.FILTER(
   DRG_Status!$A$2:$A$100000,
   (DRG_Status!$G$2:$G$100000=S_Curve_Data!AA18) *
   (DRG_Status!$B$2:$B$100000=S_Curve_Data!$AA$1)
)),0)/$AB$1</f>
        <v>0</v>
      </c>
      <c r="AC18" s="24" cm="1">
        <f t="array" ref="AC18">IFERROR(ROWS(_xlfn._xlws.FILTER(
   DRG_Status!$A$2:$A$100000,
   (DRG_Status!$H$2:$H$100000=S_Curve_Data!AA18) *
   (DRG_Status!$B$2:$B$100000=S_Curve_Data!$AA$1)
)),0)/$AB$1</f>
        <v>1.6393442622950821E-2</v>
      </c>
      <c r="AD18" s="24" cm="1">
        <f t="array" ref="AD18">IFERROR(ROWS(_xlfn._xlws.FILTER(
   DRG_Status!$A$2:$A$100000,
   (DRG_Status!$I$2:$I$100000=S_Curve_Data!AA18) *
   (DRG_Status!$B$2:$B$100000=S_Curve_Data!$AA$1)
)),0)/$AB$1</f>
        <v>0</v>
      </c>
      <c r="AE18" s="24" cm="1">
        <f t="array" ref="AE18">IFERROR(ROWS(_xlfn._xlws.FILTER(
   DRG_Status!$A$2:$A$100000,
   (DRG_Status!$J$2:$J$100000=S_Curve_Data!AA18) *
   (DRG_Status!$B$2:$B$100000=S_Curve_Data!$AA$1)
)),0)/$AB$1</f>
        <v>7.1038251366120214E-2</v>
      </c>
      <c r="AH18" s="19">
        <v>46113</v>
      </c>
      <c r="AI18" s="24" cm="1">
        <f t="array" ref="AI18">IFERROR(ROWS(_xlfn._xlws.FILTER(
   DRG_Status!$A$2:$A$100000,
   (DRG_Status!$G$2:$G$100000=S_Curve_Data!AH18) *
   (DRG_Status!$B$2:$B$100000=S_Curve_Data!$AH$1)
)),0)/$AI$1</f>
        <v>0</v>
      </c>
      <c r="AJ18" s="24" cm="1">
        <f t="array" ref="AJ18">IFERROR(ROWS(_xlfn._xlws.FILTER(
   DRG_Status!$A$2:$A$100000,
   (DRG_Status!$H$2:$H$100000=S_Curve_Data!AH18) *
   (DRG_Status!$B$2:$B$100000=S_Curve_Data!$AH$1)
)),0)/$AI$1</f>
        <v>8.130081300813009E-3</v>
      </c>
      <c r="AK18" s="24" cm="1">
        <f t="array" ref="AK18">IFERROR(ROWS(_xlfn._xlws.FILTER(
   DRG_Status!$A$2:$A$100000,
   (DRG_Status!$I$2:$I$100000=S_Curve_Data!AH18) *
   (DRG_Status!$B$2:$B$100000=S_Curve_Data!$AH$1)
)),0)/$AI$1</f>
        <v>0</v>
      </c>
      <c r="AL18" s="24" cm="1">
        <f t="array" ref="AL18">IFERROR(ROWS(_xlfn._xlws.FILTER(
   DRG_Status!$A$2:$A$100000,
   (DRG_Status!$J$2:$J$100000=S_Curve_Data!AH18) *
   (DRG_Status!$B$2:$B$100000=S_Curve_Data!$AH$1)
)),0)/$AI$1</f>
        <v>8.943089430894309E-2</v>
      </c>
      <c r="AO18" s="19">
        <v>46113</v>
      </c>
      <c r="AP18" s="24" cm="1">
        <f t="array" ref="AP18">IFERROR(ROWS(_xlfn._xlws.FILTER(
   DRG_Status!$A$2:$A$100000,
   (DRG_Status!$G$2:$G$100000=S_Curve_Data!AO18) *
   (DRG_Status!$B$2:$B$100000=S_Curve_Data!$AO$1)
)),0)/$AP$1</f>
        <v>0</v>
      </c>
      <c r="AQ18" s="24" cm="1">
        <f t="array" ref="AQ18">IFERROR(ROWS(_xlfn._xlws.FILTER(
   DRG_Status!$A$2:$A$100000,
   (DRG_Status!$H$2:$H$100000=S_Curve_Data!AO18) *
   (DRG_Status!$B$2:$B$100000=S_Curve_Data!$AO$1)
)),0)/$AP$1</f>
        <v>4.2372881355932203E-3</v>
      </c>
      <c r="AR18" s="24" cm="1">
        <f t="array" ref="AR18">IFERROR(ROWS(_xlfn._xlws.FILTER(
   DRG_Status!$A$2:$A$100000,
   (DRG_Status!$I$2:$I$100000=S_Curve_Data!AO18) *
   (DRG_Status!$B$2:$B$100000=S_Curve_Data!$AO$1)
)),0)/$AP$1</f>
        <v>0</v>
      </c>
      <c r="AS18" s="24" cm="1">
        <f t="array" ref="AS18">IFERROR(ROWS(_xlfn._xlws.FILTER(
   DRG_Status!$A$2:$A$100000,
   (DRG_Status!$J$2:$J$100000=S_Curve_Data!AO18) *
   (DRG_Status!$B$2:$B$100000=S_Curve_Data!$AO$1)
)),0)/$AP$1</f>
        <v>1.6949152542372881E-2</v>
      </c>
    </row>
    <row r="19" spans="6:45">
      <c r="F19" s="18">
        <f>Mappings!B18</f>
        <v>45775</v>
      </c>
      <c r="G19" s="24" cm="1">
        <f t="array" ref="G19">IFERROR(ROWS(_xlfn._xlws.FILTER(
   DRG_Status!$A$2:$A$100000,
   (DRG_Status!$C$2:$C$100000=S_Curve_Data!F19) *
   (DRG_Status!$B$2:$B$100000=S_Curve_Data!$F$1)
)),0)/$G$1</f>
        <v>0</v>
      </c>
      <c r="H19" s="24" cm="1">
        <f t="array" ref="H19">IFERROR(ROWS(_xlfn._xlws.FILTER(
   DRG_Status!$A$2:$A$100000,
   (DRG_Status!$D$2:$D$100000=S_Curve_Data!F19) *
   (DRG_Status!$B$2:$B$100000=S_Curve_Data!$F$1)
)),0)/$G$1</f>
        <v>5.4644808743169399E-3</v>
      </c>
      <c r="I19" s="24" cm="1">
        <f t="array" ref="I19">IFERROR(ROWS(_xlfn._xlws.FILTER(
   DRG_Status!$A$2:$A$100000,
   (DRG_Status!$E$2:$E$100000=S_Curve_Data!F19) *
   (DRG_Status!$B$2:$B$100000=S_Curve_Data!$F$1)
)),0)/$G$1</f>
        <v>2.185792349726776E-2</v>
      </c>
      <c r="J19" s="24" cm="1">
        <f t="array" ref="J19">IFERROR(ROWS(_xlfn._xlws.FILTER(
   DRG_Status!$A$2:$A$100000,
   (DRG_Status!$F$2:$F$100000=S_Curve_Data!F19) *
   (DRG_Status!$B$2:$B$100000=S_Curve_Data!$F$1)
)),0)/$G$1</f>
        <v>0</v>
      </c>
      <c r="M19" s="18">
        <f>Mappings!B18</f>
        <v>45775</v>
      </c>
      <c r="N19" s="24" cm="1">
        <f t="array" ref="N19">IFERROR(ROWS(_xlfn._xlws.FILTER(
   DRG_Status!$A$2:$A$100000,
   (DRG_Status!$C$2:$C$100000=S_Curve_Data!M19) *
   (DRG_Status!$B$2:$B$100000=S_Curve_Data!$M$1)
)),0)/$N$1</f>
        <v>0</v>
      </c>
      <c r="O19" s="24" cm="1">
        <f t="array" ref="O19">IFERROR(ROWS(_xlfn._xlws.FILTER(
   DRG_Status!$A$2:$A$100000,
   (DRG_Status!$D$2:$D$100000=S_Curve_Data!M19) *
   (DRG_Status!$B$2:$B$100000=S_Curve_Data!$M$1)
)),0)/$N$1</f>
        <v>0</v>
      </c>
      <c r="P19" s="24" cm="1">
        <f t="array" ref="P19">IFERROR(ROWS(_xlfn._xlws.FILTER(
   DRG_Status!$A$2:$A$100000,
   (DRG_Status!$E$2:$E$100000=S_Curve_Data!M19) *
   (DRG_Status!$B$2:$B$100000=S_Curve_Data!$M$1)
)),0)/$N$1</f>
        <v>4.065040650406504E-2</v>
      </c>
      <c r="Q19" s="24" cm="1">
        <f t="array" ref="Q19">IFERROR(ROWS(_xlfn._xlws.FILTER(
   DRG_Status!$A$2:$A$100000,
   (DRG_Status!$F$2:$F$100000=S_Curve_Data!M19) *
   (DRG_Status!$B$2:$B$100000=S_Curve_Data!$M$1)
)),0)/$N$1</f>
        <v>1.6260162601626018E-2</v>
      </c>
      <c r="T19" s="18">
        <f>Mappings!B18</f>
        <v>45775</v>
      </c>
      <c r="U19" s="24" cm="1">
        <f t="array" ref="U19">IFERROR(ROWS(_xlfn._xlws.FILTER(
   DRG_Status!$A$2:$A$100000,
   (DRG_Status!$C$2:$C$100000=S_Curve_Data!T19) *
   (DRG_Status!$B$2:$B$100000=S_Curve_Data!$T$1)
)),0)/$U$1</f>
        <v>4.2372881355932203E-3</v>
      </c>
      <c r="V19" s="24" cm="1">
        <f t="array" ref="V19">IFERROR(ROWS(_xlfn._xlws.FILTER(
   DRG_Status!$A$2:$A$100000,
   (DRG_Status!$D$2:$D$100000=S_Curve_Data!T19) *
   (DRG_Status!$B$2:$B$100000=S_Curve_Data!$T$1)
)),0)/$U$1</f>
        <v>0</v>
      </c>
      <c r="W19" s="24" cm="1">
        <f t="array" ref="W19">IFERROR(ROWS(_xlfn._xlws.FILTER(
   DRG_Status!$A$2:$A$100000,
   (DRG_Status!$E$2:$E$100000=S_Curve_Data!T19) *
   (DRG_Status!$B$2:$B$100000=S_Curve_Data!$T$1)
)),0)/$U$1</f>
        <v>0</v>
      </c>
      <c r="X19" s="24" cm="1">
        <f t="array" ref="X19">IFERROR(ROWS(_xlfn._xlws.FILTER(
   DRG_Status!$A$2:$A$100000,
   (DRG_Status!$F$2:$F$100000=S_Curve_Data!T19) *
   (DRG_Status!$B$2:$B$100000=S_Curve_Data!$T$1)
)),0)/$U$1</f>
        <v>0</v>
      </c>
      <c r="AA19" s="19">
        <v>46143</v>
      </c>
      <c r="AB19" s="24" cm="1">
        <f t="array" ref="AB19">IFERROR(ROWS(_xlfn._xlws.FILTER(
   DRG_Status!$A$2:$A$100000,
   (DRG_Status!$G$2:$G$100000=S_Curve_Data!AA19) *
   (DRG_Status!$B$2:$B$100000=S_Curve_Data!$AA$1)
)),0)/$AB$1</f>
        <v>0</v>
      </c>
      <c r="AC19" s="24" cm="1">
        <f t="array" ref="AC19">IFERROR(ROWS(_xlfn._xlws.FILTER(
   DRG_Status!$A$2:$A$100000,
   (DRG_Status!$H$2:$H$100000=S_Curve_Data!AA19) *
   (DRG_Status!$B$2:$B$100000=S_Curve_Data!$AA$1)
)),0)/$AB$1</f>
        <v>0</v>
      </c>
      <c r="AD19" s="24" cm="1">
        <f t="array" ref="AD19">IFERROR(ROWS(_xlfn._xlws.FILTER(
   DRG_Status!$A$2:$A$100000,
   (DRG_Status!$I$2:$I$100000=S_Curve_Data!AA19) *
   (DRG_Status!$B$2:$B$100000=S_Curve_Data!$AA$1)
)),0)/$AB$1</f>
        <v>0</v>
      </c>
      <c r="AE19" s="24" cm="1">
        <f t="array" ref="AE19">IFERROR(ROWS(_xlfn._xlws.FILTER(
   DRG_Status!$A$2:$A$100000,
   (DRG_Status!$J$2:$J$100000=S_Curve_Data!AA19) *
   (DRG_Status!$B$2:$B$100000=S_Curve_Data!$AA$1)
)),0)/$AB$1</f>
        <v>4.3715846994535519E-2</v>
      </c>
      <c r="AH19" s="19">
        <v>46143</v>
      </c>
      <c r="AI19" s="24" cm="1">
        <f t="array" ref="AI19">IFERROR(ROWS(_xlfn._xlws.FILTER(
   DRG_Status!$A$2:$A$100000,
   (DRG_Status!$G$2:$G$100000=S_Curve_Data!AH19) *
   (DRG_Status!$B$2:$B$100000=S_Curve_Data!$AH$1)
)),0)/$AI$1</f>
        <v>0</v>
      </c>
      <c r="AJ19" s="24" cm="1">
        <f t="array" ref="AJ19">IFERROR(ROWS(_xlfn._xlws.FILTER(
   DRG_Status!$A$2:$A$100000,
   (DRG_Status!$H$2:$H$100000=S_Curve_Data!AH19) *
   (DRG_Status!$B$2:$B$100000=S_Curve_Data!$AH$1)
)),0)/$AI$1</f>
        <v>0</v>
      </c>
      <c r="AK19" s="24" cm="1">
        <f t="array" ref="AK19">IFERROR(ROWS(_xlfn._xlws.FILTER(
   DRG_Status!$A$2:$A$100000,
   (DRG_Status!$I$2:$I$100000=S_Curve_Data!AH19) *
   (DRG_Status!$B$2:$B$100000=S_Curve_Data!$AH$1)
)),0)/$AI$1</f>
        <v>0</v>
      </c>
      <c r="AL19" s="24" cm="1">
        <f t="array" ref="AL19">IFERROR(ROWS(_xlfn._xlws.FILTER(
   DRG_Status!$A$2:$A$100000,
   (DRG_Status!$J$2:$J$100000=S_Curve_Data!AH19) *
   (DRG_Status!$B$2:$B$100000=S_Curve_Data!$AH$1)
)),0)/$AI$1</f>
        <v>1.6260162601626018E-2</v>
      </c>
      <c r="AO19" s="19">
        <v>46143</v>
      </c>
      <c r="AP19" s="24" cm="1">
        <f t="array" ref="AP19">IFERROR(ROWS(_xlfn._xlws.FILTER(
   DRG_Status!$A$2:$A$100000,
   (DRG_Status!$G$2:$G$100000=S_Curve_Data!AO19) *
   (DRG_Status!$B$2:$B$100000=S_Curve_Data!$AO$1)
)),0)/$AP$1</f>
        <v>0</v>
      </c>
      <c r="AQ19" s="24" cm="1">
        <f t="array" ref="AQ19">IFERROR(ROWS(_xlfn._xlws.FILTER(
   DRG_Status!$A$2:$A$100000,
   (DRG_Status!$H$2:$H$100000=S_Curve_Data!AO19) *
   (DRG_Status!$B$2:$B$100000=S_Curve_Data!$AO$1)
)),0)/$AP$1</f>
        <v>0</v>
      </c>
      <c r="AR19" s="24" cm="1">
        <f t="array" ref="AR19">IFERROR(ROWS(_xlfn._xlws.FILTER(
   DRG_Status!$A$2:$A$100000,
   (DRG_Status!$I$2:$I$100000=S_Curve_Data!AO19) *
   (DRG_Status!$B$2:$B$100000=S_Curve_Data!$AO$1)
)),0)/$AP$1</f>
        <v>0</v>
      </c>
      <c r="AS19" s="24" cm="1">
        <f t="array" ref="AS19">IFERROR(ROWS(_xlfn._xlws.FILTER(
   DRG_Status!$A$2:$A$100000,
   (DRG_Status!$J$2:$J$100000=S_Curve_Data!AO19) *
   (DRG_Status!$B$2:$B$100000=S_Curve_Data!$AO$1)
)),0)/$AP$1</f>
        <v>0</v>
      </c>
    </row>
    <row r="20" spans="6:45">
      <c r="F20" s="18">
        <f>Mappings!B19</f>
        <v>45782</v>
      </c>
      <c r="G20" s="24" cm="1">
        <f t="array" ref="G20">IFERROR(ROWS(_xlfn._xlws.FILTER(
   DRG_Status!$A$2:$A$100000,
   (DRG_Status!$C$2:$C$100000=S_Curve_Data!F20) *
   (DRG_Status!$B$2:$B$100000=S_Curve_Data!$F$1)
)),0)/$G$1</f>
        <v>0</v>
      </c>
      <c r="H20" s="24" cm="1">
        <f t="array" ref="H20">IFERROR(ROWS(_xlfn._xlws.FILTER(
   DRG_Status!$A$2:$A$100000,
   (DRG_Status!$D$2:$D$100000=S_Curve_Data!F20) *
   (DRG_Status!$B$2:$B$100000=S_Curve_Data!$F$1)
)),0)/$G$1</f>
        <v>0</v>
      </c>
      <c r="I20" s="24" cm="1">
        <f t="array" ref="I20">IFERROR(ROWS(_xlfn._xlws.FILTER(
   DRG_Status!$A$2:$A$100000,
   (DRG_Status!$E$2:$E$100000=S_Curve_Data!F20) *
   (DRG_Status!$B$2:$B$100000=S_Curve_Data!$F$1)
)),0)/$G$1</f>
        <v>5.4644808743169399E-3</v>
      </c>
      <c r="J20" s="24" cm="1">
        <f t="array" ref="J20">IFERROR(ROWS(_xlfn._xlws.FILTER(
   DRG_Status!$A$2:$A$100000,
   (DRG_Status!$F$2:$F$100000=S_Curve_Data!F20) *
   (DRG_Status!$B$2:$B$100000=S_Curve_Data!$F$1)
)),0)/$G$1</f>
        <v>0</v>
      </c>
      <c r="M20" s="18">
        <f>Mappings!B19</f>
        <v>45782</v>
      </c>
      <c r="N20" s="24" cm="1">
        <f t="array" ref="N20">IFERROR(ROWS(_xlfn._xlws.FILTER(
   DRG_Status!$A$2:$A$100000,
   (DRG_Status!$C$2:$C$100000=S_Curve_Data!M20) *
   (DRG_Status!$B$2:$B$100000=S_Curve_Data!$M$1)
)),0)/$N$1</f>
        <v>4.878048780487805E-2</v>
      </c>
      <c r="O20" s="24" cm="1">
        <f t="array" ref="O20">IFERROR(ROWS(_xlfn._xlws.FILTER(
   DRG_Status!$A$2:$A$100000,
   (DRG_Status!$D$2:$D$100000=S_Curve_Data!M20) *
   (DRG_Status!$B$2:$B$100000=S_Curve_Data!$M$1)
)),0)/$N$1</f>
        <v>0</v>
      </c>
      <c r="P20" s="24" cm="1">
        <f t="array" ref="P20">IFERROR(ROWS(_xlfn._xlws.FILTER(
   DRG_Status!$A$2:$A$100000,
   (DRG_Status!$E$2:$E$100000=S_Curve_Data!M20) *
   (DRG_Status!$B$2:$B$100000=S_Curve_Data!$M$1)
)),0)/$N$1</f>
        <v>5.6910569105691054E-2</v>
      </c>
      <c r="Q20" s="24" cm="1">
        <f t="array" ref="Q20">IFERROR(ROWS(_xlfn._xlws.FILTER(
   DRG_Status!$A$2:$A$100000,
   (DRG_Status!$F$2:$F$100000=S_Curve_Data!M20) *
   (DRG_Status!$B$2:$B$100000=S_Curve_Data!$M$1)
)),0)/$N$1</f>
        <v>0</v>
      </c>
      <c r="T20" s="18">
        <f>Mappings!B19</f>
        <v>45782</v>
      </c>
      <c r="U20" s="24" cm="1">
        <f t="array" ref="U20">IFERROR(ROWS(_xlfn._xlws.FILTER(
   DRG_Status!$A$2:$A$100000,
   (DRG_Status!$C$2:$C$100000=S_Curve_Data!T20) *
   (DRG_Status!$B$2:$B$100000=S_Curve_Data!$T$1)
)),0)/$U$1</f>
        <v>0</v>
      </c>
      <c r="V20" s="24" cm="1">
        <f t="array" ref="V20">IFERROR(ROWS(_xlfn._xlws.FILTER(
   DRG_Status!$A$2:$A$100000,
   (DRG_Status!$D$2:$D$100000=S_Curve_Data!T20) *
   (DRG_Status!$B$2:$B$100000=S_Curve_Data!$T$1)
)),0)/$U$1</f>
        <v>0</v>
      </c>
      <c r="W20" s="24" cm="1">
        <f t="array" ref="W20">IFERROR(ROWS(_xlfn._xlws.FILTER(
   DRG_Status!$A$2:$A$100000,
   (DRG_Status!$E$2:$E$100000=S_Curve_Data!T20) *
   (DRG_Status!$B$2:$B$100000=S_Curve_Data!$T$1)
)),0)/$U$1</f>
        <v>4.2372881355932203E-3</v>
      </c>
      <c r="X20" s="24" cm="1">
        <f t="array" ref="X20">IFERROR(ROWS(_xlfn._xlws.FILTER(
   DRG_Status!$A$2:$A$100000,
   (DRG_Status!$F$2:$F$100000=S_Curve_Data!T20) *
   (DRG_Status!$B$2:$B$100000=S_Curve_Data!$T$1)
)),0)/$U$1</f>
        <v>0</v>
      </c>
      <c r="AA20" s="19">
        <v>46174</v>
      </c>
      <c r="AB20" s="24" cm="1">
        <f t="array" ref="AB20">IFERROR(ROWS(_xlfn._xlws.FILTER(
   DRG_Status!$A$2:$A$100000,
   (DRG_Status!$G$2:$G$100000=S_Curve_Data!AA20) *
   (DRG_Status!$B$2:$B$100000=S_Curve_Data!$AA$1)
)),0)/$AB$1</f>
        <v>0</v>
      </c>
      <c r="AC20" s="24" cm="1">
        <f t="array" ref="AC20">IFERROR(ROWS(_xlfn._xlws.FILTER(
   DRG_Status!$A$2:$A$100000,
   (DRG_Status!$H$2:$H$100000=S_Curve_Data!AA20) *
   (DRG_Status!$B$2:$B$100000=S_Curve_Data!$AA$1)
)),0)/$AB$1</f>
        <v>0</v>
      </c>
      <c r="AD20" s="24" cm="1">
        <f t="array" ref="AD20">IFERROR(ROWS(_xlfn._xlws.FILTER(
   DRG_Status!$A$2:$A$100000,
   (DRG_Status!$I$2:$I$100000=S_Curve_Data!AA20) *
   (DRG_Status!$B$2:$B$100000=S_Curve_Data!$AA$1)
)),0)/$AB$1</f>
        <v>0</v>
      </c>
      <c r="AE20" s="24" cm="1">
        <f t="array" ref="AE20">IFERROR(ROWS(_xlfn._xlws.FILTER(
   DRG_Status!$A$2:$A$100000,
   (DRG_Status!$J$2:$J$100000=S_Curve_Data!AA20) *
   (DRG_Status!$B$2:$B$100000=S_Curve_Data!$AA$1)
)),0)/$AB$1</f>
        <v>0</v>
      </c>
      <c r="AH20" s="19">
        <v>46174</v>
      </c>
      <c r="AI20" s="24" cm="1">
        <f t="array" ref="AI20">IFERROR(ROWS(_xlfn._xlws.FILTER(
   DRG_Status!$A$2:$A$100000,
   (DRG_Status!$G$2:$G$100000=S_Curve_Data!AH20) *
   (DRG_Status!$B$2:$B$100000=S_Curve_Data!$AH$1)
)),0)/$AI$1</f>
        <v>0</v>
      </c>
      <c r="AJ20" s="24" cm="1">
        <f t="array" ref="AJ20">IFERROR(ROWS(_xlfn._xlws.FILTER(
   DRG_Status!$A$2:$A$100000,
   (DRG_Status!$H$2:$H$100000=S_Curve_Data!AH20) *
   (DRG_Status!$B$2:$B$100000=S_Curve_Data!$AH$1)
)),0)/$AI$1</f>
        <v>0</v>
      </c>
      <c r="AK20" s="24" cm="1">
        <f t="array" ref="AK20">IFERROR(ROWS(_xlfn._xlws.FILTER(
   DRG_Status!$A$2:$A$100000,
   (DRG_Status!$I$2:$I$100000=S_Curve_Data!AH20) *
   (DRG_Status!$B$2:$B$100000=S_Curve_Data!$AH$1)
)),0)/$AI$1</f>
        <v>0</v>
      </c>
      <c r="AL20" s="24" cm="1">
        <f t="array" ref="AL20">IFERROR(ROWS(_xlfn._xlws.FILTER(
   DRG_Status!$A$2:$A$100000,
   (DRG_Status!$J$2:$J$100000=S_Curve_Data!AH20) *
   (DRG_Status!$B$2:$B$100000=S_Curve_Data!$AH$1)
)),0)/$AI$1</f>
        <v>0</v>
      </c>
      <c r="AO20" s="19">
        <v>46174</v>
      </c>
      <c r="AP20" s="24" cm="1">
        <f t="array" ref="AP20">IFERROR(ROWS(_xlfn._xlws.FILTER(
   DRG_Status!$A$2:$A$100000,
   (DRG_Status!$G$2:$G$100000=S_Curve_Data!AO20) *
   (DRG_Status!$B$2:$B$100000=S_Curve_Data!$AO$1)
)),0)/$AP$1</f>
        <v>0</v>
      </c>
      <c r="AQ20" s="24" cm="1">
        <f t="array" ref="AQ20">IFERROR(ROWS(_xlfn._xlws.FILTER(
   DRG_Status!$A$2:$A$100000,
   (DRG_Status!$H$2:$H$100000=S_Curve_Data!AO20) *
   (DRG_Status!$B$2:$B$100000=S_Curve_Data!$AO$1)
)),0)/$AP$1</f>
        <v>0</v>
      </c>
      <c r="AR20" s="24" cm="1">
        <f t="array" ref="AR20">IFERROR(ROWS(_xlfn._xlws.FILTER(
   DRG_Status!$A$2:$A$100000,
   (DRG_Status!$I$2:$I$100000=S_Curve_Data!AO20) *
   (DRG_Status!$B$2:$B$100000=S_Curve_Data!$AO$1)
)),0)/$AP$1</f>
        <v>0</v>
      </c>
      <c r="AS20" s="24" cm="1">
        <f t="array" ref="AS20">IFERROR(ROWS(_xlfn._xlws.FILTER(
   DRG_Status!$A$2:$A$100000,
   (DRG_Status!$J$2:$J$100000=S_Curve_Data!AO20) *
   (DRG_Status!$B$2:$B$100000=S_Curve_Data!$AO$1)
)),0)/$AP$1</f>
        <v>0</v>
      </c>
    </row>
    <row r="21" spans="6:45">
      <c r="F21" s="18">
        <f>Mappings!B20</f>
        <v>45789</v>
      </c>
      <c r="G21" s="24" cm="1">
        <f t="array" ref="G21">IFERROR(ROWS(_xlfn._xlws.FILTER(
   DRG_Status!$A$2:$A$100000,
   (DRG_Status!$C$2:$C$100000=S_Curve_Data!F21) *
   (DRG_Status!$B$2:$B$100000=S_Curve_Data!$F$1)
)),0)/$G$1</f>
        <v>3.825136612021858E-2</v>
      </c>
      <c r="H21" s="24" cm="1">
        <f t="array" ref="H21">IFERROR(ROWS(_xlfn._xlws.FILTER(
   DRG_Status!$A$2:$A$100000,
   (DRG_Status!$D$2:$D$100000=S_Curve_Data!F21) *
   (DRG_Status!$B$2:$B$100000=S_Curve_Data!$F$1)
)),0)/$G$1</f>
        <v>0</v>
      </c>
      <c r="I21" s="24" cm="1">
        <f t="array" ref="I21">IFERROR(ROWS(_xlfn._xlws.FILTER(
   DRG_Status!$A$2:$A$100000,
   (DRG_Status!$E$2:$E$100000=S_Curve_Data!F21) *
   (DRG_Status!$B$2:$B$100000=S_Curve_Data!$F$1)
)),0)/$G$1</f>
        <v>0</v>
      </c>
      <c r="J21" s="24" cm="1">
        <f t="array" ref="J21">IFERROR(ROWS(_xlfn._xlws.FILTER(
   DRG_Status!$A$2:$A$100000,
   (DRG_Status!$F$2:$F$100000=S_Curve_Data!F21) *
   (DRG_Status!$B$2:$B$100000=S_Curve_Data!$F$1)
)),0)/$G$1</f>
        <v>5.4644808743169399E-3</v>
      </c>
      <c r="M21" s="18">
        <f>Mappings!B20</f>
        <v>45789</v>
      </c>
      <c r="N21" s="24" cm="1">
        <f t="array" ref="N21">IFERROR(ROWS(_xlfn._xlws.FILTER(
   DRG_Status!$A$2:$A$100000,
   (DRG_Status!$C$2:$C$100000=S_Curve_Data!M21) *
   (DRG_Status!$B$2:$B$100000=S_Curve_Data!$M$1)
)),0)/$N$1</f>
        <v>3.2520325203252036E-2</v>
      </c>
      <c r="O21" s="24" cm="1">
        <f t="array" ref="O21">IFERROR(ROWS(_xlfn._xlws.FILTER(
   DRG_Status!$A$2:$A$100000,
   (DRG_Status!$D$2:$D$100000=S_Curve_Data!M21) *
   (DRG_Status!$B$2:$B$100000=S_Curve_Data!$M$1)
)),0)/$N$1</f>
        <v>3.2520325203252036E-2</v>
      </c>
      <c r="P21" s="24" cm="1">
        <f t="array" ref="P21">IFERROR(ROWS(_xlfn._xlws.FILTER(
   DRG_Status!$A$2:$A$100000,
   (DRG_Status!$E$2:$E$100000=S_Curve_Data!M21) *
   (DRG_Status!$B$2:$B$100000=S_Curve_Data!$M$1)
)),0)/$N$1</f>
        <v>1.6260162601626018E-2</v>
      </c>
      <c r="Q21" s="24" cm="1">
        <f t="array" ref="Q21">IFERROR(ROWS(_xlfn._xlws.FILTER(
   DRG_Status!$A$2:$A$100000,
   (DRG_Status!$F$2:$F$100000=S_Curve_Data!M21) *
   (DRG_Status!$B$2:$B$100000=S_Curve_Data!$M$1)
)),0)/$N$1</f>
        <v>0</v>
      </c>
      <c r="T21" s="18">
        <f>Mappings!B20</f>
        <v>45789</v>
      </c>
      <c r="U21" s="24" cm="1">
        <f t="array" ref="U21">IFERROR(ROWS(_xlfn._xlws.FILTER(
   DRG_Status!$A$2:$A$100000,
   (DRG_Status!$C$2:$C$100000=S_Curve_Data!T21) *
   (DRG_Status!$B$2:$B$100000=S_Curve_Data!$T$1)
)),0)/$U$1</f>
        <v>6.3559322033898302E-2</v>
      </c>
      <c r="V21" s="24" cm="1">
        <f t="array" ref="V21">IFERROR(ROWS(_xlfn._xlws.FILTER(
   DRG_Status!$A$2:$A$100000,
   (DRG_Status!$D$2:$D$100000=S_Curve_Data!T21) *
   (DRG_Status!$B$2:$B$100000=S_Curve_Data!$T$1)
)),0)/$U$1</f>
        <v>0</v>
      </c>
      <c r="W21" s="24" cm="1">
        <f t="array" ref="W21">IFERROR(ROWS(_xlfn._xlws.FILTER(
   DRG_Status!$A$2:$A$100000,
   (DRG_Status!$E$2:$E$100000=S_Curve_Data!T21) *
   (DRG_Status!$B$2:$B$100000=S_Curve_Data!$T$1)
)),0)/$U$1</f>
        <v>4.2372881355932203E-3</v>
      </c>
      <c r="X21" s="24" cm="1">
        <f t="array" ref="X21">IFERROR(ROWS(_xlfn._xlws.FILTER(
   DRG_Status!$A$2:$A$100000,
   (DRG_Status!$F$2:$F$100000=S_Curve_Data!T21) *
   (DRG_Status!$B$2:$B$100000=S_Curve_Data!$T$1)
)),0)/$U$1</f>
        <v>0</v>
      </c>
      <c r="AA21" s="19">
        <v>46204</v>
      </c>
      <c r="AB21" s="24" cm="1">
        <f t="array" ref="AB21">IFERROR(ROWS(_xlfn._xlws.FILTER(
   DRG_Status!$A$2:$A$100000,
   (DRG_Status!$G$2:$G$100000=S_Curve_Data!AA21) *
   (DRG_Status!$B$2:$B$100000=S_Curve_Data!$AA$1)
)),0)/$AB$1</f>
        <v>0</v>
      </c>
      <c r="AC21" s="24" cm="1">
        <f t="array" ref="AC21">IFERROR(ROWS(_xlfn._xlws.FILTER(
   DRG_Status!$A$2:$A$100000,
   (DRG_Status!$H$2:$H$100000=S_Curve_Data!AA21) *
   (DRG_Status!$B$2:$B$100000=S_Curve_Data!$AA$1)
)),0)/$AB$1</f>
        <v>0</v>
      </c>
      <c r="AD21" s="24" cm="1">
        <f t="array" ref="AD21">IFERROR(ROWS(_xlfn._xlws.FILTER(
   DRG_Status!$A$2:$A$100000,
   (DRG_Status!$I$2:$I$100000=S_Curve_Data!AA21) *
   (DRG_Status!$B$2:$B$100000=S_Curve_Data!$AA$1)
)),0)/$AB$1</f>
        <v>0</v>
      </c>
      <c r="AE21" s="24" cm="1">
        <f t="array" ref="AE21">IFERROR(ROWS(_xlfn._xlws.FILTER(
   DRG_Status!$A$2:$A$100000,
   (DRG_Status!$J$2:$J$100000=S_Curve_Data!AA21) *
   (DRG_Status!$B$2:$B$100000=S_Curve_Data!$AA$1)
)),0)/$AB$1</f>
        <v>0</v>
      </c>
      <c r="AH21" s="19">
        <v>46204</v>
      </c>
      <c r="AI21" s="24" cm="1">
        <f t="array" ref="AI21">IFERROR(ROWS(_xlfn._xlws.FILTER(
   DRG_Status!$A$2:$A$100000,
   (DRG_Status!$G$2:$G$100000=S_Curve_Data!AH21) *
   (DRG_Status!$B$2:$B$100000=S_Curve_Data!$AH$1)
)),0)/$AI$1</f>
        <v>0</v>
      </c>
      <c r="AJ21" s="24" cm="1">
        <f t="array" ref="AJ21">IFERROR(ROWS(_xlfn._xlws.FILTER(
   DRG_Status!$A$2:$A$100000,
   (DRG_Status!$H$2:$H$100000=S_Curve_Data!AH21) *
   (DRG_Status!$B$2:$B$100000=S_Curve_Data!$AH$1)
)),0)/$AI$1</f>
        <v>0</v>
      </c>
      <c r="AK21" s="24" cm="1">
        <f t="array" ref="AK21">IFERROR(ROWS(_xlfn._xlws.FILTER(
   DRG_Status!$A$2:$A$100000,
   (DRG_Status!$I$2:$I$100000=S_Curve_Data!AH21) *
   (DRG_Status!$B$2:$B$100000=S_Curve_Data!$AH$1)
)),0)/$AI$1</f>
        <v>0</v>
      </c>
      <c r="AL21" s="24" cm="1">
        <f t="array" ref="AL21">IFERROR(ROWS(_xlfn._xlws.FILTER(
   DRG_Status!$A$2:$A$100000,
   (DRG_Status!$J$2:$J$100000=S_Curve_Data!AH21) *
   (DRG_Status!$B$2:$B$100000=S_Curve_Data!$AH$1)
)),0)/$AI$1</f>
        <v>0</v>
      </c>
      <c r="AO21" s="19">
        <v>46204</v>
      </c>
      <c r="AP21" s="24" cm="1">
        <f t="array" ref="AP21">IFERROR(ROWS(_xlfn._xlws.FILTER(
   DRG_Status!$A$2:$A$100000,
   (DRG_Status!$G$2:$G$100000=S_Curve_Data!AO21) *
   (DRG_Status!$B$2:$B$100000=S_Curve_Data!$AO$1)
)),0)/$AP$1</f>
        <v>0</v>
      </c>
      <c r="AQ21" s="24" cm="1">
        <f t="array" ref="AQ21">IFERROR(ROWS(_xlfn._xlws.FILTER(
   DRG_Status!$A$2:$A$100000,
   (DRG_Status!$H$2:$H$100000=S_Curve_Data!AO21) *
   (DRG_Status!$B$2:$B$100000=S_Curve_Data!$AO$1)
)),0)/$AP$1</f>
        <v>0</v>
      </c>
      <c r="AR21" s="24" cm="1">
        <f t="array" ref="AR21">IFERROR(ROWS(_xlfn._xlws.FILTER(
   DRG_Status!$A$2:$A$100000,
   (DRG_Status!$I$2:$I$100000=S_Curve_Data!AO21) *
   (DRG_Status!$B$2:$B$100000=S_Curve_Data!$AO$1)
)),0)/$AP$1</f>
        <v>0</v>
      </c>
      <c r="AS21" s="24" cm="1">
        <f t="array" ref="AS21">IFERROR(ROWS(_xlfn._xlws.FILTER(
   DRG_Status!$A$2:$A$100000,
   (DRG_Status!$J$2:$J$100000=S_Curve_Data!AO21) *
   (DRG_Status!$B$2:$B$100000=S_Curve_Data!$AO$1)
)),0)/$AP$1</f>
        <v>0</v>
      </c>
    </row>
    <row r="22" spans="6:45">
      <c r="F22" s="18">
        <f>Mappings!B21</f>
        <v>45796</v>
      </c>
      <c r="G22" s="24" cm="1">
        <f t="array" ref="G22">IFERROR(ROWS(_xlfn._xlws.FILTER(
   DRG_Status!$A$2:$A$100000,
   (DRG_Status!$C$2:$C$100000=S_Curve_Data!F22) *
   (DRG_Status!$B$2:$B$100000=S_Curve_Data!$F$1)
)),0)/$G$1</f>
        <v>0</v>
      </c>
      <c r="H22" s="24" cm="1">
        <f t="array" ref="H22">IFERROR(ROWS(_xlfn._xlws.FILTER(
   DRG_Status!$A$2:$A$100000,
   (DRG_Status!$D$2:$D$100000=S_Curve_Data!F22) *
   (DRG_Status!$B$2:$B$100000=S_Curve_Data!$F$1)
)),0)/$G$1</f>
        <v>1.092896174863388E-2</v>
      </c>
      <c r="I22" s="24" cm="1">
        <f t="array" ref="I22">IFERROR(ROWS(_xlfn._xlws.FILTER(
   DRG_Status!$A$2:$A$100000,
   (DRG_Status!$E$2:$E$100000=S_Curve_Data!F22) *
   (DRG_Status!$B$2:$B$100000=S_Curve_Data!$F$1)
)),0)/$G$1</f>
        <v>0</v>
      </c>
      <c r="J22" s="24" cm="1">
        <f t="array" ref="J22">IFERROR(ROWS(_xlfn._xlws.FILTER(
   DRG_Status!$A$2:$A$100000,
   (DRG_Status!$F$2:$F$100000=S_Curve_Data!F22) *
   (DRG_Status!$B$2:$B$100000=S_Curve_Data!$F$1)
)),0)/$G$1</f>
        <v>0</v>
      </c>
      <c r="M22" s="18">
        <f>Mappings!B21</f>
        <v>45796</v>
      </c>
      <c r="N22" s="24" cm="1">
        <f t="array" ref="N22">IFERROR(ROWS(_xlfn._xlws.FILTER(
   DRG_Status!$A$2:$A$100000,
   (DRG_Status!$C$2:$C$100000=S_Curve_Data!M22) *
   (DRG_Status!$B$2:$B$100000=S_Curve_Data!$M$1)
)),0)/$N$1</f>
        <v>4.878048780487805E-2</v>
      </c>
      <c r="O22" s="24" cm="1">
        <f t="array" ref="O22">IFERROR(ROWS(_xlfn._xlws.FILTER(
   DRG_Status!$A$2:$A$100000,
   (DRG_Status!$D$2:$D$100000=S_Curve_Data!M22) *
   (DRG_Status!$B$2:$B$100000=S_Curve_Data!$M$1)
)),0)/$N$1</f>
        <v>3.2520325203252036E-2</v>
      </c>
      <c r="P22" s="24" cm="1">
        <f t="array" ref="P22">IFERROR(ROWS(_xlfn._xlws.FILTER(
   DRG_Status!$A$2:$A$100000,
   (DRG_Status!$E$2:$E$100000=S_Curve_Data!M22) *
   (DRG_Status!$B$2:$B$100000=S_Curve_Data!$M$1)
)),0)/$N$1</f>
        <v>0</v>
      </c>
      <c r="Q22" s="24" cm="1">
        <f t="array" ref="Q22">IFERROR(ROWS(_xlfn._xlws.FILTER(
   DRG_Status!$A$2:$A$100000,
   (DRG_Status!$F$2:$F$100000=S_Curve_Data!M22) *
   (DRG_Status!$B$2:$B$100000=S_Curve_Data!$M$1)
)),0)/$N$1</f>
        <v>0</v>
      </c>
      <c r="T22" s="18">
        <f>Mappings!B21</f>
        <v>45796</v>
      </c>
      <c r="U22" s="24" cm="1">
        <f t="array" ref="U22">IFERROR(ROWS(_xlfn._xlws.FILTER(
   DRG_Status!$A$2:$A$100000,
   (DRG_Status!$C$2:$C$100000=S_Curve_Data!T22) *
   (DRG_Status!$B$2:$B$100000=S_Curve_Data!$T$1)
)),0)/$U$1</f>
        <v>0</v>
      </c>
      <c r="V22" s="24" cm="1">
        <f t="array" ref="V22">IFERROR(ROWS(_xlfn._xlws.FILTER(
   DRG_Status!$A$2:$A$100000,
   (DRG_Status!$D$2:$D$100000=S_Curve_Data!T22) *
   (DRG_Status!$B$2:$B$100000=S_Curve_Data!$T$1)
)),0)/$U$1</f>
        <v>5.9322033898305086E-2</v>
      </c>
      <c r="W22" s="24" cm="1">
        <f t="array" ref="W22">IFERROR(ROWS(_xlfn._xlws.FILTER(
   DRG_Status!$A$2:$A$100000,
   (DRG_Status!$E$2:$E$100000=S_Curve_Data!T22) *
   (DRG_Status!$B$2:$B$100000=S_Curve_Data!$T$1)
)),0)/$U$1</f>
        <v>0</v>
      </c>
      <c r="X22" s="24" cm="1">
        <f t="array" ref="X22">IFERROR(ROWS(_xlfn._xlws.FILTER(
   DRG_Status!$A$2:$A$100000,
   (DRG_Status!$F$2:$F$100000=S_Curve_Data!T22) *
   (DRG_Status!$B$2:$B$100000=S_Curve_Data!$T$1)
)),0)/$U$1</f>
        <v>0</v>
      </c>
      <c r="AA22" s="19">
        <v>46235</v>
      </c>
      <c r="AB22" s="24" cm="1">
        <f t="array" ref="AB22">IFERROR(ROWS(_xlfn._xlws.FILTER(
   DRG_Status!$A$2:$A$100000,
   (DRG_Status!$G$2:$G$100000=S_Curve_Data!AA22) *
   (DRG_Status!$B$2:$B$100000=S_Curve_Data!$AA$1)
)),0)/$AB$1</f>
        <v>0</v>
      </c>
      <c r="AC22" s="24" cm="1">
        <f t="array" ref="AC22">IFERROR(ROWS(_xlfn._xlws.FILTER(
   DRG_Status!$A$2:$A$100000,
   (DRG_Status!$H$2:$H$100000=S_Curve_Data!AA22) *
   (DRG_Status!$B$2:$B$100000=S_Curve_Data!$AA$1)
)),0)/$AB$1</f>
        <v>0</v>
      </c>
      <c r="AD22" s="24" cm="1">
        <f t="array" ref="AD22">IFERROR(ROWS(_xlfn._xlws.FILTER(
   DRG_Status!$A$2:$A$100000,
   (DRG_Status!$I$2:$I$100000=S_Curve_Data!AA22) *
   (DRG_Status!$B$2:$B$100000=S_Curve_Data!$AA$1)
)),0)/$AB$1</f>
        <v>0</v>
      </c>
      <c r="AE22" s="24" cm="1">
        <f t="array" ref="AE22">IFERROR(ROWS(_xlfn._xlws.FILTER(
   DRG_Status!$A$2:$A$100000,
   (DRG_Status!$J$2:$J$100000=S_Curve_Data!AA22) *
   (DRG_Status!$B$2:$B$100000=S_Curve_Data!$AA$1)
)),0)/$AB$1</f>
        <v>0</v>
      </c>
      <c r="AH22" s="19">
        <v>46235</v>
      </c>
      <c r="AI22" s="24" cm="1">
        <f t="array" ref="AI22">IFERROR(ROWS(_xlfn._xlws.FILTER(
   DRG_Status!$A$2:$A$100000,
   (DRG_Status!$G$2:$G$100000=S_Curve_Data!AH22) *
   (DRG_Status!$B$2:$B$100000=S_Curve_Data!$AH$1)
)),0)/$AI$1</f>
        <v>0</v>
      </c>
      <c r="AJ22" s="24" cm="1">
        <f t="array" ref="AJ22">IFERROR(ROWS(_xlfn._xlws.FILTER(
   DRG_Status!$A$2:$A$100000,
   (DRG_Status!$H$2:$H$100000=S_Curve_Data!AH22) *
   (DRG_Status!$B$2:$B$100000=S_Curve_Data!$AH$1)
)),0)/$AI$1</f>
        <v>0</v>
      </c>
      <c r="AK22" s="24" cm="1">
        <f t="array" ref="AK22">IFERROR(ROWS(_xlfn._xlws.FILTER(
   DRG_Status!$A$2:$A$100000,
   (DRG_Status!$I$2:$I$100000=S_Curve_Data!AH22) *
   (DRG_Status!$B$2:$B$100000=S_Curve_Data!$AH$1)
)),0)/$AI$1</f>
        <v>0</v>
      </c>
      <c r="AL22" s="24" cm="1">
        <f t="array" ref="AL22">IFERROR(ROWS(_xlfn._xlws.FILTER(
   DRG_Status!$A$2:$A$100000,
   (DRG_Status!$J$2:$J$100000=S_Curve_Data!AH22) *
   (DRG_Status!$B$2:$B$100000=S_Curve_Data!$AH$1)
)),0)/$AI$1</f>
        <v>0</v>
      </c>
      <c r="AO22" s="19">
        <v>46235</v>
      </c>
      <c r="AP22" s="24" cm="1">
        <f t="array" ref="AP22">IFERROR(ROWS(_xlfn._xlws.FILTER(
   DRG_Status!$A$2:$A$100000,
   (DRG_Status!$G$2:$G$100000=S_Curve_Data!AO22) *
   (DRG_Status!$B$2:$B$100000=S_Curve_Data!$AO$1)
)),0)/$AP$1</f>
        <v>0</v>
      </c>
      <c r="AQ22" s="24" cm="1">
        <f t="array" ref="AQ22">IFERROR(ROWS(_xlfn._xlws.FILTER(
   DRG_Status!$A$2:$A$100000,
   (DRG_Status!$H$2:$H$100000=S_Curve_Data!AO22) *
   (DRG_Status!$B$2:$B$100000=S_Curve_Data!$AO$1)
)),0)/$AP$1</f>
        <v>0</v>
      </c>
      <c r="AR22" s="24" cm="1">
        <f t="array" ref="AR22">IFERROR(ROWS(_xlfn._xlws.FILTER(
   DRG_Status!$A$2:$A$100000,
   (DRG_Status!$I$2:$I$100000=S_Curve_Data!AO22) *
   (DRG_Status!$B$2:$B$100000=S_Curve_Data!$AO$1)
)),0)/$AP$1</f>
        <v>0</v>
      </c>
      <c r="AS22" s="24" cm="1">
        <f t="array" ref="AS22">IFERROR(ROWS(_xlfn._xlws.FILTER(
   DRG_Status!$A$2:$A$100000,
   (DRG_Status!$J$2:$J$100000=S_Curve_Data!AO22) *
   (DRG_Status!$B$2:$B$100000=S_Curve_Data!$AO$1)
)),0)/$AP$1</f>
        <v>0</v>
      </c>
    </row>
    <row r="23" spans="6:45">
      <c r="F23" s="18">
        <f>Mappings!B22</f>
        <v>45803</v>
      </c>
      <c r="G23" s="24" cm="1">
        <f t="array" ref="G23">IFERROR(ROWS(_xlfn._xlws.FILTER(
   DRG_Status!$A$2:$A$100000,
   (DRG_Status!$C$2:$C$100000=S_Curve_Data!F23) *
   (DRG_Status!$B$2:$B$100000=S_Curve_Data!$F$1)
)),0)/$G$1</f>
        <v>4.9180327868852458E-2</v>
      </c>
      <c r="H23" s="24" cm="1">
        <f t="array" ref="H23">IFERROR(ROWS(_xlfn._xlws.FILTER(
   DRG_Status!$A$2:$A$100000,
   (DRG_Status!$D$2:$D$100000=S_Curve_Data!F23) *
   (DRG_Status!$B$2:$B$100000=S_Curve_Data!$F$1)
)),0)/$G$1</f>
        <v>0</v>
      </c>
      <c r="I23" s="24" cm="1">
        <f t="array" ref="I23">IFERROR(ROWS(_xlfn._xlws.FILTER(
   DRG_Status!$A$2:$A$100000,
   (DRG_Status!$E$2:$E$100000=S_Curve_Data!F23) *
   (DRG_Status!$B$2:$B$100000=S_Curve_Data!$F$1)
)),0)/$G$1</f>
        <v>3.825136612021858E-2</v>
      </c>
      <c r="J23" s="24" cm="1">
        <f t="array" ref="J23">IFERROR(ROWS(_xlfn._xlws.FILTER(
   DRG_Status!$A$2:$A$100000,
   (DRG_Status!$F$2:$F$100000=S_Curve_Data!F23) *
   (DRG_Status!$B$2:$B$100000=S_Curve_Data!$F$1)
)),0)/$G$1</f>
        <v>4.9180327868852458E-2</v>
      </c>
      <c r="M23" s="18">
        <f>Mappings!B22</f>
        <v>45803</v>
      </c>
      <c r="N23" s="24" cm="1">
        <f t="array" ref="N23">IFERROR(ROWS(_xlfn._xlws.FILTER(
   DRG_Status!$A$2:$A$100000,
   (DRG_Status!$C$2:$C$100000=S_Curve_Data!M23) *
   (DRG_Status!$B$2:$B$100000=S_Curve_Data!$M$1)
)),0)/$N$1</f>
        <v>3.2520325203252036E-2</v>
      </c>
      <c r="O23" s="24" cm="1">
        <f t="array" ref="O23">IFERROR(ROWS(_xlfn._xlws.FILTER(
   DRG_Status!$A$2:$A$100000,
   (DRG_Status!$D$2:$D$100000=S_Curve_Data!M23) *
   (DRG_Status!$B$2:$B$100000=S_Curve_Data!$M$1)
)),0)/$N$1</f>
        <v>0</v>
      </c>
      <c r="P23" s="24" cm="1">
        <f t="array" ref="P23">IFERROR(ROWS(_xlfn._xlws.FILTER(
   DRG_Status!$A$2:$A$100000,
   (DRG_Status!$E$2:$E$100000=S_Curve_Data!M23) *
   (DRG_Status!$B$2:$B$100000=S_Curve_Data!$M$1)
)),0)/$N$1</f>
        <v>0</v>
      </c>
      <c r="Q23" s="24" cm="1">
        <f t="array" ref="Q23">IFERROR(ROWS(_xlfn._xlws.FILTER(
   DRG_Status!$A$2:$A$100000,
   (DRG_Status!$F$2:$F$100000=S_Curve_Data!M23) *
   (DRG_Status!$B$2:$B$100000=S_Curve_Data!$M$1)
)),0)/$N$1</f>
        <v>0</v>
      </c>
      <c r="T23" s="18">
        <f>Mappings!B22</f>
        <v>45803</v>
      </c>
      <c r="U23" s="24" cm="1">
        <f t="array" ref="U23">IFERROR(ROWS(_xlfn._xlws.FILTER(
   DRG_Status!$A$2:$A$100000,
   (DRG_Status!$C$2:$C$100000=S_Curve_Data!T23) *
   (DRG_Status!$B$2:$B$100000=S_Curve_Data!$T$1)
)),0)/$U$1</f>
        <v>5.5084745762711863E-2</v>
      </c>
      <c r="V23" s="24" cm="1">
        <f t="array" ref="V23">IFERROR(ROWS(_xlfn._xlws.FILTER(
   DRG_Status!$A$2:$A$100000,
   (DRG_Status!$D$2:$D$100000=S_Curve_Data!T23) *
   (DRG_Status!$B$2:$B$100000=S_Curve_Data!$T$1)
)),0)/$U$1</f>
        <v>0</v>
      </c>
      <c r="W23" s="24" cm="1">
        <f t="array" ref="W23">IFERROR(ROWS(_xlfn._xlws.FILTER(
   DRG_Status!$A$2:$A$100000,
   (DRG_Status!$E$2:$E$100000=S_Curve_Data!T23) *
   (DRG_Status!$B$2:$B$100000=S_Curve_Data!$T$1)
)),0)/$U$1</f>
        <v>0.11016949152542373</v>
      </c>
      <c r="X23" s="24" cm="1">
        <f t="array" ref="X23">IFERROR(ROWS(_xlfn._xlws.FILTER(
   DRG_Status!$A$2:$A$100000,
   (DRG_Status!$F$2:$F$100000=S_Curve_Data!T23) *
   (DRG_Status!$B$2:$B$100000=S_Curve_Data!$T$1)
)),0)/$U$1</f>
        <v>8.050847457627118E-2</v>
      </c>
    </row>
    <row r="24" spans="6:45">
      <c r="F24" s="18">
        <f>Mappings!B23</f>
        <v>45810</v>
      </c>
      <c r="G24" s="24" cm="1">
        <f t="array" ref="G24">IFERROR(ROWS(_xlfn._xlws.FILTER(
   DRG_Status!$A$2:$A$100000,
   (DRG_Status!$C$2:$C$100000=S_Curve_Data!F24) *
   (DRG_Status!$B$2:$B$100000=S_Curve_Data!$F$1)
)),0)/$G$1</f>
        <v>0</v>
      </c>
      <c r="H24" s="24" cm="1">
        <f t="array" ref="H24">IFERROR(ROWS(_xlfn._xlws.FILTER(
   DRG_Status!$A$2:$A$100000,
   (DRG_Status!$D$2:$D$100000=S_Curve_Data!F24) *
   (DRG_Status!$B$2:$B$100000=S_Curve_Data!$F$1)
)),0)/$G$1</f>
        <v>0</v>
      </c>
      <c r="I24" s="24" cm="1">
        <f t="array" ref="I24">IFERROR(ROWS(_xlfn._xlws.FILTER(
   DRG_Status!$A$2:$A$100000,
   (DRG_Status!$E$2:$E$100000=S_Curve_Data!F24) *
   (DRG_Status!$B$2:$B$100000=S_Curve_Data!$F$1)
)),0)/$G$1</f>
        <v>0</v>
      </c>
      <c r="J24" s="24" cm="1">
        <f t="array" ref="J24">IFERROR(ROWS(_xlfn._xlws.FILTER(
   DRG_Status!$A$2:$A$100000,
   (DRG_Status!$F$2:$F$100000=S_Curve_Data!F24) *
   (DRG_Status!$B$2:$B$100000=S_Curve_Data!$F$1)
)),0)/$G$1</f>
        <v>7.650273224043716E-2</v>
      </c>
      <c r="M24" s="18">
        <f>Mappings!B23</f>
        <v>45810</v>
      </c>
      <c r="N24" s="24" cm="1">
        <f t="array" ref="N24">IFERROR(ROWS(_xlfn._xlws.FILTER(
   DRG_Status!$A$2:$A$100000,
   (DRG_Status!$C$2:$C$100000=S_Curve_Data!M24) *
   (DRG_Status!$B$2:$B$100000=S_Curve_Data!$M$1)
)),0)/$N$1</f>
        <v>8.130081300813009E-3</v>
      </c>
      <c r="O24" s="24" cm="1">
        <f t="array" ref="O24">IFERROR(ROWS(_xlfn._xlws.FILTER(
   DRG_Status!$A$2:$A$100000,
   (DRG_Status!$D$2:$D$100000=S_Curve_Data!M24) *
   (DRG_Status!$B$2:$B$100000=S_Curve_Data!$M$1)
)),0)/$N$1</f>
        <v>3.2520325203252036E-2</v>
      </c>
      <c r="P24" s="24" cm="1">
        <f t="array" ref="P24">IFERROR(ROWS(_xlfn._xlws.FILTER(
   DRG_Status!$A$2:$A$100000,
   (DRG_Status!$E$2:$E$100000=S_Curve_Data!M24) *
   (DRG_Status!$B$2:$B$100000=S_Curve_Data!$M$1)
)),0)/$N$1</f>
        <v>4.878048780487805E-2</v>
      </c>
      <c r="Q24" s="24" cm="1">
        <f t="array" ref="Q24">IFERROR(ROWS(_xlfn._xlws.FILTER(
   DRG_Status!$A$2:$A$100000,
   (DRG_Status!$F$2:$F$100000=S_Curve_Data!M24) *
   (DRG_Status!$B$2:$B$100000=S_Curve_Data!$M$1)
)),0)/$N$1</f>
        <v>0</v>
      </c>
      <c r="T24" s="18">
        <f>Mappings!B23</f>
        <v>45810</v>
      </c>
      <c r="U24" s="24" cm="1">
        <f t="array" ref="U24">IFERROR(ROWS(_xlfn._xlws.FILTER(
   DRG_Status!$A$2:$A$100000,
   (DRG_Status!$C$2:$C$100000=S_Curve_Data!T24) *
   (DRG_Status!$B$2:$B$100000=S_Curve_Data!$T$1)
)),0)/$U$1</f>
        <v>0</v>
      </c>
      <c r="V24" s="24" cm="1">
        <f t="array" ref="V24">IFERROR(ROWS(_xlfn._xlws.FILTER(
   DRG_Status!$A$2:$A$100000,
   (DRG_Status!$D$2:$D$100000=S_Curve_Data!T24) *
   (DRG_Status!$B$2:$B$100000=S_Curve_Data!$T$1)
)),0)/$U$1</f>
        <v>0</v>
      </c>
      <c r="W24" s="24" cm="1">
        <f t="array" ref="W24">IFERROR(ROWS(_xlfn._xlws.FILTER(
   DRG_Status!$A$2:$A$100000,
   (DRG_Status!$E$2:$E$100000=S_Curve_Data!T24) *
   (DRG_Status!$B$2:$B$100000=S_Curve_Data!$T$1)
)),0)/$U$1</f>
        <v>3.3898305084745763E-2</v>
      </c>
      <c r="X24" s="24" cm="1">
        <f t="array" ref="X24">IFERROR(ROWS(_xlfn._xlws.FILTER(
   DRG_Status!$A$2:$A$100000,
   (DRG_Status!$F$2:$F$100000=S_Curve_Data!T24) *
   (DRG_Status!$B$2:$B$100000=S_Curve_Data!$T$1)
)),0)/$U$1</f>
        <v>0.11864406779661017</v>
      </c>
    </row>
    <row r="25" spans="6:45">
      <c r="F25" s="18">
        <f>Mappings!B24</f>
        <v>45817</v>
      </c>
      <c r="G25" s="24" cm="1">
        <f t="array" ref="G25">IFERROR(ROWS(_xlfn._xlws.FILTER(
   DRG_Status!$A$2:$A$100000,
   (DRG_Status!$C$2:$C$100000=S_Curve_Data!F25) *
   (DRG_Status!$B$2:$B$100000=S_Curve_Data!$F$1)
)),0)/$G$1</f>
        <v>3.825136612021858E-2</v>
      </c>
      <c r="H25" s="24" cm="1">
        <f t="array" ref="H25">IFERROR(ROWS(_xlfn._xlws.FILTER(
   DRG_Status!$A$2:$A$100000,
   (DRG_Status!$D$2:$D$100000=S_Curve_Data!F25) *
   (DRG_Status!$B$2:$B$100000=S_Curve_Data!$F$1)
)),0)/$G$1</f>
        <v>2.7322404371584699E-2</v>
      </c>
      <c r="I25" s="24" cm="1">
        <f t="array" ref="I25">IFERROR(ROWS(_xlfn._xlws.FILTER(
   DRG_Status!$A$2:$A$100000,
   (DRG_Status!$E$2:$E$100000=S_Curve_Data!F25) *
   (DRG_Status!$B$2:$B$100000=S_Curve_Data!$F$1)
)),0)/$G$1</f>
        <v>3.825136612021858E-2</v>
      </c>
      <c r="J25" s="24" cm="1">
        <f t="array" ref="J25">IFERROR(ROWS(_xlfn._xlws.FILTER(
   DRG_Status!$A$2:$A$100000,
   (DRG_Status!$F$2:$F$100000=S_Curve_Data!F25) *
   (DRG_Status!$B$2:$B$100000=S_Curve_Data!$F$1)
)),0)/$G$1</f>
        <v>0</v>
      </c>
      <c r="M25" s="18">
        <f>Mappings!B24</f>
        <v>45817</v>
      </c>
      <c r="N25" s="24" cm="1">
        <f t="array" ref="N25">IFERROR(ROWS(_xlfn._xlws.FILTER(
   DRG_Status!$A$2:$A$100000,
   (DRG_Status!$C$2:$C$100000=S_Curve_Data!M25) *
   (DRG_Status!$B$2:$B$100000=S_Curve_Data!$M$1)
)),0)/$N$1</f>
        <v>8.130081300813009E-3</v>
      </c>
      <c r="O25" s="24" cm="1">
        <f t="array" ref="O25">IFERROR(ROWS(_xlfn._xlws.FILTER(
   DRG_Status!$A$2:$A$100000,
   (DRG_Status!$D$2:$D$100000=S_Curve_Data!M25) *
   (DRG_Status!$B$2:$B$100000=S_Curve_Data!$M$1)
)),0)/$N$1</f>
        <v>1.6260162601626018E-2</v>
      </c>
      <c r="P25" s="24" cm="1">
        <f t="array" ref="P25">IFERROR(ROWS(_xlfn._xlws.FILTER(
   DRG_Status!$A$2:$A$100000,
   (DRG_Status!$E$2:$E$100000=S_Curve_Data!M25) *
   (DRG_Status!$B$2:$B$100000=S_Curve_Data!$M$1)
)),0)/$N$1</f>
        <v>3.2520325203252036E-2</v>
      </c>
      <c r="Q25" s="24" cm="1">
        <f t="array" ref="Q25">IFERROR(ROWS(_xlfn._xlws.FILTER(
   DRG_Status!$A$2:$A$100000,
   (DRG_Status!$F$2:$F$100000=S_Curve_Data!M25) *
   (DRG_Status!$B$2:$B$100000=S_Curve_Data!$M$1)
)),0)/$N$1</f>
        <v>0</v>
      </c>
      <c r="T25" s="18">
        <f>Mappings!B24</f>
        <v>45817</v>
      </c>
      <c r="U25" s="24" cm="1">
        <f t="array" ref="U25">IFERROR(ROWS(_xlfn._xlws.FILTER(
   DRG_Status!$A$2:$A$100000,
   (DRG_Status!$C$2:$C$100000=S_Curve_Data!T25) *
   (DRG_Status!$B$2:$B$100000=S_Curve_Data!$T$1)
)),0)/$U$1</f>
        <v>6.7796610169491525E-2</v>
      </c>
      <c r="V25" s="24" cm="1">
        <f t="array" ref="V25">IFERROR(ROWS(_xlfn._xlws.FILTER(
   DRG_Status!$A$2:$A$100000,
   (DRG_Status!$D$2:$D$100000=S_Curve_Data!T25) *
   (DRG_Status!$B$2:$B$100000=S_Curve_Data!$T$1)
)),0)/$U$1</f>
        <v>0</v>
      </c>
      <c r="W25" s="24" cm="1">
        <f t="array" ref="W25">IFERROR(ROWS(_xlfn._xlws.FILTER(
   DRG_Status!$A$2:$A$100000,
   (DRG_Status!$E$2:$E$100000=S_Curve_Data!T25) *
   (DRG_Status!$B$2:$B$100000=S_Curve_Data!$T$1)
)),0)/$U$1</f>
        <v>4.6610169491525424E-2</v>
      </c>
      <c r="X25" s="24" cm="1">
        <f t="array" ref="X25">IFERROR(ROWS(_xlfn._xlws.FILTER(
   DRG_Status!$A$2:$A$100000,
   (DRG_Status!$F$2:$F$100000=S_Curve_Data!T25) *
   (DRG_Status!$B$2:$B$100000=S_Curve_Data!$T$1)
)),0)/$U$1</f>
        <v>0</v>
      </c>
    </row>
    <row r="26" spans="6:45">
      <c r="F26" s="18">
        <f>Mappings!B25</f>
        <v>45824</v>
      </c>
      <c r="G26" s="24" cm="1">
        <f t="array" ref="G26">IFERROR(ROWS(_xlfn._xlws.FILTER(
   DRG_Status!$A$2:$A$100000,
   (DRG_Status!$C$2:$C$100000=S_Curve_Data!F26) *
   (DRG_Status!$B$2:$B$100000=S_Curve_Data!$F$1)
)),0)/$G$1</f>
        <v>1.092896174863388E-2</v>
      </c>
      <c r="H26" s="24" cm="1">
        <f t="array" ref="H26">IFERROR(ROWS(_xlfn._xlws.FILTER(
   DRG_Status!$A$2:$A$100000,
   (DRG_Status!$D$2:$D$100000=S_Curve_Data!F26) *
   (DRG_Status!$B$2:$B$100000=S_Curve_Data!$F$1)
)),0)/$G$1</f>
        <v>3.825136612021858E-2</v>
      </c>
      <c r="I26" s="24" cm="1">
        <f t="array" ref="I26">IFERROR(ROWS(_xlfn._xlws.FILTER(
   DRG_Status!$A$2:$A$100000,
   (DRG_Status!$E$2:$E$100000=S_Curve_Data!F26) *
   (DRG_Status!$B$2:$B$100000=S_Curve_Data!$F$1)
)),0)/$G$1</f>
        <v>0</v>
      </c>
      <c r="J26" s="24" cm="1">
        <f t="array" ref="J26">IFERROR(ROWS(_xlfn._xlws.FILTER(
   DRG_Status!$A$2:$A$100000,
   (DRG_Status!$F$2:$F$100000=S_Curve_Data!F26) *
   (DRG_Status!$B$2:$B$100000=S_Curve_Data!$F$1)
)),0)/$G$1</f>
        <v>0</v>
      </c>
      <c r="M26" s="18">
        <f>Mappings!B25</f>
        <v>45824</v>
      </c>
      <c r="N26" s="24" cm="1">
        <f t="array" ref="N26">IFERROR(ROWS(_xlfn._xlws.FILTER(
   DRG_Status!$A$2:$A$100000,
   (DRG_Status!$C$2:$C$100000=S_Curve_Data!M26) *
   (DRG_Status!$B$2:$B$100000=S_Curve_Data!$M$1)
)),0)/$N$1</f>
        <v>0</v>
      </c>
      <c r="O26" s="24" cm="1">
        <f t="array" ref="O26">IFERROR(ROWS(_xlfn._xlws.FILTER(
   DRG_Status!$A$2:$A$100000,
   (DRG_Status!$D$2:$D$100000=S_Curve_Data!M26) *
   (DRG_Status!$B$2:$B$100000=S_Curve_Data!$M$1)
)),0)/$N$1</f>
        <v>8.130081300813009E-3</v>
      </c>
      <c r="P26" s="24" cm="1">
        <f t="array" ref="P26">IFERROR(ROWS(_xlfn._xlws.FILTER(
   DRG_Status!$A$2:$A$100000,
   (DRG_Status!$E$2:$E$100000=S_Curve_Data!M26) *
   (DRG_Status!$B$2:$B$100000=S_Curve_Data!$M$1)
)),0)/$N$1</f>
        <v>4.878048780487805E-2</v>
      </c>
      <c r="Q26" s="24" cm="1">
        <f t="array" ref="Q26">IFERROR(ROWS(_xlfn._xlws.FILTER(
   DRG_Status!$A$2:$A$100000,
   (DRG_Status!$F$2:$F$100000=S_Curve_Data!M26) *
   (DRG_Status!$B$2:$B$100000=S_Curve_Data!$M$1)
)),0)/$N$1</f>
        <v>0</v>
      </c>
      <c r="T26" s="18">
        <f>Mappings!B25</f>
        <v>45824</v>
      </c>
      <c r="U26" s="24" cm="1">
        <f t="array" ref="U26">IFERROR(ROWS(_xlfn._xlws.FILTER(
   DRG_Status!$A$2:$A$100000,
   (DRG_Status!$C$2:$C$100000=S_Curve_Data!T26) *
   (DRG_Status!$B$2:$B$100000=S_Curve_Data!$T$1)
)),0)/$U$1</f>
        <v>1.2711864406779662E-2</v>
      </c>
      <c r="V26" s="24" cm="1">
        <f t="array" ref="V26">IFERROR(ROWS(_xlfn._xlws.FILTER(
   DRG_Status!$A$2:$A$100000,
   (DRG_Status!$D$2:$D$100000=S_Curve_Data!T26) *
   (DRG_Status!$B$2:$B$100000=S_Curve_Data!$T$1)
)),0)/$U$1</f>
        <v>5.5084745762711863E-2</v>
      </c>
      <c r="W26" s="24" cm="1">
        <f t="array" ref="W26">IFERROR(ROWS(_xlfn._xlws.FILTER(
   DRG_Status!$A$2:$A$100000,
   (DRG_Status!$E$2:$E$100000=S_Curve_Data!T26) *
   (DRG_Status!$B$2:$B$100000=S_Curve_Data!$T$1)
)),0)/$U$1</f>
        <v>8.4745762711864406E-3</v>
      </c>
      <c r="X26" s="24" cm="1">
        <f t="array" ref="X26">IFERROR(ROWS(_xlfn._xlws.FILTER(
   DRG_Status!$A$2:$A$100000,
   (DRG_Status!$F$2:$F$100000=S_Curve_Data!T26) *
   (DRG_Status!$B$2:$B$100000=S_Curve_Data!$T$1)
)),0)/$U$1</f>
        <v>0</v>
      </c>
    </row>
    <row r="27" spans="6:45">
      <c r="F27" s="18">
        <f>Mappings!B26</f>
        <v>45831</v>
      </c>
      <c r="G27" s="24" cm="1">
        <f t="array" ref="G27">IFERROR(ROWS(_xlfn._xlws.FILTER(
   DRG_Status!$A$2:$A$100000,
   (DRG_Status!$C$2:$C$100000=S_Curve_Data!F27) *
   (DRG_Status!$B$2:$B$100000=S_Curve_Data!$F$1)
)),0)/$G$1</f>
        <v>9.2896174863387984E-2</v>
      </c>
      <c r="H27" s="24" cm="1">
        <f t="array" ref="H27">IFERROR(ROWS(_xlfn._xlws.FILTER(
   DRG_Status!$A$2:$A$100000,
   (DRG_Status!$D$2:$D$100000=S_Curve_Data!F27) *
   (DRG_Status!$B$2:$B$100000=S_Curve_Data!$F$1)
)),0)/$G$1</f>
        <v>5.4644808743169399E-3</v>
      </c>
      <c r="I27" s="24" cm="1">
        <f t="array" ref="I27">IFERROR(ROWS(_xlfn._xlws.FILTER(
   DRG_Status!$A$2:$A$100000,
   (DRG_Status!$E$2:$E$100000=S_Curve_Data!F27) *
   (DRG_Status!$B$2:$B$100000=S_Curve_Data!$F$1)
)),0)/$G$1</f>
        <v>1.092896174863388E-2</v>
      </c>
      <c r="J27" s="24" cm="1">
        <f t="array" ref="J27">IFERROR(ROWS(_xlfn._xlws.FILTER(
   DRG_Status!$A$2:$A$100000,
   (DRG_Status!$F$2:$F$100000=S_Curve_Data!F27) *
   (DRG_Status!$B$2:$B$100000=S_Curve_Data!$F$1)
)),0)/$G$1</f>
        <v>0</v>
      </c>
      <c r="M27" s="18">
        <f>Mappings!B26</f>
        <v>45831</v>
      </c>
      <c r="N27" s="24" cm="1">
        <f t="array" ref="N27">IFERROR(ROWS(_xlfn._xlws.FILTER(
   DRG_Status!$A$2:$A$100000,
   (DRG_Status!$C$2:$C$100000=S_Curve_Data!M27) *
   (DRG_Status!$B$2:$B$100000=S_Curve_Data!$M$1)
)),0)/$N$1</f>
        <v>8.130081300813009E-3</v>
      </c>
      <c r="O27" s="24" cm="1">
        <f t="array" ref="O27">IFERROR(ROWS(_xlfn._xlws.FILTER(
   DRG_Status!$A$2:$A$100000,
   (DRG_Status!$D$2:$D$100000=S_Curve_Data!M27) *
   (DRG_Status!$B$2:$B$100000=S_Curve_Data!$M$1)
)),0)/$N$1</f>
        <v>4.065040650406504E-2</v>
      </c>
      <c r="P27" s="24" cm="1">
        <f t="array" ref="P27">IFERROR(ROWS(_xlfn._xlws.FILTER(
   DRG_Status!$A$2:$A$100000,
   (DRG_Status!$E$2:$E$100000=S_Curve_Data!M27) *
   (DRG_Status!$B$2:$B$100000=S_Curve_Data!$M$1)
)),0)/$N$1</f>
        <v>3.2520325203252036E-2</v>
      </c>
      <c r="Q27" s="24" cm="1">
        <f t="array" ref="Q27">IFERROR(ROWS(_xlfn._xlws.FILTER(
   DRG_Status!$A$2:$A$100000,
   (DRG_Status!$F$2:$F$100000=S_Curve_Data!M27) *
   (DRG_Status!$B$2:$B$100000=S_Curve_Data!$M$1)
)),0)/$N$1</f>
        <v>0</v>
      </c>
      <c r="T27" s="18">
        <f>Mappings!B26</f>
        <v>45831</v>
      </c>
      <c r="U27" s="24" cm="1">
        <f t="array" ref="U27">IFERROR(ROWS(_xlfn._xlws.FILTER(
   DRG_Status!$A$2:$A$100000,
   (DRG_Status!$C$2:$C$100000=S_Curve_Data!T27) *
   (DRG_Status!$B$2:$B$100000=S_Curve_Data!$T$1)
)),0)/$U$1</f>
        <v>0.11864406779661017</v>
      </c>
      <c r="V27" s="24" cm="1">
        <f t="array" ref="V27">IFERROR(ROWS(_xlfn._xlws.FILTER(
   DRG_Status!$A$2:$A$100000,
   (DRG_Status!$D$2:$D$100000=S_Curve_Data!T27) *
   (DRG_Status!$B$2:$B$100000=S_Curve_Data!$T$1)
)),0)/$U$1</f>
        <v>0</v>
      </c>
      <c r="W27" s="24" cm="1">
        <f t="array" ref="W27">IFERROR(ROWS(_xlfn._xlws.FILTER(
   DRG_Status!$A$2:$A$100000,
   (DRG_Status!$E$2:$E$100000=S_Curve_Data!T27) *
   (DRG_Status!$B$2:$B$100000=S_Curve_Data!$T$1)
)),0)/$U$1</f>
        <v>1.2711864406779662E-2</v>
      </c>
      <c r="X27" s="24" cm="1">
        <f t="array" ref="X27">IFERROR(ROWS(_xlfn._xlws.FILTER(
   DRG_Status!$A$2:$A$100000,
   (DRG_Status!$F$2:$F$100000=S_Curve_Data!T27) *
   (DRG_Status!$B$2:$B$100000=S_Curve_Data!$T$1)
)),0)/$U$1</f>
        <v>0</v>
      </c>
    </row>
    <row r="28" spans="6:45">
      <c r="F28" s="18">
        <f>Mappings!B27</f>
        <v>45838</v>
      </c>
      <c r="G28" s="24" cm="1">
        <f t="array" ref="G28">IFERROR(ROWS(_xlfn._xlws.FILTER(
   DRG_Status!$A$2:$A$100000,
   (DRG_Status!$C$2:$C$100000=S_Curve_Data!F28) *
   (DRG_Status!$B$2:$B$100000=S_Curve_Data!$F$1)
)),0)/$G$1</f>
        <v>0</v>
      </c>
      <c r="H28" s="24" cm="1">
        <f t="array" ref="H28">IFERROR(ROWS(_xlfn._xlws.FILTER(
   DRG_Status!$A$2:$A$100000,
   (DRG_Status!$D$2:$D$100000=S_Curve_Data!F28) *
   (DRG_Status!$B$2:$B$100000=S_Curve_Data!$F$1)
)),0)/$G$1</f>
        <v>7.1038251366120214E-2</v>
      </c>
      <c r="I28" s="24" cm="1">
        <f t="array" ref="I28">IFERROR(ROWS(_xlfn._xlws.FILTER(
   DRG_Status!$A$2:$A$100000,
   (DRG_Status!$E$2:$E$100000=S_Curve_Data!F28) *
   (DRG_Status!$B$2:$B$100000=S_Curve_Data!$F$1)
)),0)/$G$1</f>
        <v>3.825136612021858E-2</v>
      </c>
      <c r="J28" s="24" cm="1">
        <f t="array" ref="J28">IFERROR(ROWS(_xlfn._xlws.FILTER(
   DRG_Status!$A$2:$A$100000,
   (DRG_Status!$F$2:$F$100000=S_Curve_Data!F28) *
   (DRG_Status!$B$2:$B$100000=S_Curve_Data!$F$1)
)),0)/$G$1</f>
        <v>5.4644808743169399E-3</v>
      </c>
      <c r="M28" s="18">
        <f>Mappings!B27</f>
        <v>45838</v>
      </c>
      <c r="N28" s="24" cm="1">
        <f t="array" ref="N28">IFERROR(ROWS(_xlfn._xlws.FILTER(
   DRG_Status!$A$2:$A$100000,
   (DRG_Status!$C$2:$C$100000=S_Curve_Data!M28) *
   (DRG_Status!$B$2:$B$100000=S_Curve_Data!$M$1)
)),0)/$N$1</f>
        <v>0</v>
      </c>
      <c r="O28" s="24" cm="1">
        <f t="array" ref="O28">IFERROR(ROWS(_xlfn._xlws.FILTER(
   DRG_Status!$A$2:$A$100000,
   (DRG_Status!$D$2:$D$100000=S_Curve_Data!M28) *
   (DRG_Status!$B$2:$B$100000=S_Curve_Data!$M$1)
)),0)/$N$1</f>
        <v>0</v>
      </c>
      <c r="P28" s="24" cm="1">
        <f t="array" ref="P28">IFERROR(ROWS(_xlfn._xlws.FILTER(
   DRG_Status!$A$2:$A$100000,
   (DRG_Status!$E$2:$E$100000=S_Curve_Data!M28) *
   (DRG_Status!$B$2:$B$100000=S_Curve_Data!$M$1)
)),0)/$N$1</f>
        <v>8.130081300813009E-3</v>
      </c>
      <c r="Q28" s="24" cm="1">
        <f t="array" ref="Q28">IFERROR(ROWS(_xlfn._xlws.FILTER(
   DRG_Status!$A$2:$A$100000,
   (DRG_Status!$F$2:$F$100000=S_Curve_Data!M28) *
   (DRG_Status!$B$2:$B$100000=S_Curve_Data!$M$1)
)),0)/$N$1</f>
        <v>2.4390243902439025E-2</v>
      </c>
      <c r="T28" s="18">
        <f>Mappings!B27</f>
        <v>45838</v>
      </c>
      <c r="U28" s="24" cm="1">
        <f t="array" ref="U28">IFERROR(ROWS(_xlfn._xlws.FILTER(
   DRG_Status!$A$2:$A$100000,
   (DRG_Status!$C$2:$C$100000=S_Curve_Data!T28) *
   (DRG_Status!$B$2:$B$100000=S_Curve_Data!$T$1)
)),0)/$U$1</f>
        <v>0</v>
      </c>
      <c r="V28" s="24" cm="1">
        <f t="array" ref="V28">IFERROR(ROWS(_xlfn._xlws.FILTER(
   DRG_Status!$A$2:$A$100000,
   (DRG_Status!$D$2:$D$100000=S_Curve_Data!T28) *
   (DRG_Status!$B$2:$B$100000=S_Curve_Data!$T$1)
)),0)/$U$1</f>
        <v>5.9322033898305086E-2</v>
      </c>
      <c r="W28" s="24" cm="1">
        <f t="array" ref="W28">IFERROR(ROWS(_xlfn._xlws.FILTER(
   DRG_Status!$A$2:$A$100000,
   (DRG_Status!$E$2:$E$100000=S_Curve_Data!T28) *
   (DRG_Status!$B$2:$B$100000=S_Curve_Data!$T$1)
)),0)/$U$1</f>
        <v>5.5084745762711863E-2</v>
      </c>
      <c r="X28" s="24" cm="1">
        <f t="array" ref="X28">IFERROR(ROWS(_xlfn._xlws.FILTER(
   DRG_Status!$A$2:$A$100000,
   (DRG_Status!$F$2:$F$100000=S_Curve_Data!T28) *
   (DRG_Status!$B$2:$B$100000=S_Curve_Data!$T$1)
)),0)/$U$1</f>
        <v>0</v>
      </c>
    </row>
    <row r="29" spans="6:45">
      <c r="F29" s="18">
        <f>Mappings!B28</f>
        <v>45845</v>
      </c>
      <c r="G29" s="24" cm="1">
        <f t="array" ref="G29">IFERROR(ROWS(_xlfn._xlws.FILTER(
   DRG_Status!$A$2:$A$100000,
   (DRG_Status!$C$2:$C$100000=S_Curve_Data!F29) *
   (DRG_Status!$B$2:$B$100000=S_Curve_Data!$F$1)
)),0)/$G$1</f>
        <v>7.650273224043716E-2</v>
      </c>
      <c r="H29" s="24" cm="1">
        <f t="array" ref="H29">IFERROR(ROWS(_xlfn._xlws.FILTER(
   DRG_Status!$A$2:$A$100000,
   (DRG_Status!$D$2:$D$100000=S_Curve_Data!F29) *
   (DRG_Status!$B$2:$B$100000=S_Curve_Data!$F$1)
)),0)/$G$1</f>
        <v>3.825136612021858E-2</v>
      </c>
      <c r="I29" s="24" cm="1">
        <f t="array" ref="I29">IFERROR(ROWS(_xlfn._xlws.FILTER(
   DRG_Status!$A$2:$A$100000,
   (DRG_Status!$E$2:$E$100000=S_Curve_Data!F29) *
   (DRG_Status!$B$2:$B$100000=S_Curve_Data!$F$1)
)),0)/$G$1</f>
        <v>0</v>
      </c>
      <c r="J29" s="24" cm="1">
        <f t="array" ref="J29">IFERROR(ROWS(_xlfn._xlws.FILTER(
   DRG_Status!$A$2:$A$100000,
   (DRG_Status!$F$2:$F$100000=S_Curve_Data!F29) *
   (DRG_Status!$B$2:$B$100000=S_Curve_Data!$F$1)
)),0)/$G$1</f>
        <v>3.825136612021858E-2</v>
      </c>
      <c r="M29" s="18">
        <f>Mappings!B28</f>
        <v>45845</v>
      </c>
      <c r="N29" s="24" cm="1">
        <f t="array" ref="N29">IFERROR(ROWS(_xlfn._xlws.FILTER(
   DRG_Status!$A$2:$A$100000,
   (DRG_Status!$C$2:$C$100000=S_Curve_Data!M29) *
   (DRG_Status!$B$2:$B$100000=S_Curve_Data!$M$1)
)),0)/$N$1</f>
        <v>0</v>
      </c>
      <c r="O29" s="24" cm="1">
        <f t="array" ref="O29">IFERROR(ROWS(_xlfn._xlws.FILTER(
   DRG_Status!$A$2:$A$100000,
   (DRG_Status!$D$2:$D$100000=S_Curve_Data!M29) *
   (DRG_Status!$B$2:$B$100000=S_Curve_Data!$M$1)
)),0)/$N$1</f>
        <v>2.4390243902439025E-2</v>
      </c>
      <c r="P29" s="24" cm="1">
        <f t="array" ref="P29">IFERROR(ROWS(_xlfn._xlws.FILTER(
   DRG_Status!$A$2:$A$100000,
   (DRG_Status!$E$2:$E$100000=S_Curve_Data!M29) *
   (DRG_Status!$B$2:$B$100000=S_Curve_Data!$M$1)
)),0)/$N$1</f>
        <v>8.130081300813009E-3</v>
      </c>
      <c r="Q29" s="24" cm="1">
        <f t="array" ref="Q29">IFERROR(ROWS(_xlfn._xlws.FILTER(
   DRG_Status!$A$2:$A$100000,
   (DRG_Status!$F$2:$F$100000=S_Curve_Data!M29) *
   (DRG_Status!$B$2:$B$100000=S_Curve_Data!$M$1)
)),0)/$N$1</f>
        <v>1.6260162601626018E-2</v>
      </c>
      <c r="T29" s="18">
        <f>Mappings!B28</f>
        <v>45845</v>
      </c>
      <c r="U29" s="24" cm="1">
        <f t="array" ref="U29">IFERROR(ROWS(_xlfn._xlws.FILTER(
   DRG_Status!$A$2:$A$100000,
   (DRG_Status!$C$2:$C$100000=S_Curve_Data!T29) *
   (DRG_Status!$B$2:$B$100000=S_Curve_Data!$T$1)
)),0)/$U$1</f>
        <v>8.4745762711864403E-2</v>
      </c>
      <c r="V29" s="24" cm="1">
        <f t="array" ref="V29">IFERROR(ROWS(_xlfn._xlws.FILTER(
   DRG_Status!$A$2:$A$100000,
   (DRG_Status!$D$2:$D$100000=S_Curve_Data!T29) *
   (DRG_Status!$B$2:$B$100000=S_Curve_Data!$T$1)
)),0)/$U$1</f>
        <v>5.9322033898305086E-2</v>
      </c>
      <c r="W29" s="24" cm="1">
        <f t="array" ref="W29">IFERROR(ROWS(_xlfn._xlws.FILTER(
   DRG_Status!$A$2:$A$100000,
   (DRG_Status!$E$2:$E$100000=S_Curve_Data!T29) *
   (DRG_Status!$B$2:$B$100000=S_Curve_Data!$T$1)
)),0)/$U$1</f>
        <v>4.2372881355932203E-3</v>
      </c>
      <c r="X29" s="24" cm="1">
        <f t="array" ref="X29">IFERROR(ROWS(_xlfn._xlws.FILTER(
   DRG_Status!$A$2:$A$100000,
   (DRG_Status!$F$2:$F$100000=S_Curve_Data!T29) *
   (DRG_Status!$B$2:$B$100000=S_Curve_Data!$T$1)
)),0)/$U$1</f>
        <v>5.9322033898305086E-2</v>
      </c>
    </row>
    <row r="30" spans="6:45">
      <c r="F30" s="18">
        <f>Mappings!B29</f>
        <v>45852</v>
      </c>
      <c r="G30" s="24" cm="1">
        <f t="array" ref="G30">IFERROR(ROWS(_xlfn._xlws.FILTER(
   DRG_Status!$A$2:$A$100000,
   (DRG_Status!$C$2:$C$100000=S_Curve_Data!F30) *
   (DRG_Status!$B$2:$B$100000=S_Curve_Data!$F$1)
)),0)/$G$1</f>
        <v>0</v>
      </c>
      <c r="H30" s="24" cm="1">
        <f t="array" ref="H30">IFERROR(ROWS(_xlfn._xlws.FILTER(
   DRG_Status!$A$2:$A$100000,
   (DRG_Status!$D$2:$D$100000=S_Curve_Data!F30) *
   (DRG_Status!$B$2:$B$100000=S_Curve_Data!$F$1)
)),0)/$G$1</f>
        <v>0</v>
      </c>
      <c r="I30" s="24" cm="1">
        <f t="array" ref="I30">IFERROR(ROWS(_xlfn._xlws.FILTER(
   DRG_Status!$A$2:$A$100000,
   (DRG_Status!$E$2:$E$100000=S_Curve_Data!F30) *
   (DRG_Status!$B$2:$B$100000=S_Curve_Data!$F$1)
)),0)/$G$1</f>
        <v>8.7431693989071038E-2</v>
      </c>
      <c r="J30" s="24" cm="1">
        <f t="array" ref="J30">IFERROR(ROWS(_xlfn._xlws.FILTER(
   DRG_Status!$A$2:$A$100000,
   (DRG_Status!$F$2:$F$100000=S_Curve_Data!F30) *
   (DRG_Status!$B$2:$B$100000=S_Curve_Data!$F$1)
)),0)/$G$1</f>
        <v>0</v>
      </c>
      <c r="M30" s="18">
        <f>Mappings!B29</f>
        <v>45852</v>
      </c>
      <c r="N30" s="24" cm="1">
        <f t="array" ref="N30">IFERROR(ROWS(_xlfn._xlws.FILTER(
   DRG_Status!$A$2:$A$100000,
   (DRG_Status!$C$2:$C$100000=S_Curve_Data!M30) *
   (DRG_Status!$B$2:$B$100000=S_Curve_Data!$M$1)
)),0)/$N$1</f>
        <v>0</v>
      </c>
      <c r="O30" s="24" cm="1">
        <f t="array" ref="O30">IFERROR(ROWS(_xlfn._xlws.FILTER(
   DRG_Status!$A$2:$A$100000,
   (DRG_Status!$D$2:$D$100000=S_Curve_Data!M30) *
   (DRG_Status!$B$2:$B$100000=S_Curve_Data!$M$1)
)),0)/$N$1</f>
        <v>0</v>
      </c>
      <c r="P30" s="24" cm="1">
        <f t="array" ref="P30">IFERROR(ROWS(_xlfn._xlws.FILTER(
   DRG_Status!$A$2:$A$100000,
   (DRG_Status!$E$2:$E$100000=S_Curve_Data!M30) *
   (DRG_Status!$B$2:$B$100000=S_Curve_Data!$M$1)
)),0)/$N$1</f>
        <v>0</v>
      </c>
      <c r="Q30" s="24" cm="1">
        <f t="array" ref="Q30">IFERROR(ROWS(_xlfn._xlws.FILTER(
   DRG_Status!$A$2:$A$100000,
   (DRG_Status!$F$2:$F$100000=S_Curve_Data!M30) *
   (DRG_Status!$B$2:$B$100000=S_Curve_Data!$M$1)
)),0)/$N$1</f>
        <v>2.4390243902439025E-2</v>
      </c>
      <c r="T30" s="18">
        <f>Mappings!B29</f>
        <v>45852</v>
      </c>
      <c r="U30" s="24" cm="1">
        <f t="array" ref="U30">IFERROR(ROWS(_xlfn._xlws.FILTER(
   DRG_Status!$A$2:$A$100000,
   (DRG_Status!$C$2:$C$100000=S_Curve_Data!T30) *
   (DRG_Status!$B$2:$B$100000=S_Curve_Data!$T$1)
)),0)/$U$1</f>
        <v>1.2711864406779662E-2</v>
      </c>
      <c r="V30" s="24" cm="1">
        <f t="array" ref="V30">IFERROR(ROWS(_xlfn._xlws.FILTER(
   DRG_Status!$A$2:$A$100000,
   (DRG_Status!$D$2:$D$100000=S_Curve_Data!T30) *
   (DRG_Status!$B$2:$B$100000=S_Curve_Data!$T$1)
)),0)/$U$1</f>
        <v>0</v>
      </c>
      <c r="W30" s="24" cm="1">
        <f t="array" ref="W30">IFERROR(ROWS(_xlfn._xlws.FILTER(
   DRG_Status!$A$2:$A$100000,
   (DRG_Status!$E$2:$E$100000=S_Curve_Data!T30) *
   (DRG_Status!$B$2:$B$100000=S_Curve_Data!$T$1)
)),0)/$U$1</f>
        <v>0.11440677966101695</v>
      </c>
      <c r="X30" s="24" cm="1">
        <f t="array" ref="X30">IFERROR(ROWS(_xlfn._xlws.FILTER(
   DRG_Status!$A$2:$A$100000,
   (DRG_Status!$F$2:$F$100000=S_Curve_Data!T30) *
   (DRG_Status!$B$2:$B$100000=S_Curve_Data!$T$1)
)),0)/$U$1</f>
        <v>0</v>
      </c>
    </row>
    <row r="31" spans="6:45">
      <c r="F31" s="18">
        <f>Mappings!B30</f>
        <v>45859</v>
      </c>
      <c r="G31" s="24" cm="1">
        <f t="array" ref="G31">IFERROR(ROWS(_xlfn._xlws.FILTER(
   DRG_Status!$A$2:$A$100000,
   (DRG_Status!$C$2:$C$100000=S_Curve_Data!F31) *
   (DRG_Status!$B$2:$B$100000=S_Curve_Data!$F$1)
)),0)/$G$1</f>
        <v>3.825136612021858E-2</v>
      </c>
      <c r="H31" s="24" cm="1">
        <f t="array" ref="H31">IFERROR(ROWS(_xlfn._xlws.FILTER(
   DRG_Status!$A$2:$A$100000,
   (DRG_Status!$D$2:$D$100000=S_Curve_Data!F31) *
   (DRG_Status!$B$2:$B$100000=S_Curve_Data!$F$1)
)),0)/$G$1</f>
        <v>0</v>
      </c>
      <c r="I31" s="24" cm="1">
        <f t="array" ref="I31">IFERROR(ROWS(_xlfn._xlws.FILTER(
   DRG_Status!$A$2:$A$100000,
   (DRG_Status!$E$2:$E$100000=S_Curve_Data!F31) *
   (DRG_Status!$B$2:$B$100000=S_Curve_Data!$F$1)
)),0)/$G$1</f>
        <v>1.6393442622950821E-2</v>
      </c>
      <c r="J31" s="24" cm="1">
        <f t="array" ref="J31">IFERROR(ROWS(_xlfn._xlws.FILTER(
   DRG_Status!$A$2:$A$100000,
   (DRG_Status!$F$2:$F$100000=S_Curve_Data!F31) *
   (DRG_Status!$B$2:$B$100000=S_Curve_Data!$F$1)
)),0)/$G$1</f>
        <v>0</v>
      </c>
      <c r="M31" s="18">
        <f>Mappings!B30</f>
        <v>45859</v>
      </c>
      <c r="N31" s="24" cm="1">
        <f t="array" ref="N31">IFERROR(ROWS(_xlfn._xlws.FILTER(
   DRG_Status!$A$2:$A$100000,
   (DRG_Status!$C$2:$C$100000=S_Curve_Data!M31) *
   (DRG_Status!$B$2:$B$100000=S_Curve_Data!$M$1)
)),0)/$N$1</f>
        <v>0</v>
      </c>
      <c r="O31" s="24" cm="1">
        <f t="array" ref="O31">IFERROR(ROWS(_xlfn._xlws.FILTER(
   DRG_Status!$A$2:$A$100000,
   (DRG_Status!$D$2:$D$100000=S_Curve_Data!M31) *
   (DRG_Status!$B$2:$B$100000=S_Curve_Data!$M$1)
)),0)/$N$1</f>
        <v>8.130081300813009E-3</v>
      </c>
      <c r="P31" s="24" cm="1">
        <f t="array" ref="P31">IFERROR(ROWS(_xlfn._xlws.FILTER(
   DRG_Status!$A$2:$A$100000,
   (DRG_Status!$E$2:$E$100000=S_Curve_Data!M31) *
   (DRG_Status!$B$2:$B$100000=S_Curve_Data!$M$1)
)),0)/$N$1</f>
        <v>8.130081300813009E-3</v>
      </c>
      <c r="Q31" s="24" cm="1">
        <f t="array" ref="Q31">IFERROR(ROWS(_xlfn._xlws.FILTER(
   DRG_Status!$A$2:$A$100000,
   (DRG_Status!$F$2:$F$100000=S_Curve_Data!M31) *
   (DRG_Status!$B$2:$B$100000=S_Curve_Data!$M$1)
)),0)/$N$1</f>
        <v>0</v>
      </c>
      <c r="T31" s="18">
        <f>Mappings!B30</f>
        <v>45859</v>
      </c>
      <c r="U31" s="24" cm="1">
        <f t="array" ref="U31">IFERROR(ROWS(_xlfn._xlws.FILTER(
   DRG_Status!$A$2:$A$100000,
   (DRG_Status!$C$2:$C$100000=S_Curve_Data!T31) *
   (DRG_Status!$B$2:$B$100000=S_Curve_Data!$T$1)
)),0)/$U$1</f>
        <v>1.2711864406779662E-2</v>
      </c>
      <c r="V31" s="24" cm="1">
        <f t="array" ref="V31">IFERROR(ROWS(_xlfn._xlws.FILTER(
   DRG_Status!$A$2:$A$100000,
   (DRG_Status!$D$2:$D$100000=S_Curve_Data!T31) *
   (DRG_Status!$B$2:$B$100000=S_Curve_Data!$T$1)
)),0)/$U$1</f>
        <v>8.4745762711864406E-3</v>
      </c>
      <c r="W31" s="24" cm="1">
        <f t="array" ref="W31">IFERROR(ROWS(_xlfn._xlws.FILTER(
   DRG_Status!$A$2:$A$100000,
   (DRG_Status!$E$2:$E$100000=S_Curve_Data!T31) *
   (DRG_Status!$B$2:$B$100000=S_Curve_Data!$T$1)
)),0)/$U$1</f>
        <v>0</v>
      </c>
      <c r="X31" s="24" cm="1">
        <f t="array" ref="X31">IFERROR(ROWS(_xlfn._xlws.FILTER(
   DRG_Status!$A$2:$A$100000,
   (DRG_Status!$F$2:$F$100000=S_Curve_Data!T31) *
   (DRG_Status!$B$2:$B$100000=S_Curve_Data!$T$1)
)),0)/$U$1</f>
        <v>0</v>
      </c>
    </row>
    <row r="32" spans="6:45">
      <c r="F32" s="18">
        <f>Mappings!B31</f>
        <v>45866</v>
      </c>
      <c r="G32" s="24" cm="1">
        <f t="array" ref="G32">IFERROR(ROWS(_xlfn._xlws.FILTER(
   DRG_Status!$A$2:$A$100000,
   (DRG_Status!$C$2:$C$100000=S_Curve_Data!F32) *
   (DRG_Status!$B$2:$B$100000=S_Curve_Data!$F$1)
)),0)/$G$1</f>
        <v>0</v>
      </c>
      <c r="H32" s="24" cm="1">
        <f t="array" ref="H32">IFERROR(ROWS(_xlfn._xlws.FILTER(
   DRG_Status!$A$2:$A$100000,
   (DRG_Status!$D$2:$D$100000=S_Curve_Data!F32) *
   (DRG_Status!$B$2:$B$100000=S_Curve_Data!$F$1)
)),0)/$G$1</f>
        <v>0</v>
      </c>
      <c r="I32" s="24" cm="1">
        <f t="array" ref="I32">IFERROR(ROWS(_xlfn._xlws.FILTER(
   DRG_Status!$A$2:$A$100000,
   (DRG_Status!$E$2:$E$100000=S_Curve_Data!F32) *
   (DRG_Status!$B$2:$B$100000=S_Curve_Data!$F$1)
)),0)/$G$1</f>
        <v>7.650273224043716E-2</v>
      </c>
      <c r="J32" s="24" cm="1">
        <f t="array" ref="J32">IFERROR(ROWS(_xlfn._xlws.FILTER(
   DRG_Status!$A$2:$A$100000,
   (DRG_Status!$F$2:$F$100000=S_Curve_Data!F32) *
   (DRG_Status!$B$2:$B$100000=S_Curve_Data!$F$1)
)),0)/$G$1</f>
        <v>0</v>
      </c>
      <c r="M32" s="18">
        <f>Mappings!B31</f>
        <v>45866</v>
      </c>
      <c r="N32" s="24" cm="1">
        <f t="array" ref="N32">IFERROR(ROWS(_xlfn._xlws.FILTER(
   DRG_Status!$A$2:$A$100000,
   (DRG_Status!$C$2:$C$100000=S_Curve_Data!M32) *
   (DRG_Status!$B$2:$B$100000=S_Curve_Data!$M$1)
)),0)/$N$1</f>
        <v>8.130081300813009E-3</v>
      </c>
      <c r="O32" s="24" cm="1">
        <f t="array" ref="O32">IFERROR(ROWS(_xlfn._xlws.FILTER(
   DRG_Status!$A$2:$A$100000,
   (DRG_Status!$D$2:$D$100000=S_Curve_Data!M32) *
   (DRG_Status!$B$2:$B$100000=S_Curve_Data!$M$1)
)),0)/$N$1</f>
        <v>8.130081300813009E-3</v>
      </c>
      <c r="P32" s="24" cm="1">
        <f t="array" ref="P32">IFERROR(ROWS(_xlfn._xlws.FILTER(
   DRG_Status!$A$2:$A$100000,
   (DRG_Status!$E$2:$E$100000=S_Curve_Data!M32) *
   (DRG_Status!$B$2:$B$100000=S_Curve_Data!$M$1)
)),0)/$N$1</f>
        <v>0</v>
      </c>
      <c r="Q32" s="24" cm="1">
        <f t="array" ref="Q32">IFERROR(ROWS(_xlfn._xlws.FILTER(
   DRG_Status!$A$2:$A$100000,
   (DRG_Status!$F$2:$F$100000=S_Curve_Data!M32) *
   (DRG_Status!$B$2:$B$100000=S_Curve_Data!$M$1)
)),0)/$N$1</f>
        <v>0</v>
      </c>
      <c r="T32" s="18">
        <f>Mappings!B31</f>
        <v>45866</v>
      </c>
      <c r="U32" s="24" cm="1">
        <f t="array" ref="U32">IFERROR(ROWS(_xlfn._xlws.FILTER(
   DRG_Status!$A$2:$A$100000,
   (DRG_Status!$C$2:$C$100000=S_Curve_Data!T32) *
   (DRG_Status!$B$2:$B$100000=S_Curve_Data!$T$1)
)),0)/$U$1</f>
        <v>0</v>
      </c>
      <c r="V32" s="24" cm="1">
        <f t="array" ref="V32">IFERROR(ROWS(_xlfn._xlws.FILTER(
   DRG_Status!$A$2:$A$100000,
   (DRG_Status!$D$2:$D$100000=S_Curve_Data!T32) *
   (DRG_Status!$B$2:$B$100000=S_Curve_Data!$T$1)
)),0)/$U$1</f>
        <v>0</v>
      </c>
      <c r="W32" s="24" cm="1">
        <f t="array" ref="W32">IFERROR(ROWS(_xlfn._xlws.FILTER(
   DRG_Status!$A$2:$A$100000,
   (DRG_Status!$E$2:$E$100000=S_Curve_Data!T32) *
   (DRG_Status!$B$2:$B$100000=S_Curve_Data!$T$1)
)),0)/$U$1</f>
        <v>0.11016949152542373</v>
      </c>
      <c r="X32" s="24" cm="1">
        <f t="array" ref="X32">IFERROR(ROWS(_xlfn._xlws.FILTER(
   DRG_Status!$A$2:$A$100000,
   (DRG_Status!$F$2:$F$100000=S_Curve_Data!T32) *
   (DRG_Status!$B$2:$B$100000=S_Curve_Data!$T$1)
)),0)/$U$1</f>
        <v>0</v>
      </c>
    </row>
    <row r="33" spans="6:24">
      <c r="F33" s="18">
        <f>Mappings!B32</f>
        <v>45873</v>
      </c>
      <c r="G33" s="24" cm="1">
        <f t="array" ref="G33">IFERROR(ROWS(_xlfn._xlws.FILTER(
   DRG_Status!$A$2:$A$100000,
   (DRG_Status!$C$2:$C$100000=S_Curve_Data!F33) *
   (DRG_Status!$B$2:$B$100000=S_Curve_Data!$F$1)
)),0)/$G$1</f>
        <v>0</v>
      </c>
      <c r="H33" s="24" cm="1">
        <f t="array" ref="H33">IFERROR(ROWS(_xlfn._xlws.FILTER(
   DRG_Status!$A$2:$A$100000,
   (DRG_Status!$D$2:$D$100000=S_Curve_Data!F33) *
   (DRG_Status!$B$2:$B$100000=S_Curve_Data!$F$1)
)),0)/$G$1</f>
        <v>0</v>
      </c>
      <c r="I33" s="24" cm="1">
        <f t="array" ref="I33">IFERROR(ROWS(_xlfn._xlws.FILTER(
   DRG_Status!$A$2:$A$100000,
   (DRG_Status!$E$2:$E$100000=S_Curve_Data!F33) *
   (DRG_Status!$B$2:$B$100000=S_Curve_Data!$F$1)
)),0)/$G$1</f>
        <v>0</v>
      </c>
      <c r="J33" s="24" cm="1">
        <f t="array" ref="J33">IFERROR(ROWS(_xlfn._xlws.FILTER(
   DRG_Status!$A$2:$A$100000,
   (DRG_Status!$F$2:$F$100000=S_Curve_Data!F33) *
   (DRG_Status!$B$2:$B$100000=S_Curve_Data!$F$1)
)),0)/$G$1</f>
        <v>0</v>
      </c>
      <c r="M33" s="18">
        <f>Mappings!B32</f>
        <v>45873</v>
      </c>
      <c r="N33" s="24" cm="1">
        <f t="array" ref="N33">IFERROR(ROWS(_xlfn._xlws.FILTER(
   DRG_Status!$A$2:$A$100000,
   (DRG_Status!$C$2:$C$100000=S_Curve_Data!M33) *
   (DRG_Status!$B$2:$B$100000=S_Curve_Data!$M$1)
)),0)/$N$1</f>
        <v>0</v>
      </c>
      <c r="O33" s="24" cm="1">
        <f t="array" ref="O33">IFERROR(ROWS(_xlfn._xlws.FILTER(
   DRG_Status!$A$2:$A$100000,
   (DRG_Status!$D$2:$D$100000=S_Curve_Data!M33) *
   (DRG_Status!$B$2:$B$100000=S_Curve_Data!$M$1)
)),0)/$N$1</f>
        <v>0</v>
      </c>
      <c r="P33" s="24" cm="1">
        <f t="array" ref="P33">IFERROR(ROWS(_xlfn._xlws.FILTER(
   DRG_Status!$A$2:$A$100000,
   (DRG_Status!$E$2:$E$100000=S_Curve_Data!M33) *
   (DRG_Status!$B$2:$B$100000=S_Curve_Data!$M$1)
)),0)/$N$1</f>
        <v>0</v>
      </c>
      <c r="Q33" s="24" cm="1">
        <f t="array" ref="Q33">IFERROR(ROWS(_xlfn._xlws.FILTER(
   DRG_Status!$A$2:$A$100000,
   (DRG_Status!$F$2:$F$100000=S_Curve_Data!M33) *
   (DRG_Status!$B$2:$B$100000=S_Curve_Data!$M$1)
)),0)/$N$1</f>
        <v>0</v>
      </c>
      <c r="T33" s="18">
        <f>Mappings!B32</f>
        <v>45873</v>
      </c>
      <c r="U33" s="24" cm="1">
        <f t="array" ref="U33">IFERROR(ROWS(_xlfn._xlws.FILTER(
   DRG_Status!$A$2:$A$100000,
   (DRG_Status!$C$2:$C$100000=S_Curve_Data!T33) *
   (DRG_Status!$B$2:$B$100000=S_Curve_Data!$T$1)
)),0)/$U$1</f>
        <v>0</v>
      </c>
      <c r="V33" s="24" cm="1">
        <f t="array" ref="V33">IFERROR(ROWS(_xlfn._xlws.FILTER(
   DRG_Status!$A$2:$A$100000,
   (DRG_Status!$D$2:$D$100000=S_Curve_Data!T33) *
   (DRG_Status!$B$2:$B$100000=S_Curve_Data!$T$1)
)),0)/$U$1</f>
        <v>0</v>
      </c>
      <c r="W33" s="24" cm="1">
        <f t="array" ref="W33">IFERROR(ROWS(_xlfn._xlws.FILTER(
   DRG_Status!$A$2:$A$100000,
   (DRG_Status!$E$2:$E$100000=S_Curve_Data!T33) *
   (DRG_Status!$B$2:$B$100000=S_Curve_Data!$T$1)
)),0)/$U$1</f>
        <v>0</v>
      </c>
      <c r="X33" s="24" cm="1">
        <f t="array" ref="X33">IFERROR(ROWS(_xlfn._xlws.FILTER(
   DRG_Status!$A$2:$A$100000,
   (DRG_Status!$F$2:$F$100000=S_Curve_Data!T33) *
   (DRG_Status!$B$2:$B$100000=S_Curve_Data!$T$1)
)),0)/$U$1</f>
        <v>0</v>
      </c>
    </row>
    <row r="34" spans="6:24">
      <c r="F34" s="18">
        <f>Mappings!B33</f>
        <v>45880</v>
      </c>
      <c r="G34" s="24" cm="1">
        <f t="array" ref="G34">IFERROR(ROWS(_xlfn._xlws.FILTER(
   DRG_Status!$A$2:$A$100000,
   (DRG_Status!$C$2:$C$100000=S_Curve_Data!F34) *
   (DRG_Status!$B$2:$B$100000=S_Curve_Data!$F$1)
)),0)/$G$1</f>
        <v>0</v>
      </c>
      <c r="H34" s="24" cm="1">
        <f t="array" ref="H34">IFERROR(ROWS(_xlfn._xlws.FILTER(
   DRG_Status!$A$2:$A$100000,
   (DRG_Status!$D$2:$D$100000=S_Curve_Data!F34) *
   (DRG_Status!$B$2:$B$100000=S_Curve_Data!$F$1)
)),0)/$G$1</f>
        <v>0</v>
      </c>
      <c r="I34" s="24" cm="1">
        <f t="array" ref="I34">IFERROR(ROWS(_xlfn._xlws.FILTER(
   DRG_Status!$A$2:$A$100000,
   (DRG_Status!$E$2:$E$100000=S_Curve_Data!F34) *
   (DRG_Status!$B$2:$B$100000=S_Curve_Data!$F$1)
)),0)/$G$1</f>
        <v>3.2786885245901641E-2</v>
      </c>
      <c r="J34" s="24" cm="1">
        <f t="array" ref="J34">IFERROR(ROWS(_xlfn._xlws.FILTER(
   DRG_Status!$A$2:$A$100000,
   (DRG_Status!$F$2:$F$100000=S_Curve_Data!F34) *
   (DRG_Status!$B$2:$B$100000=S_Curve_Data!$F$1)
)),0)/$G$1</f>
        <v>0</v>
      </c>
      <c r="M34" s="18">
        <f>Mappings!B33</f>
        <v>45880</v>
      </c>
      <c r="N34" s="24" cm="1">
        <f t="array" ref="N34">IFERROR(ROWS(_xlfn._xlws.FILTER(
   DRG_Status!$A$2:$A$100000,
   (DRG_Status!$C$2:$C$100000=S_Curve_Data!M34) *
   (DRG_Status!$B$2:$B$100000=S_Curve_Data!$M$1)
)),0)/$N$1</f>
        <v>0</v>
      </c>
      <c r="O34" s="24" cm="1">
        <f t="array" ref="O34">IFERROR(ROWS(_xlfn._xlws.FILTER(
   DRG_Status!$A$2:$A$100000,
   (DRG_Status!$D$2:$D$100000=S_Curve_Data!M34) *
   (DRG_Status!$B$2:$B$100000=S_Curve_Data!$M$1)
)),0)/$N$1</f>
        <v>0</v>
      </c>
      <c r="P34" s="24" cm="1">
        <f t="array" ref="P34">IFERROR(ROWS(_xlfn._xlws.FILTER(
   DRG_Status!$A$2:$A$100000,
   (DRG_Status!$E$2:$E$100000=S_Curve_Data!M34) *
   (DRG_Status!$B$2:$B$100000=S_Curve_Data!$M$1)
)),0)/$N$1</f>
        <v>0</v>
      </c>
      <c r="Q34" s="24" cm="1">
        <f t="array" ref="Q34">IFERROR(ROWS(_xlfn._xlws.FILTER(
   DRG_Status!$A$2:$A$100000,
   (DRG_Status!$F$2:$F$100000=S_Curve_Data!M34) *
   (DRG_Status!$B$2:$B$100000=S_Curve_Data!$M$1)
)),0)/$N$1</f>
        <v>1.6260162601626018E-2</v>
      </c>
      <c r="T34" s="18">
        <f>Mappings!B33</f>
        <v>45880</v>
      </c>
      <c r="U34" s="24" cm="1">
        <f t="array" ref="U34">IFERROR(ROWS(_xlfn._xlws.FILTER(
   DRG_Status!$A$2:$A$100000,
   (DRG_Status!$C$2:$C$100000=S_Curve_Data!T34) *
   (DRG_Status!$B$2:$B$100000=S_Curve_Data!$T$1)
)),0)/$U$1</f>
        <v>0</v>
      </c>
      <c r="V34" s="24" cm="1">
        <f t="array" ref="V34">IFERROR(ROWS(_xlfn._xlws.FILTER(
   DRG_Status!$A$2:$A$100000,
   (DRG_Status!$D$2:$D$100000=S_Curve_Data!T34) *
   (DRG_Status!$B$2:$B$100000=S_Curve_Data!$T$1)
)),0)/$U$1</f>
        <v>0</v>
      </c>
      <c r="W34" s="24" cm="1">
        <f t="array" ref="W34">IFERROR(ROWS(_xlfn._xlws.FILTER(
   DRG_Status!$A$2:$A$100000,
   (DRG_Status!$E$2:$E$100000=S_Curve_Data!T34) *
   (DRG_Status!$B$2:$B$100000=S_Curve_Data!$T$1)
)),0)/$U$1</f>
        <v>0.1059322033898305</v>
      </c>
      <c r="X34" s="24" cm="1">
        <f t="array" ref="X34">IFERROR(ROWS(_xlfn._xlws.FILTER(
   DRG_Status!$A$2:$A$100000,
   (DRG_Status!$F$2:$F$100000=S_Curve_Data!T34) *
   (DRG_Status!$B$2:$B$100000=S_Curve_Data!$T$1)
)),0)/$U$1</f>
        <v>0</v>
      </c>
    </row>
    <row r="35" spans="6:24">
      <c r="F35" s="18">
        <f>Mappings!B34</f>
        <v>45887</v>
      </c>
      <c r="G35" s="24" cm="1">
        <f t="array" ref="G35">IFERROR(ROWS(_xlfn._xlws.FILTER(
   DRG_Status!$A$2:$A$100000,
   (DRG_Status!$C$2:$C$100000=S_Curve_Data!F35) *
   (DRG_Status!$B$2:$B$100000=S_Curve_Data!$F$1)
)),0)/$G$1</f>
        <v>0</v>
      </c>
      <c r="H35" s="24" cm="1">
        <f t="array" ref="H35">IFERROR(ROWS(_xlfn._xlws.FILTER(
   DRG_Status!$A$2:$A$100000,
   (DRG_Status!$D$2:$D$100000=S_Curve_Data!F35) *
   (DRG_Status!$B$2:$B$100000=S_Curve_Data!$F$1)
)),0)/$G$1</f>
        <v>0</v>
      </c>
      <c r="I35" s="24" cm="1">
        <f t="array" ref="I35">IFERROR(ROWS(_xlfn._xlws.FILTER(
   DRG_Status!$A$2:$A$100000,
   (DRG_Status!$E$2:$E$100000=S_Curve_Data!F35) *
   (DRG_Status!$B$2:$B$100000=S_Curve_Data!$F$1)
)),0)/$G$1</f>
        <v>2.7322404371584699E-2</v>
      </c>
      <c r="J35" s="24" cm="1">
        <f t="array" ref="J35">IFERROR(ROWS(_xlfn._xlws.FILTER(
   DRG_Status!$A$2:$A$100000,
   (DRG_Status!$F$2:$F$100000=S_Curve_Data!F35) *
   (DRG_Status!$B$2:$B$100000=S_Curve_Data!$F$1)
)),0)/$G$1</f>
        <v>0</v>
      </c>
      <c r="M35" s="18">
        <f>Mappings!B34</f>
        <v>45887</v>
      </c>
      <c r="N35" s="24" cm="1">
        <f t="array" ref="N35">IFERROR(ROWS(_xlfn._xlws.FILTER(
   DRG_Status!$A$2:$A$100000,
   (DRG_Status!$C$2:$C$100000=S_Curve_Data!M35) *
   (DRG_Status!$B$2:$B$100000=S_Curve_Data!$M$1)
)),0)/$N$1</f>
        <v>0</v>
      </c>
      <c r="O35" s="24" cm="1">
        <f t="array" ref="O35">IFERROR(ROWS(_xlfn._xlws.FILTER(
   DRG_Status!$A$2:$A$100000,
   (DRG_Status!$D$2:$D$100000=S_Curve_Data!M35) *
   (DRG_Status!$B$2:$B$100000=S_Curve_Data!$M$1)
)),0)/$N$1</f>
        <v>0</v>
      </c>
      <c r="P35" s="24" cm="1">
        <f t="array" ref="P35">IFERROR(ROWS(_xlfn._xlws.FILTER(
   DRG_Status!$A$2:$A$100000,
   (DRG_Status!$E$2:$E$100000=S_Curve_Data!M35) *
   (DRG_Status!$B$2:$B$100000=S_Curve_Data!$M$1)
)),0)/$N$1</f>
        <v>0</v>
      </c>
      <c r="Q35" s="24" cm="1">
        <f t="array" ref="Q35">IFERROR(ROWS(_xlfn._xlws.FILTER(
   DRG_Status!$A$2:$A$100000,
   (DRG_Status!$F$2:$F$100000=S_Curve_Data!M35) *
   (DRG_Status!$B$2:$B$100000=S_Curve_Data!$M$1)
)),0)/$N$1</f>
        <v>0</v>
      </c>
      <c r="T35" s="18">
        <f>Mappings!B34</f>
        <v>45887</v>
      </c>
      <c r="U35" s="24" cm="1">
        <f t="array" ref="U35">IFERROR(ROWS(_xlfn._xlws.FILTER(
   DRG_Status!$A$2:$A$100000,
   (DRG_Status!$C$2:$C$100000=S_Curve_Data!T35) *
   (DRG_Status!$B$2:$B$100000=S_Curve_Data!$T$1)
)),0)/$U$1</f>
        <v>0</v>
      </c>
      <c r="V35" s="24" cm="1">
        <f t="array" ref="V35">IFERROR(ROWS(_xlfn._xlws.FILTER(
   DRG_Status!$A$2:$A$100000,
   (DRG_Status!$D$2:$D$100000=S_Curve_Data!T35) *
   (DRG_Status!$B$2:$B$100000=S_Curve_Data!$T$1)
)),0)/$U$1</f>
        <v>0</v>
      </c>
      <c r="W35" s="24" cm="1">
        <f t="array" ref="W35">IFERROR(ROWS(_xlfn._xlws.FILTER(
   DRG_Status!$A$2:$A$100000,
   (DRG_Status!$E$2:$E$100000=S_Curve_Data!T35) *
   (DRG_Status!$B$2:$B$100000=S_Curve_Data!$T$1)
)),0)/$U$1</f>
        <v>0</v>
      </c>
      <c r="X35" s="24" cm="1">
        <f t="array" ref="X35">IFERROR(ROWS(_xlfn._xlws.FILTER(
   DRG_Status!$A$2:$A$100000,
   (DRG_Status!$F$2:$F$100000=S_Curve_Data!T35) *
   (DRG_Status!$B$2:$B$100000=S_Curve_Data!$T$1)
)),0)/$U$1</f>
        <v>0</v>
      </c>
    </row>
    <row r="36" spans="6:24">
      <c r="F36" s="18">
        <f>Mappings!B35</f>
        <v>45894</v>
      </c>
      <c r="G36" s="24" cm="1">
        <f t="array" ref="G36">IFERROR(ROWS(_xlfn._xlws.FILTER(
   DRG_Status!$A$2:$A$100000,
   (DRG_Status!$C$2:$C$100000=S_Curve_Data!F36) *
   (DRG_Status!$B$2:$B$100000=S_Curve_Data!$F$1)
)),0)/$G$1</f>
        <v>0</v>
      </c>
      <c r="H36" s="24" cm="1">
        <f t="array" ref="H36">IFERROR(ROWS(_xlfn._xlws.FILTER(
   DRG_Status!$A$2:$A$100000,
   (DRG_Status!$D$2:$D$100000=S_Curve_Data!F36) *
   (DRG_Status!$B$2:$B$100000=S_Curve_Data!$F$1)
)),0)/$G$1</f>
        <v>0.10928961748633879</v>
      </c>
      <c r="I36" s="24" cm="1">
        <f t="array" ref="I36">IFERROR(ROWS(_xlfn._xlws.FILTER(
   DRG_Status!$A$2:$A$100000,
   (DRG_Status!$E$2:$E$100000=S_Curve_Data!F36) *
   (DRG_Status!$B$2:$B$100000=S_Curve_Data!$F$1)
)),0)/$G$1</f>
        <v>0</v>
      </c>
      <c r="J36" s="24" cm="1">
        <f t="array" ref="J36">IFERROR(ROWS(_xlfn._xlws.FILTER(
   DRG_Status!$A$2:$A$100000,
   (DRG_Status!$F$2:$F$100000=S_Curve_Data!F36) *
   (DRG_Status!$B$2:$B$100000=S_Curve_Data!$F$1)
)),0)/$G$1</f>
        <v>3.2786885245901641E-2</v>
      </c>
      <c r="M36" s="18">
        <f>Mappings!B35</f>
        <v>45894</v>
      </c>
      <c r="N36" s="24" cm="1">
        <f t="array" ref="N36">IFERROR(ROWS(_xlfn._xlws.FILTER(
   DRG_Status!$A$2:$A$100000,
   (DRG_Status!$C$2:$C$100000=S_Curve_Data!M36) *
   (DRG_Status!$B$2:$B$100000=S_Curve_Data!$M$1)
)),0)/$N$1</f>
        <v>0</v>
      </c>
      <c r="O36" s="24" cm="1">
        <f t="array" ref="O36">IFERROR(ROWS(_xlfn._xlws.FILTER(
   DRG_Status!$A$2:$A$100000,
   (DRG_Status!$D$2:$D$100000=S_Curve_Data!M36) *
   (DRG_Status!$B$2:$B$100000=S_Curve_Data!$M$1)
)),0)/$N$1</f>
        <v>8.130081300813009E-3</v>
      </c>
      <c r="P36" s="24" cm="1">
        <f t="array" ref="P36">IFERROR(ROWS(_xlfn._xlws.FILTER(
   DRG_Status!$A$2:$A$100000,
   (DRG_Status!$E$2:$E$100000=S_Curve_Data!M36) *
   (DRG_Status!$B$2:$B$100000=S_Curve_Data!$M$1)
)),0)/$N$1</f>
        <v>8.130081300813009E-3</v>
      </c>
      <c r="Q36" s="24" cm="1">
        <f t="array" ref="Q36">IFERROR(ROWS(_xlfn._xlws.FILTER(
   DRG_Status!$A$2:$A$100000,
   (DRG_Status!$F$2:$F$100000=S_Curve_Data!M36) *
   (DRG_Status!$B$2:$B$100000=S_Curve_Data!$M$1)
)),0)/$N$1</f>
        <v>0</v>
      </c>
      <c r="T36" s="18">
        <f>Mappings!B35</f>
        <v>45894</v>
      </c>
      <c r="U36" s="24" cm="1">
        <f t="array" ref="U36">IFERROR(ROWS(_xlfn._xlws.FILTER(
   DRG_Status!$A$2:$A$100000,
   (DRG_Status!$C$2:$C$100000=S_Curve_Data!T36) *
   (DRG_Status!$B$2:$B$100000=S_Curve_Data!$T$1)
)),0)/$U$1</f>
        <v>0</v>
      </c>
      <c r="V36" s="24" cm="1">
        <f t="array" ref="V36">IFERROR(ROWS(_xlfn._xlws.FILTER(
   DRG_Status!$A$2:$A$100000,
   (DRG_Status!$D$2:$D$100000=S_Curve_Data!T36) *
   (DRG_Status!$B$2:$B$100000=S_Curve_Data!$T$1)
)),0)/$U$1</f>
        <v>0.13135593220338984</v>
      </c>
      <c r="W36" s="24" cm="1">
        <f t="array" ref="W36">IFERROR(ROWS(_xlfn._xlws.FILTER(
   DRG_Status!$A$2:$A$100000,
   (DRG_Status!$E$2:$E$100000=S_Curve_Data!T36) *
   (DRG_Status!$B$2:$B$100000=S_Curve_Data!$T$1)
)),0)/$U$1</f>
        <v>0</v>
      </c>
      <c r="X36" s="24" cm="1">
        <f t="array" ref="X36">IFERROR(ROWS(_xlfn._xlws.FILTER(
   DRG_Status!$A$2:$A$100000,
   (DRG_Status!$F$2:$F$100000=S_Curve_Data!T36) *
   (DRG_Status!$B$2:$B$100000=S_Curve_Data!$T$1)
)),0)/$U$1</f>
        <v>1.2711864406779662E-2</v>
      </c>
    </row>
    <row r="37" spans="6:24">
      <c r="F37" s="18">
        <f>Mappings!B36</f>
        <v>45901</v>
      </c>
      <c r="G37" s="24" cm="1">
        <f t="array" ref="G37">IFERROR(ROWS(_xlfn._xlws.FILTER(
   DRG_Status!$A$2:$A$100000,
   (DRG_Status!$C$2:$C$100000=S_Curve_Data!F37) *
   (DRG_Status!$B$2:$B$100000=S_Curve_Data!$F$1)
)),0)/$G$1</f>
        <v>0</v>
      </c>
      <c r="H37" s="24" cm="1">
        <f t="array" ref="H37">IFERROR(ROWS(_xlfn._xlws.FILTER(
   DRG_Status!$A$2:$A$100000,
   (DRG_Status!$D$2:$D$100000=S_Curve_Data!F37) *
   (DRG_Status!$B$2:$B$100000=S_Curve_Data!$F$1)
)),0)/$G$1</f>
        <v>0</v>
      </c>
      <c r="I37" s="24" cm="1">
        <f t="array" ref="I37">IFERROR(ROWS(_xlfn._xlws.FILTER(
   DRG_Status!$A$2:$A$100000,
   (DRG_Status!$E$2:$E$100000=S_Curve_Data!F37) *
   (DRG_Status!$B$2:$B$100000=S_Curve_Data!$F$1)
)),0)/$G$1</f>
        <v>0</v>
      </c>
      <c r="J37" s="24" cm="1">
        <f t="array" ref="J37">IFERROR(ROWS(_xlfn._xlws.FILTER(
   DRG_Status!$A$2:$A$100000,
   (DRG_Status!$F$2:$F$100000=S_Curve_Data!F37) *
   (DRG_Status!$B$2:$B$100000=S_Curve_Data!$F$1)
)),0)/$G$1</f>
        <v>0</v>
      </c>
      <c r="M37" s="18">
        <f>Mappings!B36</f>
        <v>45901</v>
      </c>
      <c r="N37" s="24" cm="1">
        <f t="array" ref="N37">IFERROR(ROWS(_xlfn._xlws.FILTER(
   DRG_Status!$A$2:$A$100000,
   (DRG_Status!$C$2:$C$100000=S_Curve_Data!M37) *
   (DRG_Status!$B$2:$B$100000=S_Curve_Data!$M$1)
)),0)/$N$1</f>
        <v>0</v>
      </c>
      <c r="O37" s="24" cm="1">
        <f t="array" ref="O37">IFERROR(ROWS(_xlfn._xlws.FILTER(
   DRG_Status!$A$2:$A$100000,
   (DRG_Status!$D$2:$D$100000=S_Curve_Data!M37) *
   (DRG_Status!$B$2:$B$100000=S_Curve_Data!$M$1)
)),0)/$N$1</f>
        <v>0</v>
      </c>
      <c r="P37" s="24" cm="1">
        <f t="array" ref="P37">IFERROR(ROWS(_xlfn._xlws.FILTER(
   DRG_Status!$A$2:$A$100000,
   (DRG_Status!$E$2:$E$100000=S_Curve_Data!M37) *
   (DRG_Status!$B$2:$B$100000=S_Curve_Data!$M$1)
)),0)/$N$1</f>
        <v>0</v>
      </c>
      <c r="Q37" s="24" cm="1">
        <f t="array" ref="Q37">IFERROR(ROWS(_xlfn._xlws.FILTER(
   DRG_Status!$A$2:$A$100000,
   (DRG_Status!$F$2:$F$100000=S_Curve_Data!M37) *
   (DRG_Status!$B$2:$B$100000=S_Curve_Data!$M$1)
)),0)/$N$1</f>
        <v>0</v>
      </c>
      <c r="T37" s="18">
        <f>Mappings!B36</f>
        <v>45901</v>
      </c>
      <c r="U37" s="24" cm="1">
        <f t="array" ref="U37">IFERROR(ROWS(_xlfn._xlws.FILTER(
   DRG_Status!$A$2:$A$100000,
   (DRG_Status!$C$2:$C$100000=S_Curve_Data!T37) *
   (DRG_Status!$B$2:$B$100000=S_Curve_Data!$T$1)
)),0)/$U$1</f>
        <v>0</v>
      </c>
      <c r="V37" s="24" cm="1">
        <f t="array" ref="V37">IFERROR(ROWS(_xlfn._xlws.FILTER(
   DRG_Status!$A$2:$A$100000,
   (DRG_Status!$D$2:$D$100000=S_Curve_Data!T37) *
   (DRG_Status!$B$2:$B$100000=S_Curve_Data!$T$1)
)),0)/$U$1</f>
        <v>0</v>
      </c>
      <c r="W37" s="24" cm="1">
        <f t="array" ref="W37">IFERROR(ROWS(_xlfn._xlws.FILTER(
   DRG_Status!$A$2:$A$100000,
   (DRG_Status!$E$2:$E$100000=S_Curve_Data!T37) *
   (DRG_Status!$B$2:$B$100000=S_Curve_Data!$T$1)
)),0)/$U$1</f>
        <v>0</v>
      </c>
      <c r="X37" s="24" cm="1">
        <f t="array" ref="X37">IFERROR(ROWS(_xlfn._xlws.FILTER(
   DRG_Status!$A$2:$A$100000,
   (DRG_Status!$F$2:$F$100000=S_Curve_Data!T37) *
   (DRG_Status!$B$2:$B$100000=S_Curve_Data!$T$1)
)),0)/$U$1</f>
        <v>0</v>
      </c>
    </row>
    <row r="38" spans="6:24">
      <c r="F38" s="18">
        <f>Mappings!B37</f>
        <v>45908</v>
      </c>
      <c r="G38" s="24" cm="1">
        <f t="array" ref="G38">IFERROR(ROWS(_xlfn._xlws.FILTER(
   DRG_Status!$A$2:$A$100000,
   (DRG_Status!$C$2:$C$100000=S_Curve_Data!F38) *
   (DRG_Status!$B$2:$B$100000=S_Curve_Data!$F$1)
)),0)/$G$1</f>
        <v>0</v>
      </c>
      <c r="H38" s="24" cm="1">
        <f t="array" ref="H38">IFERROR(ROWS(_xlfn._xlws.FILTER(
   DRG_Status!$A$2:$A$100000,
   (DRG_Status!$D$2:$D$100000=S_Curve_Data!F38) *
   (DRG_Status!$B$2:$B$100000=S_Curve_Data!$F$1)
)),0)/$G$1</f>
        <v>3.825136612021858E-2</v>
      </c>
      <c r="I38" s="24" cm="1">
        <f t="array" ref="I38">IFERROR(ROWS(_xlfn._xlws.FILTER(
   DRG_Status!$A$2:$A$100000,
   (DRG_Status!$E$2:$E$100000=S_Curve_Data!F38) *
   (DRG_Status!$B$2:$B$100000=S_Curve_Data!$F$1)
)),0)/$G$1</f>
        <v>0</v>
      </c>
      <c r="J38" s="24" cm="1">
        <f t="array" ref="J38">IFERROR(ROWS(_xlfn._xlws.FILTER(
   DRG_Status!$A$2:$A$100000,
   (DRG_Status!$F$2:$F$100000=S_Curve_Data!F38) *
   (DRG_Status!$B$2:$B$100000=S_Curve_Data!$F$1)
)),0)/$G$1</f>
        <v>6.0109289617486336E-2</v>
      </c>
      <c r="M38" s="18">
        <f>Mappings!B37</f>
        <v>45908</v>
      </c>
      <c r="N38" s="24" cm="1">
        <f t="array" ref="N38">IFERROR(ROWS(_xlfn._xlws.FILTER(
   DRG_Status!$A$2:$A$100000,
   (DRG_Status!$C$2:$C$100000=S_Curve_Data!M38) *
   (DRG_Status!$B$2:$B$100000=S_Curve_Data!$M$1)
)),0)/$N$1</f>
        <v>0</v>
      </c>
      <c r="O38" s="24" cm="1">
        <f t="array" ref="O38">IFERROR(ROWS(_xlfn._xlws.FILTER(
   DRG_Status!$A$2:$A$100000,
   (DRG_Status!$D$2:$D$100000=S_Curve_Data!M38) *
   (DRG_Status!$B$2:$B$100000=S_Curve_Data!$M$1)
)),0)/$N$1</f>
        <v>0</v>
      </c>
      <c r="P38" s="24" cm="1">
        <f t="array" ref="P38">IFERROR(ROWS(_xlfn._xlws.FILTER(
   DRG_Status!$A$2:$A$100000,
   (DRG_Status!$E$2:$E$100000=S_Curve_Data!M38) *
   (DRG_Status!$B$2:$B$100000=S_Curve_Data!$M$1)
)),0)/$N$1</f>
        <v>0</v>
      </c>
      <c r="Q38" s="24" cm="1">
        <f t="array" ref="Q38">IFERROR(ROWS(_xlfn._xlws.FILTER(
   DRG_Status!$A$2:$A$100000,
   (DRG_Status!$F$2:$F$100000=S_Curve_Data!M38) *
   (DRG_Status!$B$2:$B$100000=S_Curve_Data!$M$1)
)),0)/$N$1</f>
        <v>0.17886178861788618</v>
      </c>
      <c r="T38" s="18">
        <f>Mappings!B37</f>
        <v>45908</v>
      </c>
      <c r="U38" s="24" cm="1">
        <f t="array" ref="U38">IFERROR(ROWS(_xlfn._xlws.FILTER(
   DRG_Status!$A$2:$A$100000,
   (DRG_Status!$C$2:$C$100000=S_Curve_Data!T38) *
   (DRG_Status!$B$2:$B$100000=S_Curve_Data!$T$1)
)),0)/$U$1</f>
        <v>0</v>
      </c>
      <c r="V38" s="24" cm="1">
        <f t="array" ref="V38">IFERROR(ROWS(_xlfn._xlws.FILTER(
   DRG_Status!$A$2:$A$100000,
   (DRG_Status!$D$2:$D$100000=S_Curve_Data!T38) *
   (DRG_Status!$B$2:$B$100000=S_Curve_Data!$T$1)
)),0)/$U$1</f>
        <v>5.5084745762711863E-2</v>
      </c>
      <c r="W38" s="24" cm="1">
        <f t="array" ref="W38">IFERROR(ROWS(_xlfn._xlws.FILTER(
   DRG_Status!$A$2:$A$100000,
   (DRG_Status!$E$2:$E$100000=S_Curve_Data!T38) *
   (DRG_Status!$B$2:$B$100000=S_Curve_Data!$T$1)
)),0)/$U$1</f>
        <v>0</v>
      </c>
      <c r="X38" s="24" cm="1">
        <f t="array" ref="X38">IFERROR(ROWS(_xlfn._xlws.FILTER(
   DRG_Status!$A$2:$A$100000,
   (DRG_Status!$F$2:$F$100000=S_Curve_Data!T38) *
   (DRG_Status!$B$2:$B$100000=S_Curve_Data!$T$1)
)),0)/$U$1</f>
        <v>0</v>
      </c>
    </row>
    <row r="39" spans="6:24">
      <c r="F39" s="18">
        <f>Mappings!B38</f>
        <v>45915</v>
      </c>
      <c r="G39" s="24" cm="1">
        <f t="array" ref="G39">IFERROR(ROWS(_xlfn._xlws.FILTER(
   DRG_Status!$A$2:$A$100000,
   (DRG_Status!$C$2:$C$100000=S_Curve_Data!F39) *
   (DRG_Status!$B$2:$B$100000=S_Curve_Data!$F$1)
)),0)/$G$1</f>
        <v>0</v>
      </c>
      <c r="H39" s="24" cm="1">
        <f t="array" ref="H39">IFERROR(ROWS(_xlfn._xlws.FILTER(
   DRG_Status!$A$2:$A$100000,
   (DRG_Status!$D$2:$D$100000=S_Curve_Data!F39) *
   (DRG_Status!$B$2:$B$100000=S_Curve_Data!$F$1)
)),0)/$G$1</f>
        <v>0</v>
      </c>
      <c r="I39" s="24" cm="1">
        <f t="array" ref="I39">IFERROR(ROWS(_xlfn._xlws.FILTER(
   DRG_Status!$A$2:$A$100000,
   (DRG_Status!$E$2:$E$100000=S_Curve_Data!F39) *
   (DRG_Status!$B$2:$B$100000=S_Curve_Data!$F$1)
)),0)/$G$1</f>
        <v>0</v>
      </c>
      <c r="J39" s="24" cm="1">
        <f t="array" ref="J39">IFERROR(ROWS(_xlfn._xlws.FILTER(
   DRG_Status!$A$2:$A$100000,
   (DRG_Status!$F$2:$F$100000=S_Curve_Data!F39) *
   (DRG_Status!$B$2:$B$100000=S_Curve_Data!$F$1)
)),0)/$G$1</f>
        <v>0</v>
      </c>
      <c r="M39" s="18">
        <f>Mappings!B38</f>
        <v>45915</v>
      </c>
      <c r="N39" s="24" cm="1">
        <f t="array" ref="N39">IFERROR(ROWS(_xlfn._xlws.FILTER(
   DRG_Status!$A$2:$A$100000,
   (DRG_Status!$C$2:$C$100000=S_Curve_Data!M39) *
   (DRG_Status!$B$2:$B$100000=S_Curve_Data!$M$1)
)),0)/$N$1</f>
        <v>0</v>
      </c>
      <c r="O39" s="24" cm="1">
        <f t="array" ref="O39">IFERROR(ROWS(_xlfn._xlws.FILTER(
   DRG_Status!$A$2:$A$100000,
   (DRG_Status!$D$2:$D$100000=S_Curve_Data!M39) *
   (DRG_Status!$B$2:$B$100000=S_Curve_Data!$M$1)
)),0)/$N$1</f>
        <v>0</v>
      </c>
      <c r="P39" s="24" cm="1">
        <f t="array" ref="P39">IFERROR(ROWS(_xlfn._xlws.FILTER(
   DRG_Status!$A$2:$A$100000,
   (DRG_Status!$E$2:$E$100000=S_Curve_Data!M39) *
   (DRG_Status!$B$2:$B$100000=S_Curve_Data!$M$1)
)),0)/$N$1</f>
        <v>0</v>
      </c>
      <c r="Q39" s="24" cm="1">
        <f t="array" ref="Q39">IFERROR(ROWS(_xlfn._xlws.FILTER(
   DRG_Status!$A$2:$A$100000,
   (DRG_Status!$F$2:$F$100000=S_Curve_Data!M39) *
   (DRG_Status!$B$2:$B$100000=S_Curve_Data!$M$1)
)),0)/$N$1</f>
        <v>0</v>
      </c>
      <c r="T39" s="18">
        <f>Mappings!B38</f>
        <v>45915</v>
      </c>
      <c r="U39" s="24" cm="1">
        <f t="array" ref="U39">IFERROR(ROWS(_xlfn._xlws.FILTER(
   DRG_Status!$A$2:$A$100000,
   (DRG_Status!$C$2:$C$100000=S_Curve_Data!T39) *
   (DRG_Status!$B$2:$B$100000=S_Curve_Data!$T$1)
)),0)/$U$1</f>
        <v>0</v>
      </c>
      <c r="V39" s="24" cm="1">
        <f t="array" ref="V39">IFERROR(ROWS(_xlfn._xlws.FILTER(
   DRG_Status!$A$2:$A$100000,
   (DRG_Status!$D$2:$D$100000=S_Curve_Data!T39) *
   (DRG_Status!$B$2:$B$100000=S_Curve_Data!$T$1)
)),0)/$U$1</f>
        <v>0</v>
      </c>
      <c r="W39" s="24" cm="1">
        <f t="array" ref="W39">IFERROR(ROWS(_xlfn._xlws.FILTER(
   DRG_Status!$A$2:$A$100000,
   (DRG_Status!$E$2:$E$100000=S_Curve_Data!T39) *
   (DRG_Status!$B$2:$B$100000=S_Curve_Data!$T$1)
)),0)/$U$1</f>
        <v>0</v>
      </c>
      <c r="X39" s="24" cm="1">
        <f t="array" ref="X39">IFERROR(ROWS(_xlfn._xlws.FILTER(
   DRG_Status!$A$2:$A$100000,
   (DRG_Status!$F$2:$F$100000=S_Curve_Data!T39) *
   (DRG_Status!$B$2:$B$100000=S_Curve_Data!$T$1)
)),0)/$U$1</f>
        <v>0</v>
      </c>
    </row>
    <row r="40" spans="6:24">
      <c r="F40" s="18">
        <f>Mappings!B39</f>
        <v>45922</v>
      </c>
      <c r="G40" s="24" cm="1">
        <f t="array" ref="G40">IFERROR(ROWS(_xlfn._xlws.FILTER(
   DRG_Status!$A$2:$A$100000,
   (DRG_Status!$C$2:$C$100000=S_Curve_Data!F40) *
   (DRG_Status!$B$2:$B$100000=S_Curve_Data!$F$1)
)),0)/$G$1</f>
        <v>0</v>
      </c>
      <c r="H40" s="24" cm="1">
        <f t="array" ref="H40">IFERROR(ROWS(_xlfn._xlws.FILTER(
   DRG_Status!$A$2:$A$100000,
   (DRG_Status!$D$2:$D$100000=S_Curve_Data!F40) *
   (DRG_Status!$B$2:$B$100000=S_Curve_Data!$F$1)
)),0)/$G$1</f>
        <v>0</v>
      </c>
      <c r="I40" s="24" cm="1">
        <f t="array" ref="I40">IFERROR(ROWS(_xlfn._xlws.FILTER(
   DRG_Status!$A$2:$A$100000,
   (DRG_Status!$E$2:$E$100000=S_Curve_Data!F40) *
   (DRG_Status!$B$2:$B$100000=S_Curve_Data!$F$1)
)),0)/$G$1</f>
        <v>0</v>
      </c>
      <c r="J40" s="24" cm="1">
        <f t="array" ref="J40">IFERROR(ROWS(_xlfn._xlws.FILTER(
   DRG_Status!$A$2:$A$100000,
   (DRG_Status!$F$2:$F$100000=S_Curve_Data!F40) *
   (DRG_Status!$B$2:$B$100000=S_Curve_Data!$F$1)
)),0)/$G$1</f>
        <v>0</v>
      </c>
      <c r="M40" s="18">
        <f>Mappings!B39</f>
        <v>45922</v>
      </c>
      <c r="N40" s="24" cm="1">
        <f t="array" ref="N40">IFERROR(ROWS(_xlfn._xlws.FILTER(
   DRG_Status!$A$2:$A$100000,
   (DRG_Status!$C$2:$C$100000=S_Curve_Data!M40) *
   (DRG_Status!$B$2:$B$100000=S_Curve_Data!$M$1)
)),0)/$N$1</f>
        <v>0</v>
      </c>
      <c r="O40" s="24" cm="1">
        <f t="array" ref="O40">IFERROR(ROWS(_xlfn._xlws.FILTER(
   DRG_Status!$A$2:$A$100000,
   (DRG_Status!$D$2:$D$100000=S_Curve_Data!M40) *
   (DRG_Status!$B$2:$B$100000=S_Curve_Data!$M$1)
)),0)/$N$1</f>
        <v>0</v>
      </c>
      <c r="P40" s="24" cm="1">
        <f t="array" ref="P40">IFERROR(ROWS(_xlfn._xlws.FILTER(
   DRG_Status!$A$2:$A$100000,
   (DRG_Status!$E$2:$E$100000=S_Curve_Data!M40) *
   (DRG_Status!$B$2:$B$100000=S_Curve_Data!$M$1)
)),0)/$N$1</f>
        <v>0</v>
      </c>
      <c r="Q40" s="24" cm="1">
        <f t="array" ref="Q40">IFERROR(ROWS(_xlfn._xlws.FILTER(
   DRG_Status!$A$2:$A$100000,
   (DRG_Status!$F$2:$F$100000=S_Curve_Data!M40) *
   (DRG_Status!$B$2:$B$100000=S_Curve_Data!$M$1)
)),0)/$N$1</f>
        <v>0</v>
      </c>
      <c r="T40" s="18">
        <f>Mappings!B39</f>
        <v>45922</v>
      </c>
      <c r="U40" s="24" cm="1">
        <f t="array" ref="U40">IFERROR(ROWS(_xlfn._xlws.FILTER(
   DRG_Status!$A$2:$A$100000,
   (DRG_Status!$C$2:$C$100000=S_Curve_Data!T40) *
   (DRG_Status!$B$2:$B$100000=S_Curve_Data!$T$1)
)),0)/$U$1</f>
        <v>0</v>
      </c>
      <c r="V40" s="24" cm="1">
        <f t="array" ref="V40">IFERROR(ROWS(_xlfn._xlws.FILTER(
   DRG_Status!$A$2:$A$100000,
   (DRG_Status!$D$2:$D$100000=S_Curve_Data!T40) *
   (DRG_Status!$B$2:$B$100000=S_Curve_Data!$T$1)
)),0)/$U$1</f>
        <v>0</v>
      </c>
      <c r="W40" s="24" cm="1">
        <f t="array" ref="W40">IFERROR(ROWS(_xlfn._xlws.FILTER(
   DRG_Status!$A$2:$A$100000,
   (DRG_Status!$E$2:$E$100000=S_Curve_Data!T40) *
   (DRG_Status!$B$2:$B$100000=S_Curve_Data!$T$1)
)),0)/$U$1</f>
        <v>0</v>
      </c>
      <c r="X40" s="24" cm="1">
        <f t="array" ref="X40">IFERROR(ROWS(_xlfn._xlws.FILTER(
   DRG_Status!$A$2:$A$100000,
   (DRG_Status!$F$2:$F$100000=S_Curve_Data!T40) *
   (DRG_Status!$B$2:$B$100000=S_Curve_Data!$T$1)
)),0)/$U$1</f>
        <v>0</v>
      </c>
    </row>
    <row r="41" spans="6:24">
      <c r="F41" s="18">
        <f>Mappings!B40</f>
        <v>45929</v>
      </c>
      <c r="G41" s="24" cm="1">
        <f t="array" ref="G41">IFERROR(ROWS(_xlfn._xlws.FILTER(
   DRG_Status!$A$2:$A$100000,
   (DRG_Status!$C$2:$C$100000=S_Curve_Data!F41) *
   (DRG_Status!$B$2:$B$100000=S_Curve_Data!$F$1)
)),0)/$G$1</f>
        <v>0</v>
      </c>
      <c r="H41" s="24" cm="1">
        <f t="array" ref="H41">IFERROR(ROWS(_xlfn._xlws.FILTER(
   DRG_Status!$A$2:$A$100000,
   (DRG_Status!$D$2:$D$100000=S_Curve_Data!F41) *
   (DRG_Status!$B$2:$B$100000=S_Curve_Data!$F$1)
)),0)/$G$1</f>
        <v>0</v>
      </c>
      <c r="I41" s="24" cm="1">
        <f t="array" ref="I41">IFERROR(ROWS(_xlfn._xlws.FILTER(
   DRG_Status!$A$2:$A$100000,
   (DRG_Status!$E$2:$E$100000=S_Curve_Data!F41) *
   (DRG_Status!$B$2:$B$100000=S_Curve_Data!$F$1)
)),0)/$G$1</f>
        <v>0</v>
      </c>
      <c r="J41" s="24" cm="1">
        <f t="array" ref="J41">IFERROR(ROWS(_xlfn._xlws.FILTER(
   DRG_Status!$A$2:$A$100000,
   (DRG_Status!$F$2:$F$100000=S_Curve_Data!F41) *
   (DRG_Status!$B$2:$B$100000=S_Curve_Data!$F$1)
)),0)/$G$1</f>
        <v>0</v>
      </c>
      <c r="M41" s="18">
        <f>Mappings!B40</f>
        <v>45929</v>
      </c>
      <c r="N41" s="24" cm="1">
        <f t="array" ref="N41">IFERROR(ROWS(_xlfn._xlws.FILTER(
   DRG_Status!$A$2:$A$100000,
   (DRG_Status!$C$2:$C$100000=S_Curve_Data!M41) *
   (DRG_Status!$B$2:$B$100000=S_Curve_Data!$M$1)
)),0)/$N$1</f>
        <v>0</v>
      </c>
      <c r="O41" s="24" cm="1">
        <f t="array" ref="O41">IFERROR(ROWS(_xlfn._xlws.FILTER(
   DRG_Status!$A$2:$A$100000,
   (DRG_Status!$D$2:$D$100000=S_Curve_Data!M41) *
   (DRG_Status!$B$2:$B$100000=S_Curve_Data!$M$1)
)),0)/$N$1</f>
        <v>0</v>
      </c>
      <c r="P41" s="24" cm="1">
        <f t="array" ref="P41">IFERROR(ROWS(_xlfn._xlws.FILTER(
   DRG_Status!$A$2:$A$100000,
   (DRG_Status!$E$2:$E$100000=S_Curve_Data!M41) *
   (DRG_Status!$B$2:$B$100000=S_Curve_Data!$M$1)
)),0)/$N$1</f>
        <v>0</v>
      </c>
      <c r="Q41" s="24" cm="1">
        <f t="array" ref="Q41">IFERROR(ROWS(_xlfn._xlws.FILTER(
   DRG_Status!$A$2:$A$100000,
   (DRG_Status!$F$2:$F$100000=S_Curve_Data!M41) *
   (DRG_Status!$B$2:$B$100000=S_Curve_Data!$M$1)
)),0)/$N$1</f>
        <v>8.130081300813009E-3</v>
      </c>
      <c r="T41" s="18">
        <f>Mappings!B40</f>
        <v>45929</v>
      </c>
      <c r="U41" s="24" cm="1">
        <f t="array" ref="U41">IFERROR(ROWS(_xlfn._xlws.FILTER(
   DRG_Status!$A$2:$A$100000,
   (DRG_Status!$C$2:$C$100000=S_Curve_Data!T41) *
   (DRG_Status!$B$2:$B$100000=S_Curve_Data!$T$1)
)),0)/$U$1</f>
        <v>0</v>
      </c>
      <c r="V41" s="24" cm="1">
        <f t="array" ref="V41">IFERROR(ROWS(_xlfn._xlws.FILTER(
   DRG_Status!$A$2:$A$100000,
   (DRG_Status!$D$2:$D$100000=S_Curve_Data!T41) *
   (DRG_Status!$B$2:$B$100000=S_Curve_Data!$T$1)
)),0)/$U$1</f>
        <v>0</v>
      </c>
      <c r="W41" s="24" cm="1">
        <f t="array" ref="W41">IFERROR(ROWS(_xlfn._xlws.FILTER(
   DRG_Status!$A$2:$A$100000,
   (DRG_Status!$E$2:$E$100000=S_Curve_Data!T41) *
   (DRG_Status!$B$2:$B$100000=S_Curve_Data!$T$1)
)),0)/$U$1</f>
        <v>0</v>
      </c>
      <c r="X41" s="24" cm="1">
        <f t="array" ref="X41">IFERROR(ROWS(_xlfn._xlws.FILTER(
   DRG_Status!$A$2:$A$100000,
   (DRG_Status!$F$2:$F$100000=S_Curve_Data!T41) *
   (DRG_Status!$B$2:$B$100000=S_Curve_Data!$T$1)
)),0)/$U$1</f>
        <v>0</v>
      </c>
    </row>
    <row r="42" spans="6:24">
      <c r="F42" s="18">
        <f>Mappings!B41</f>
        <v>45936</v>
      </c>
      <c r="G42" s="24" cm="1">
        <f t="array" ref="G42">IFERROR(ROWS(_xlfn._xlws.FILTER(
   DRG_Status!$A$2:$A$100000,
   (DRG_Status!$C$2:$C$100000=S_Curve_Data!F42) *
   (DRG_Status!$B$2:$B$100000=S_Curve_Data!$F$1)
)),0)/$G$1</f>
        <v>5.4644808743169399E-3</v>
      </c>
      <c r="H42" s="24" cm="1">
        <f t="array" ref="H42">IFERROR(ROWS(_xlfn._xlws.FILTER(
   DRG_Status!$A$2:$A$100000,
   (DRG_Status!$D$2:$D$100000=S_Curve_Data!F42) *
   (DRG_Status!$B$2:$B$100000=S_Curve_Data!$F$1)
)),0)/$G$1</f>
        <v>1.092896174863388E-2</v>
      </c>
      <c r="I42" s="24" cm="1">
        <f t="array" ref="I42">IFERROR(ROWS(_xlfn._xlws.FILTER(
   DRG_Status!$A$2:$A$100000,
   (DRG_Status!$E$2:$E$100000=S_Curve_Data!F42) *
   (DRG_Status!$B$2:$B$100000=S_Curve_Data!$F$1)
)),0)/$G$1</f>
        <v>0</v>
      </c>
      <c r="J42" s="24" cm="1">
        <f t="array" ref="J42">IFERROR(ROWS(_xlfn._xlws.FILTER(
   DRG_Status!$A$2:$A$100000,
   (DRG_Status!$F$2:$F$100000=S_Curve_Data!F42) *
   (DRG_Status!$B$2:$B$100000=S_Curve_Data!$F$1)
)),0)/$G$1</f>
        <v>0</v>
      </c>
      <c r="M42" s="18">
        <f>Mappings!B41</f>
        <v>45936</v>
      </c>
      <c r="N42" s="24" cm="1">
        <f t="array" ref="N42">IFERROR(ROWS(_xlfn._xlws.FILTER(
   DRG_Status!$A$2:$A$100000,
   (DRG_Status!$C$2:$C$100000=S_Curve_Data!M42) *
   (DRG_Status!$B$2:$B$100000=S_Curve_Data!$M$1)
)),0)/$N$1</f>
        <v>0</v>
      </c>
      <c r="O42" s="24" cm="1">
        <f t="array" ref="O42">IFERROR(ROWS(_xlfn._xlws.FILTER(
   DRG_Status!$A$2:$A$100000,
   (DRG_Status!$D$2:$D$100000=S_Curve_Data!M42) *
   (DRG_Status!$B$2:$B$100000=S_Curve_Data!$M$1)
)),0)/$N$1</f>
        <v>0</v>
      </c>
      <c r="P42" s="24" cm="1">
        <f t="array" ref="P42">IFERROR(ROWS(_xlfn._xlws.FILTER(
   DRG_Status!$A$2:$A$100000,
   (DRG_Status!$E$2:$E$100000=S_Curve_Data!M42) *
   (DRG_Status!$B$2:$B$100000=S_Curve_Data!$M$1)
)),0)/$N$1</f>
        <v>0</v>
      </c>
      <c r="Q42" s="24" cm="1">
        <f t="array" ref="Q42">IFERROR(ROWS(_xlfn._xlws.FILTER(
   DRG_Status!$A$2:$A$100000,
   (DRG_Status!$F$2:$F$100000=S_Curve_Data!M42) *
   (DRG_Status!$B$2:$B$100000=S_Curve_Data!$M$1)
)),0)/$N$1</f>
        <v>0</v>
      </c>
      <c r="T42" s="18">
        <f>Mappings!B41</f>
        <v>45936</v>
      </c>
      <c r="U42" s="24" cm="1">
        <f t="array" ref="U42">IFERROR(ROWS(_xlfn._xlws.FILTER(
   DRG_Status!$A$2:$A$100000,
   (DRG_Status!$C$2:$C$100000=S_Curve_Data!T42) *
   (DRG_Status!$B$2:$B$100000=S_Curve_Data!$T$1)
)),0)/$U$1</f>
        <v>0</v>
      </c>
      <c r="V42" s="24" cm="1">
        <f t="array" ref="V42">IFERROR(ROWS(_xlfn._xlws.FILTER(
   DRG_Status!$A$2:$A$100000,
   (DRG_Status!$D$2:$D$100000=S_Curve_Data!T42) *
   (DRG_Status!$B$2:$B$100000=S_Curve_Data!$T$1)
)),0)/$U$1</f>
        <v>8.4745762711864406E-3</v>
      </c>
      <c r="W42" s="24" cm="1">
        <f t="array" ref="W42">IFERROR(ROWS(_xlfn._xlws.FILTER(
   DRG_Status!$A$2:$A$100000,
   (DRG_Status!$E$2:$E$100000=S_Curve_Data!T42) *
   (DRG_Status!$B$2:$B$100000=S_Curve_Data!$T$1)
)),0)/$U$1</f>
        <v>0</v>
      </c>
      <c r="X42" s="24" cm="1">
        <f t="array" ref="X42">IFERROR(ROWS(_xlfn._xlws.FILTER(
   DRG_Status!$A$2:$A$100000,
   (DRG_Status!$F$2:$F$100000=S_Curve_Data!T42) *
   (DRG_Status!$B$2:$B$100000=S_Curve_Data!$T$1)
)),0)/$U$1</f>
        <v>0</v>
      </c>
    </row>
    <row r="43" spans="6:24">
      <c r="F43" s="18">
        <f>Mappings!B42</f>
        <v>45943</v>
      </c>
      <c r="G43" s="24" cm="1">
        <f t="array" ref="G43">IFERROR(ROWS(_xlfn._xlws.FILTER(
   DRG_Status!$A$2:$A$100000,
   (DRG_Status!$C$2:$C$100000=S_Curve_Data!F43) *
   (DRG_Status!$B$2:$B$100000=S_Curve_Data!$F$1)
)),0)/$G$1</f>
        <v>0</v>
      </c>
      <c r="H43" s="24" cm="1">
        <f t="array" ref="H43">IFERROR(ROWS(_xlfn._xlws.FILTER(
   DRG_Status!$A$2:$A$100000,
   (DRG_Status!$D$2:$D$100000=S_Curve_Data!F43) *
   (DRG_Status!$B$2:$B$100000=S_Curve_Data!$F$1)
)),0)/$G$1</f>
        <v>0</v>
      </c>
      <c r="I43" s="24" cm="1">
        <f t="array" ref="I43">IFERROR(ROWS(_xlfn._xlws.FILTER(
   DRG_Status!$A$2:$A$100000,
   (DRG_Status!$E$2:$E$100000=S_Curve_Data!F43) *
   (DRG_Status!$B$2:$B$100000=S_Curve_Data!$F$1)
)),0)/$G$1</f>
        <v>1.092896174863388E-2</v>
      </c>
      <c r="J43" s="24" cm="1">
        <f t="array" ref="J43">IFERROR(ROWS(_xlfn._xlws.FILTER(
   DRG_Status!$A$2:$A$100000,
   (DRG_Status!$F$2:$F$100000=S_Curve_Data!F43) *
   (DRG_Status!$B$2:$B$100000=S_Curve_Data!$F$1)
)),0)/$G$1</f>
        <v>0.12021857923497267</v>
      </c>
      <c r="M43" s="18">
        <f>Mappings!B42</f>
        <v>45943</v>
      </c>
      <c r="N43" s="24" cm="1">
        <f t="array" ref="N43">IFERROR(ROWS(_xlfn._xlws.FILTER(
   DRG_Status!$A$2:$A$100000,
   (DRG_Status!$C$2:$C$100000=S_Curve_Data!M43) *
   (DRG_Status!$B$2:$B$100000=S_Curve_Data!$M$1)
)),0)/$N$1</f>
        <v>1.6260162601626018E-2</v>
      </c>
      <c r="O43" s="24" cm="1">
        <f t="array" ref="O43">IFERROR(ROWS(_xlfn._xlws.FILTER(
   DRG_Status!$A$2:$A$100000,
   (DRG_Status!$D$2:$D$100000=S_Curve_Data!M43) *
   (DRG_Status!$B$2:$B$100000=S_Curve_Data!$M$1)
)),0)/$N$1</f>
        <v>1.6260162601626018E-2</v>
      </c>
      <c r="P43" s="24" cm="1">
        <f t="array" ref="P43">IFERROR(ROWS(_xlfn._xlws.FILTER(
   DRG_Status!$A$2:$A$100000,
   (DRG_Status!$E$2:$E$100000=S_Curve_Data!M43) *
   (DRG_Status!$B$2:$B$100000=S_Curve_Data!$M$1)
)),0)/$N$1</f>
        <v>0</v>
      </c>
      <c r="Q43" s="24" cm="1">
        <f t="array" ref="Q43">IFERROR(ROWS(_xlfn._xlws.FILTER(
   DRG_Status!$A$2:$A$100000,
   (DRG_Status!$F$2:$F$100000=S_Curve_Data!M43) *
   (DRG_Status!$B$2:$B$100000=S_Curve_Data!$M$1)
)),0)/$N$1</f>
        <v>0</v>
      </c>
      <c r="T43" s="18">
        <f>Mappings!B42</f>
        <v>45943</v>
      </c>
      <c r="U43" s="24" cm="1">
        <f t="array" ref="U43">IFERROR(ROWS(_xlfn._xlws.FILTER(
   DRG_Status!$A$2:$A$100000,
   (DRG_Status!$C$2:$C$100000=S_Curve_Data!T43) *
   (DRG_Status!$B$2:$B$100000=S_Curve_Data!$T$1)
)),0)/$U$1</f>
        <v>0</v>
      </c>
      <c r="V43" s="24" cm="1">
        <f t="array" ref="V43">IFERROR(ROWS(_xlfn._xlws.FILTER(
   DRG_Status!$A$2:$A$100000,
   (DRG_Status!$D$2:$D$100000=S_Curve_Data!T43) *
   (DRG_Status!$B$2:$B$100000=S_Curve_Data!$T$1)
)),0)/$U$1</f>
        <v>0</v>
      </c>
      <c r="W43" s="24" cm="1">
        <f t="array" ref="W43">IFERROR(ROWS(_xlfn._xlws.FILTER(
   DRG_Status!$A$2:$A$100000,
   (DRG_Status!$E$2:$E$100000=S_Curve_Data!T43) *
   (DRG_Status!$B$2:$B$100000=S_Curve_Data!$T$1)
)),0)/$U$1</f>
        <v>0</v>
      </c>
      <c r="X43" s="24" cm="1">
        <f t="array" ref="X43">IFERROR(ROWS(_xlfn._xlws.FILTER(
   DRG_Status!$A$2:$A$100000,
   (DRG_Status!$F$2:$F$100000=S_Curve_Data!T43) *
   (DRG_Status!$B$2:$B$100000=S_Curve_Data!$T$1)
)),0)/$U$1</f>
        <v>0.23728813559322035</v>
      </c>
    </row>
    <row r="44" spans="6:24">
      <c r="F44" s="18">
        <f>Mappings!B43</f>
        <v>45950</v>
      </c>
      <c r="G44" s="24" cm="1">
        <f t="array" ref="G44">IFERROR(ROWS(_xlfn._xlws.FILTER(
   DRG_Status!$A$2:$A$100000,
   (DRG_Status!$C$2:$C$100000=S_Curve_Data!F44) *
   (DRG_Status!$B$2:$B$100000=S_Curve_Data!$F$1)
)),0)/$G$1</f>
        <v>3.825136612021858E-2</v>
      </c>
      <c r="H44" s="24" cm="1">
        <f t="array" ref="H44">IFERROR(ROWS(_xlfn._xlws.FILTER(
   DRG_Status!$A$2:$A$100000,
   (DRG_Status!$D$2:$D$100000=S_Curve_Data!F44) *
   (DRG_Status!$B$2:$B$100000=S_Curve_Data!$F$1)
)),0)/$G$1</f>
        <v>0</v>
      </c>
      <c r="I44" s="24" cm="1">
        <f t="array" ref="I44">IFERROR(ROWS(_xlfn._xlws.FILTER(
   DRG_Status!$A$2:$A$100000,
   (DRG_Status!$E$2:$E$100000=S_Curve_Data!F44) *
   (DRG_Status!$B$2:$B$100000=S_Curve_Data!$F$1)
)),0)/$G$1</f>
        <v>0</v>
      </c>
      <c r="J44" s="24" cm="1">
        <f t="array" ref="J44">IFERROR(ROWS(_xlfn._xlws.FILTER(
   DRG_Status!$A$2:$A$100000,
   (DRG_Status!$F$2:$F$100000=S_Curve_Data!F44) *
   (DRG_Status!$B$2:$B$100000=S_Curve_Data!$F$1)
)),0)/$G$1</f>
        <v>0</v>
      </c>
      <c r="M44" s="18">
        <f>Mappings!B43</f>
        <v>45950</v>
      </c>
      <c r="N44" s="24" cm="1">
        <f t="array" ref="N44">IFERROR(ROWS(_xlfn._xlws.FILTER(
   DRG_Status!$A$2:$A$100000,
   (DRG_Status!$C$2:$C$100000=S_Curve_Data!M44) *
   (DRG_Status!$B$2:$B$100000=S_Curve_Data!$M$1)
)),0)/$N$1</f>
        <v>1.6260162601626018E-2</v>
      </c>
      <c r="O44" s="24" cm="1">
        <f t="array" ref="O44">IFERROR(ROWS(_xlfn._xlws.FILTER(
   DRG_Status!$A$2:$A$100000,
   (DRG_Status!$D$2:$D$100000=S_Curve_Data!M44) *
   (DRG_Status!$B$2:$B$100000=S_Curve_Data!$M$1)
)),0)/$N$1</f>
        <v>4.878048780487805E-2</v>
      </c>
      <c r="P44" s="24" cm="1">
        <f t="array" ref="P44">IFERROR(ROWS(_xlfn._xlws.FILTER(
   DRG_Status!$A$2:$A$100000,
   (DRG_Status!$E$2:$E$100000=S_Curve_Data!M44) *
   (DRG_Status!$B$2:$B$100000=S_Curve_Data!$M$1)
)),0)/$N$1</f>
        <v>0</v>
      </c>
      <c r="Q44" s="24" cm="1">
        <f t="array" ref="Q44">IFERROR(ROWS(_xlfn._xlws.FILTER(
   DRG_Status!$A$2:$A$100000,
   (DRG_Status!$F$2:$F$100000=S_Curve_Data!M44) *
   (DRG_Status!$B$2:$B$100000=S_Curve_Data!$M$1)
)),0)/$N$1</f>
        <v>1.6260162601626018E-2</v>
      </c>
      <c r="T44" s="18">
        <f>Mappings!B43</f>
        <v>45950</v>
      </c>
      <c r="U44" s="24" cm="1">
        <f t="array" ref="U44">IFERROR(ROWS(_xlfn._xlws.FILTER(
   DRG_Status!$A$2:$A$100000,
   (DRG_Status!$C$2:$C$100000=S_Curve_Data!T44) *
   (DRG_Status!$B$2:$B$100000=S_Curve_Data!$T$1)
)),0)/$U$1</f>
        <v>5.9322033898305086E-2</v>
      </c>
      <c r="V44" s="24" cm="1">
        <f t="array" ref="V44">IFERROR(ROWS(_xlfn._xlws.FILTER(
   DRG_Status!$A$2:$A$100000,
   (DRG_Status!$D$2:$D$100000=S_Curve_Data!T44) *
   (DRG_Status!$B$2:$B$100000=S_Curve_Data!$T$1)
)),0)/$U$1</f>
        <v>0</v>
      </c>
      <c r="W44" s="24" cm="1">
        <f t="array" ref="W44">IFERROR(ROWS(_xlfn._xlws.FILTER(
   DRG_Status!$A$2:$A$100000,
   (DRG_Status!$E$2:$E$100000=S_Curve_Data!T44) *
   (DRG_Status!$B$2:$B$100000=S_Curve_Data!$T$1)
)),0)/$U$1</f>
        <v>0</v>
      </c>
      <c r="X44" s="24" cm="1">
        <f t="array" ref="X44">IFERROR(ROWS(_xlfn._xlws.FILTER(
   DRG_Status!$A$2:$A$100000,
   (DRG_Status!$F$2:$F$100000=S_Curve_Data!T44) *
   (DRG_Status!$B$2:$B$100000=S_Curve_Data!$T$1)
)),0)/$U$1</f>
        <v>0</v>
      </c>
    </row>
    <row r="45" spans="6:24">
      <c r="F45" s="18">
        <f>Mappings!B44</f>
        <v>45957</v>
      </c>
      <c r="G45" s="24" cm="1">
        <f t="array" ref="G45">IFERROR(ROWS(_xlfn._xlws.FILTER(
   DRG_Status!$A$2:$A$100000,
   (DRG_Status!$C$2:$C$100000=S_Curve_Data!F45) *
   (DRG_Status!$B$2:$B$100000=S_Curve_Data!$F$1)
)),0)/$G$1</f>
        <v>3.825136612021858E-2</v>
      </c>
      <c r="H45" s="24" cm="1">
        <f t="array" ref="H45">IFERROR(ROWS(_xlfn._xlws.FILTER(
   DRG_Status!$A$2:$A$100000,
   (DRG_Status!$D$2:$D$100000=S_Curve_Data!F45) *
   (DRG_Status!$B$2:$B$100000=S_Curve_Data!$F$1)
)),0)/$G$1</f>
        <v>3.825136612021858E-2</v>
      </c>
      <c r="I45" s="24" cm="1">
        <f t="array" ref="I45">IFERROR(ROWS(_xlfn._xlws.FILTER(
   DRG_Status!$A$2:$A$100000,
   (DRG_Status!$E$2:$E$100000=S_Curve_Data!F45) *
   (DRG_Status!$B$2:$B$100000=S_Curve_Data!$F$1)
)),0)/$G$1</f>
        <v>0</v>
      </c>
      <c r="J45" s="24" cm="1">
        <f t="array" ref="J45">IFERROR(ROWS(_xlfn._xlws.FILTER(
   DRG_Status!$A$2:$A$100000,
   (DRG_Status!$F$2:$F$100000=S_Curve_Data!F45) *
   (DRG_Status!$B$2:$B$100000=S_Curve_Data!$F$1)
)),0)/$G$1</f>
        <v>3.825136612021858E-2</v>
      </c>
      <c r="M45" s="18">
        <f>Mappings!B44</f>
        <v>45957</v>
      </c>
      <c r="N45" s="24" cm="1">
        <f t="array" ref="N45">IFERROR(ROWS(_xlfn._xlws.FILTER(
   DRG_Status!$A$2:$A$100000,
   (DRG_Status!$C$2:$C$100000=S_Curve_Data!M45) *
   (DRG_Status!$B$2:$B$100000=S_Curve_Data!$M$1)
)),0)/$N$1</f>
        <v>1.6260162601626018E-2</v>
      </c>
      <c r="O45" s="24" cm="1">
        <f t="array" ref="O45">IFERROR(ROWS(_xlfn._xlws.FILTER(
   DRG_Status!$A$2:$A$100000,
   (DRG_Status!$D$2:$D$100000=S_Curve_Data!M45) *
   (DRG_Status!$B$2:$B$100000=S_Curve_Data!$M$1)
)),0)/$N$1</f>
        <v>0</v>
      </c>
      <c r="P45" s="24" cm="1">
        <f t="array" ref="P45">IFERROR(ROWS(_xlfn._xlws.FILTER(
   DRG_Status!$A$2:$A$100000,
   (DRG_Status!$E$2:$E$100000=S_Curve_Data!M45) *
   (DRG_Status!$B$2:$B$100000=S_Curve_Data!$M$1)
)),0)/$N$1</f>
        <v>0</v>
      </c>
      <c r="Q45" s="24" cm="1">
        <f t="array" ref="Q45">IFERROR(ROWS(_xlfn._xlws.FILTER(
   DRG_Status!$A$2:$A$100000,
   (DRG_Status!$F$2:$F$100000=S_Curve_Data!M45) *
   (DRG_Status!$B$2:$B$100000=S_Curve_Data!$M$1)
)),0)/$N$1</f>
        <v>1.6260162601626018E-2</v>
      </c>
      <c r="T45" s="18">
        <f>Mappings!B44</f>
        <v>45957</v>
      </c>
      <c r="U45" s="24" cm="1">
        <f t="array" ref="U45">IFERROR(ROWS(_xlfn._xlws.FILTER(
   DRG_Status!$A$2:$A$100000,
   (DRG_Status!$C$2:$C$100000=S_Curve_Data!T45) *
   (DRG_Status!$B$2:$B$100000=S_Curve_Data!$T$1)
)),0)/$U$1</f>
        <v>5.9322033898305086E-2</v>
      </c>
      <c r="V45" s="24" cm="1">
        <f t="array" ref="V45">IFERROR(ROWS(_xlfn._xlws.FILTER(
   DRG_Status!$A$2:$A$100000,
   (DRG_Status!$D$2:$D$100000=S_Curve_Data!T45) *
   (DRG_Status!$B$2:$B$100000=S_Curve_Data!$T$1)
)),0)/$U$1</f>
        <v>5.9322033898305086E-2</v>
      </c>
      <c r="W45" s="24" cm="1">
        <f t="array" ref="W45">IFERROR(ROWS(_xlfn._xlws.FILTER(
   DRG_Status!$A$2:$A$100000,
   (DRG_Status!$E$2:$E$100000=S_Curve_Data!T45) *
   (DRG_Status!$B$2:$B$100000=S_Curve_Data!$T$1)
)),0)/$U$1</f>
        <v>0</v>
      </c>
      <c r="X45" s="24" cm="1">
        <f t="array" ref="X45">IFERROR(ROWS(_xlfn._xlws.FILTER(
   DRG_Status!$A$2:$A$100000,
   (DRG_Status!$F$2:$F$100000=S_Curve_Data!T45) *
   (DRG_Status!$B$2:$B$100000=S_Curve_Data!$T$1)
)),0)/$U$1</f>
        <v>5.9322033898305086E-2</v>
      </c>
    </row>
    <row r="46" spans="6:24">
      <c r="F46" s="18">
        <f>Mappings!B45</f>
        <v>45964</v>
      </c>
      <c r="G46" s="24" cm="1">
        <f t="array" ref="G46">IFERROR(ROWS(_xlfn._xlws.FILTER(
   DRG_Status!$A$2:$A$100000,
   (DRG_Status!$C$2:$C$100000=S_Curve_Data!F46) *
   (DRG_Status!$B$2:$B$100000=S_Curve_Data!$F$1)
)),0)/$G$1</f>
        <v>0</v>
      </c>
      <c r="H46" s="24" cm="1">
        <f t="array" ref="H46">IFERROR(ROWS(_xlfn._xlws.FILTER(
   DRG_Status!$A$2:$A$100000,
   (DRG_Status!$D$2:$D$100000=S_Curve_Data!F46) *
   (DRG_Status!$B$2:$B$100000=S_Curve_Data!$F$1)
)),0)/$G$1</f>
        <v>3.825136612021858E-2</v>
      </c>
      <c r="I46" s="24" cm="1">
        <f t="array" ref="I46">IFERROR(ROWS(_xlfn._xlws.FILTER(
   DRG_Status!$A$2:$A$100000,
   (DRG_Status!$E$2:$E$100000=S_Curve_Data!F46) *
   (DRG_Status!$B$2:$B$100000=S_Curve_Data!$F$1)
)),0)/$G$1</f>
        <v>3.825136612021858E-2</v>
      </c>
      <c r="J46" s="24" cm="1">
        <f t="array" ref="J46">IFERROR(ROWS(_xlfn._xlws.FILTER(
   DRG_Status!$A$2:$A$100000,
   (DRG_Status!$F$2:$F$100000=S_Curve_Data!F46) *
   (DRG_Status!$B$2:$B$100000=S_Curve_Data!$F$1)
)),0)/$G$1</f>
        <v>0</v>
      </c>
      <c r="M46" s="18">
        <f>Mappings!B45</f>
        <v>45964</v>
      </c>
      <c r="N46" s="24" cm="1">
        <f t="array" ref="N46">IFERROR(ROWS(_xlfn._xlws.FILTER(
   DRG_Status!$A$2:$A$100000,
   (DRG_Status!$C$2:$C$100000=S_Curve_Data!M46) *
   (DRG_Status!$B$2:$B$100000=S_Curve_Data!$M$1)
)),0)/$N$1</f>
        <v>8.130081300813009E-3</v>
      </c>
      <c r="O46" s="24" cm="1">
        <f t="array" ref="O46">IFERROR(ROWS(_xlfn._xlws.FILTER(
   DRG_Status!$A$2:$A$100000,
   (DRG_Status!$D$2:$D$100000=S_Curve_Data!M46) *
   (DRG_Status!$B$2:$B$100000=S_Curve_Data!$M$1)
)),0)/$N$1</f>
        <v>2.4390243902439025E-2</v>
      </c>
      <c r="P46" s="24" cm="1">
        <f t="array" ref="P46">IFERROR(ROWS(_xlfn._xlws.FILTER(
   DRG_Status!$A$2:$A$100000,
   (DRG_Status!$E$2:$E$100000=S_Curve_Data!M46) *
   (DRG_Status!$B$2:$B$100000=S_Curve_Data!$M$1)
)),0)/$N$1</f>
        <v>0</v>
      </c>
      <c r="Q46" s="24" cm="1">
        <f t="array" ref="Q46">IFERROR(ROWS(_xlfn._xlws.FILTER(
   DRG_Status!$A$2:$A$100000,
   (DRG_Status!$F$2:$F$100000=S_Curve_Data!M46) *
   (DRG_Status!$B$2:$B$100000=S_Curve_Data!$M$1)
)),0)/$N$1</f>
        <v>0</v>
      </c>
      <c r="T46" s="18">
        <f>Mappings!B45</f>
        <v>45964</v>
      </c>
      <c r="U46" s="24" cm="1">
        <f t="array" ref="U46">IFERROR(ROWS(_xlfn._xlws.FILTER(
   DRG_Status!$A$2:$A$100000,
   (DRG_Status!$C$2:$C$100000=S_Curve_Data!T46) *
   (DRG_Status!$B$2:$B$100000=S_Curve_Data!$T$1)
)),0)/$U$1</f>
        <v>0</v>
      </c>
      <c r="V46" s="24" cm="1">
        <f t="array" ref="V46">IFERROR(ROWS(_xlfn._xlws.FILTER(
   DRG_Status!$A$2:$A$100000,
   (DRG_Status!$D$2:$D$100000=S_Curve_Data!T46) *
   (DRG_Status!$B$2:$B$100000=S_Curve_Data!$T$1)
)),0)/$U$1</f>
        <v>9.7457627118644072E-2</v>
      </c>
      <c r="W46" s="24" cm="1">
        <f t="array" ref="W46">IFERROR(ROWS(_xlfn._xlws.FILTER(
   DRG_Status!$A$2:$A$100000,
   (DRG_Status!$E$2:$E$100000=S_Curve_Data!T46) *
   (DRG_Status!$B$2:$B$100000=S_Curve_Data!$T$1)
)),0)/$U$1</f>
        <v>5.9322033898305086E-2</v>
      </c>
      <c r="X46" s="24" cm="1">
        <f t="array" ref="X46">IFERROR(ROWS(_xlfn._xlws.FILTER(
   DRG_Status!$A$2:$A$100000,
   (DRG_Status!$F$2:$F$100000=S_Curve_Data!T46) *
   (DRG_Status!$B$2:$B$100000=S_Curve_Data!$T$1)
)),0)/$U$1</f>
        <v>0</v>
      </c>
    </row>
    <row r="47" spans="6:24">
      <c r="F47" s="18">
        <f>Mappings!B46</f>
        <v>45971</v>
      </c>
      <c r="G47" s="24" cm="1">
        <f t="array" ref="G47">IFERROR(ROWS(_xlfn._xlws.FILTER(
   DRG_Status!$A$2:$A$100000,
   (DRG_Status!$C$2:$C$100000=S_Curve_Data!F47) *
   (DRG_Status!$B$2:$B$100000=S_Curve_Data!$F$1)
)),0)/$G$1</f>
        <v>6.5573770491803282E-2</v>
      </c>
      <c r="H47" s="24" cm="1">
        <f t="array" ref="H47">IFERROR(ROWS(_xlfn._xlws.FILTER(
   DRG_Status!$A$2:$A$100000,
   (DRG_Status!$D$2:$D$100000=S_Curve_Data!F47) *
   (DRG_Status!$B$2:$B$100000=S_Curve_Data!$F$1)
)),0)/$G$1</f>
        <v>5.4644808743169397E-2</v>
      </c>
      <c r="I47" s="24" cm="1">
        <f t="array" ref="I47">IFERROR(ROWS(_xlfn._xlws.FILTER(
   DRG_Status!$A$2:$A$100000,
   (DRG_Status!$E$2:$E$100000=S_Curve_Data!F47) *
   (DRG_Status!$B$2:$B$100000=S_Curve_Data!$F$1)
)),0)/$G$1</f>
        <v>4.3715846994535519E-2</v>
      </c>
      <c r="J47" s="24" cm="1">
        <f t="array" ref="J47">IFERROR(ROWS(_xlfn._xlws.FILTER(
   DRG_Status!$A$2:$A$100000,
   (DRG_Status!$F$2:$F$100000=S_Curve_Data!F47) *
   (DRG_Status!$B$2:$B$100000=S_Curve_Data!$F$1)
)),0)/$G$1</f>
        <v>0</v>
      </c>
      <c r="M47" s="18">
        <f>Mappings!B46</f>
        <v>45971</v>
      </c>
      <c r="N47" s="24" cm="1">
        <f t="array" ref="N47">IFERROR(ROWS(_xlfn._xlws.FILTER(
   DRG_Status!$A$2:$A$100000,
   (DRG_Status!$C$2:$C$100000=S_Curve_Data!M47) *
   (DRG_Status!$B$2:$B$100000=S_Curve_Data!$M$1)
)),0)/$N$1</f>
        <v>6.5040650406504072E-2</v>
      </c>
      <c r="O47" s="24" cm="1">
        <f t="array" ref="O47">IFERROR(ROWS(_xlfn._xlws.FILTER(
   DRG_Status!$A$2:$A$100000,
   (DRG_Status!$D$2:$D$100000=S_Curve_Data!M47) *
   (DRG_Status!$B$2:$B$100000=S_Curve_Data!$M$1)
)),0)/$N$1</f>
        <v>4.878048780487805E-2</v>
      </c>
      <c r="P47" s="24" cm="1">
        <f t="array" ref="P47">IFERROR(ROWS(_xlfn._xlws.FILTER(
   DRG_Status!$A$2:$A$100000,
   (DRG_Status!$E$2:$E$100000=S_Curve_Data!M47) *
   (DRG_Status!$B$2:$B$100000=S_Curve_Data!$M$1)
)),0)/$N$1</f>
        <v>0.10569105691056911</v>
      </c>
      <c r="Q47" s="24" cm="1">
        <f t="array" ref="Q47">IFERROR(ROWS(_xlfn._xlws.FILTER(
   DRG_Status!$A$2:$A$100000,
   (DRG_Status!$F$2:$F$100000=S_Curve_Data!M47) *
   (DRG_Status!$B$2:$B$100000=S_Curve_Data!$M$1)
)),0)/$N$1</f>
        <v>4.065040650406504E-2</v>
      </c>
      <c r="T47" s="18">
        <f>Mappings!B46</f>
        <v>45971</v>
      </c>
      <c r="U47" s="24" cm="1">
        <f t="array" ref="U47">IFERROR(ROWS(_xlfn._xlws.FILTER(
   DRG_Status!$A$2:$A$100000,
   (DRG_Status!$C$2:$C$100000=S_Curve_Data!T47) *
   (DRG_Status!$B$2:$B$100000=S_Curve_Data!$T$1)
)),0)/$U$1</f>
        <v>0.11440677966101695</v>
      </c>
      <c r="V47" s="24" cm="1">
        <f t="array" ref="V47">IFERROR(ROWS(_xlfn._xlws.FILTER(
   DRG_Status!$A$2:$A$100000,
   (DRG_Status!$D$2:$D$100000=S_Curve_Data!T47) *
   (DRG_Status!$B$2:$B$100000=S_Curve_Data!$T$1)
)),0)/$U$1</f>
        <v>0.1228813559322034</v>
      </c>
      <c r="W47" s="24" cm="1">
        <f t="array" ref="W47">IFERROR(ROWS(_xlfn._xlws.FILTER(
   DRG_Status!$A$2:$A$100000,
   (DRG_Status!$E$2:$E$100000=S_Curve_Data!T47) *
   (DRG_Status!$B$2:$B$100000=S_Curve_Data!$T$1)
)),0)/$U$1</f>
        <v>5.9322033898305086E-2</v>
      </c>
      <c r="X47" s="24" cm="1">
        <f t="array" ref="X47">IFERROR(ROWS(_xlfn._xlws.FILTER(
   DRG_Status!$A$2:$A$100000,
   (DRG_Status!$F$2:$F$100000=S_Curve_Data!T47) *
   (DRG_Status!$B$2:$B$100000=S_Curve_Data!$T$1)
)),0)/$U$1</f>
        <v>0</v>
      </c>
    </row>
    <row r="48" spans="6:24">
      <c r="F48" s="18">
        <f>Mappings!B47</f>
        <v>45978</v>
      </c>
      <c r="G48" s="24" cm="1">
        <f t="array" ref="G48">IFERROR(ROWS(_xlfn._xlws.FILTER(
   DRG_Status!$A$2:$A$100000,
   (DRG_Status!$C$2:$C$100000=S_Curve_Data!F48) *
   (DRG_Status!$B$2:$B$100000=S_Curve_Data!$F$1)
)),0)/$G$1</f>
        <v>0</v>
      </c>
      <c r="H48" s="24" cm="1">
        <f t="array" ref="H48">IFERROR(ROWS(_xlfn._xlws.FILTER(
   DRG_Status!$A$2:$A$100000,
   (DRG_Status!$D$2:$D$100000=S_Curve_Data!F48) *
   (DRG_Status!$B$2:$B$100000=S_Curve_Data!$F$1)
)),0)/$G$1</f>
        <v>5.4644808743169399E-3</v>
      </c>
      <c r="I48" s="24" cm="1">
        <f t="array" ref="I48">IFERROR(ROWS(_xlfn._xlws.FILTER(
   DRG_Status!$A$2:$A$100000,
   (DRG_Status!$E$2:$E$100000=S_Curve_Data!F48) *
   (DRG_Status!$B$2:$B$100000=S_Curve_Data!$F$1)
)),0)/$G$1</f>
        <v>0</v>
      </c>
      <c r="J48" s="24" cm="1">
        <f t="array" ref="J48">IFERROR(ROWS(_xlfn._xlws.FILTER(
   DRG_Status!$A$2:$A$100000,
   (DRG_Status!$F$2:$F$100000=S_Curve_Data!F48) *
   (DRG_Status!$B$2:$B$100000=S_Curve_Data!$F$1)
)),0)/$G$1</f>
        <v>0</v>
      </c>
      <c r="M48" s="18">
        <f>Mappings!B47</f>
        <v>45978</v>
      </c>
      <c r="N48" s="24" cm="1">
        <f t="array" ref="N48">IFERROR(ROWS(_xlfn._xlws.FILTER(
   DRG_Status!$A$2:$A$100000,
   (DRG_Status!$C$2:$C$100000=S_Curve_Data!M48) *
   (DRG_Status!$B$2:$B$100000=S_Curve_Data!$M$1)
)),0)/$N$1</f>
        <v>0</v>
      </c>
      <c r="O48" s="24" cm="1">
        <f t="array" ref="O48">IFERROR(ROWS(_xlfn._xlws.FILTER(
   DRG_Status!$A$2:$A$100000,
   (DRG_Status!$D$2:$D$100000=S_Curve_Data!M48) *
   (DRG_Status!$B$2:$B$100000=S_Curve_Data!$M$1)
)),0)/$N$1</f>
        <v>3.2520325203252036E-2</v>
      </c>
      <c r="P48" s="24" cm="1">
        <f t="array" ref="P48">IFERROR(ROWS(_xlfn._xlws.FILTER(
   DRG_Status!$A$2:$A$100000,
   (DRG_Status!$E$2:$E$100000=S_Curve_Data!M48) *
   (DRG_Status!$B$2:$B$100000=S_Curve_Data!$M$1)
)),0)/$N$1</f>
        <v>0</v>
      </c>
      <c r="Q48" s="24" cm="1">
        <f t="array" ref="Q48">IFERROR(ROWS(_xlfn._xlws.FILTER(
   DRG_Status!$A$2:$A$100000,
   (DRG_Status!$F$2:$F$100000=S_Curve_Data!M48) *
   (DRG_Status!$B$2:$B$100000=S_Curve_Data!$M$1)
)),0)/$N$1</f>
        <v>0</v>
      </c>
      <c r="T48" s="18">
        <f>Mappings!B47</f>
        <v>45978</v>
      </c>
      <c r="U48" s="24" cm="1">
        <f t="array" ref="U48">IFERROR(ROWS(_xlfn._xlws.FILTER(
   DRG_Status!$A$2:$A$100000,
   (DRG_Status!$C$2:$C$100000=S_Curve_Data!T48) *
   (DRG_Status!$B$2:$B$100000=S_Curve_Data!$T$1)
)),0)/$U$1</f>
        <v>0</v>
      </c>
      <c r="V48" s="24" cm="1">
        <f t="array" ref="V48">IFERROR(ROWS(_xlfn._xlws.FILTER(
   DRG_Status!$A$2:$A$100000,
   (DRG_Status!$D$2:$D$100000=S_Curve_Data!T48) *
   (DRG_Status!$B$2:$B$100000=S_Curve_Data!$T$1)
)),0)/$U$1</f>
        <v>4.2372881355932203E-3</v>
      </c>
      <c r="W48" s="24" cm="1">
        <f t="array" ref="W48">IFERROR(ROWS(_xlfn._xlws.FILTER(
   DRG_Status!$A$2:$A$100000,
   (DRG_Status!$E$2:$E$100000=S_Curve_Data!T48) *
   (DRG_Status!$B$2:$B$100000=S_Curve_Data!$T$1)
)),0)/$U$1</f>
        <v>0</v>
      </c>
      <c r="X48" s="24" cm="1">
        <f t="array" ref="X48">IFERROR(ROWS(_xlfn._xlws.FILTER(
   DRG_Status!$A$2:$A$100000,
   (DRG_Status!$F$2:$F$100000=S_Curve_Data!T48) *
   (DRG_Status!$B$2:$B$100000=S_Curve_Data!$T$1)
)),0)/$U$1</f>
        <v>0</v>
      </c>
    </row>
    <row r="49" spans="6:24">
      <c r="F49" s="18">
        <f>Mappings!B48</f>
        <v>45985</v>
      </c>
      <c r="G49" s="24" cm="1">
        <f t="array" ref="G49">IFERROR(ROWS(_xlfn._xlws.FILTER(
   DRG_Status!$A$2:$A$100000,
   (DRG_Status!$C$2:$C$100000=S_Curve_Data!F49) *
   (DRG_Status!$B$2:$B$100000=S_Curve_Data!$F$1)
)),0)/$G$1</f>
        <v>2.185792349726776E-2</v>
      </c>
      <c r="H49" s="24" cm="1">
        <f t="array" ref="H49">IFERROR(ROWS(_xlfn._xlws.FILTER(
   DRG_Status!$A$2:$A$100000,
   (DRG_Status!$D$2:$D$100000=S_Curve_Data!F49) *
   (DRG_Status!$B$2:$B$100000=S_Curve_Data!$F$1)
)),0)/$G$1</f>
        <v>5.4644808743169399E-3</v>
      </c>
      <c r="I49" s="24" cm="1">
        <f t="array" ref="I49">IFERROR(ROWS(_xlfn._xlws.FILTER(
   DRG_Status!$A$2:$A$100000,
   (DRG_Status!$E$2:$E$100000=S_Curve_Data!F49) *
   (DRG_Status!$B$2:$B$100000=S_Curve_Data!$F$1)
)),0)/$G$1</f>
        <v>3.825136612021858E-2</v>
      </c>
      <c r="J49" s="24" cm="1">
        <f t="array" ref="J49">IFERROR(ROWS(_xlfn._xlws.FILTER(
   DRG_Status!$A$2:$A$100000,
   (DRG_Status!$F$2:$F$100000=S_Curve_Data!F49) *
   (DRG_Status!$B$2:$B$100000=S_Curve_Data!$F$1)
)),0)/$G$1</f>
        <v>0</v>
      </c>
      <c r="M49" s="18">
        <f>Mappings!B48</f>
        <v>45985</v>
      </c>
      <c r="N49" s="24" cm="1">
        <f t="array" ref="N49">IFERROR(ROWS(_xlfn._xlws.FILTER(
   DRG_Status!$A$2:$A$100000,
   (DRG_Status!$C$2:$C$100000=S_Curve_Data!M49) *
   (DRG_Status!$B$2:$B$100000=S_Curve_Data!$M$1)
)),0)/$N$1</f>
        <v>8.1300813008130079E-2</v>
      </c>
      <c r="O49" s="24" cm="1">
        <f t="array" ref="O49">IFERROR(ROWS(_xlfn._xlws.FILTER(
   DRG_Status!$A$2:$A$100000,
   (DRG_Status!$D$2:$D$100000=S_Curve_Data!M49) *
   (DRG_Status!$B$2:$B$100000=S_Curve_Data!$M$1)
)),0)/$N$1</f>
        <v>8.1300813008130079E-2</v>
      </c>
      <c r="P49" s="24" cm="1">
        <f t="array" ref="P49">IFERROR(ROWS(_xlfn._xlws.FILTER(
   DRG_Status!$A$2:$A$100000,
   (DRG_Status!$E$2:$E$100000=S_Curve_Data!M49) *
   (DRG_Status!$B$2:$B$100000=S_Curve_Data!$M$1)
)),0)/$N$1</f>
        <v>0</v>
      </c>
      <c r="Q49" s="24" cm="1">
        <f t="array" ref="Q49">IFERROR(ROWS(_xlfn._xlws.FILTER(
   DRG_Status!$A$2:$A$100000,
   (DRG_Status!$F$2:$F$100000=S_Curve_Data!M49) *
   (DRG_Status!$B$2:$B$100000=S_Curve_Data!$M$1)
)),0)/$N$1</f>
        <v>0</v>
      </c>
      <c r="T49" s="18">
        <f>Mappings!B48</f>
        <v>45985</v>
      </c>
      <c r="U49" s="24" cm="1">
        <f t="array" ref="U49">IFERROR(ROWS(_xlfn._xlws.FILTER(
   DRG_Status!$A$2:$A$100000,
   (DRG_Status!$C$2:$C$100000=S_Curve_Data!T49) *
   (DRG_Status!$B$2:$B$100000=S_Curve_Data!$T$1)
)),0)/$U$1</f>
        <v>4.2372881355932203E-3</v>
      </c>
      <c r="V49" s="24" cm="1">
        <f t="array" ref="V49">IFERROR(ROWS(_xlfn._xlws.FILTER(
   DRG_Status!$A$2:$A$100000,
   (DRG_Status!$D$2:$D$100000=S_Curve_Data!T49) *
   (DRG_Status!$B$2:$B$100000=S_Curve_Data!$T$1)
)),0)/$U$1</f>
        <v>8.4745762711864406E-3</v>
      </c>
      <c r="W49" s="24" cm="1">
        <f t="array" ref="W49">IFERROR(ROWS(_xlfn._xlws.FILTER(
   DRG_Status!$A$2:$A$100000,
   (DRG_Status!$E$2:$E$100000=S_Curve_Data!T49) *
   (DRG_Status!$B$2:$B$100000=S_Curve_Data!$T$1)
)),0)/$U$1</f>
        <v>5.5084745762711863E-2</v>
      </c>
      <c r="X49" s="24" cm="1">
        <f t="array" ref="X49">IFERROR(ROWS(_xlfn._xlws.FILTER(
   DRG_Status!$A$2:$A$100000,
   (DRG_Status!$F$2:$F$100000=S_Curve_Data!T49) *
   (DRG_Status!$B$2:$B$100000=S_Curve_Data!$T$1)
)),0)/$U$1</f>
        <v>0</v>
      </c>
    </row>
    <row r="50" spans="6:24">
      <c r="F50" s="18">
        <f>Mappings!B49</f>
        <v>45992</v>
      </c>
      <c r="G50" s="24" cm="1">
        <f t="array" ref="G50">IFERROR(ROWS(_xlfn._xlws.FILTER(
   DRG_Status!$A$2:$A$100000,
   (DRG_Status!$C$2:$C$100000=S_Curve_Data!F50) *
   (DRG_Status!$B$2:$B$100000=S_Curve_Data!$F$1)
)),0)/$G$1</f>
        <v>0</v>
      </c>
      <c r="H50" s="24" cm="1">
        <f t="array" ref="H50">IFERROR(ROWS(_xlfn._xlws.FILTER(
   DRG_Status!$A$2:$A$100000,
   (DRG_Status!$D$2:$D$100000=S_Curve_Data!F50) *
   (DRG_Status!$B$2:$B$100000=S_Curve_Data!$F$1)
)),0)/$G$1</f>
        <v>5.4644808743169399E-3</v>
      </c>
      <c r="I50" s="24" cm="1">
        <f t="array" ref="I50">IFERROR(ROWS(_xlfn._xlws.FILTER(
   DRG_Status!$A$2:$A$100000,
   (DRG_Status!$E$2:$E$100000=S_Curve_Data!F50) *
   (DRG_Status!$B$2:$B$100000=S_Curve_Data!$F$1)
)),0)/$G$1</f>
        <v>0</v>
      </c>
      <c r="J50" s="24" cm="1">
        <f t="array" ref="J50">IFERROR(ROWS(_xlfn._xlws.FILTER(
   DRG_Status!$A$2:$A$100000,
   (DRG_Status!$F$2:$F$100000=S_Curve_Data!F50) *
   (DRG_Status!$B$2:$B$100000=S_Curve_Data!$F$1)
)),0)/$G$1</f>
        <v>0.12021857923497267</v>
      </c>
      <c r="M50" s="18">
        <f>Mappings!B49</f>
        <v>45992</v>
      </c>
      <c r="N50" s="24" cm="1">
        <f t="array" ref="N50">IFERROR(ROWS(_xlfn._xlws.FILTER(
   DRG_Status!$A$2:$A$100000,
   (DRG_Status!$C$2:$C$100000=S_Curve_Data!M50) *
   (DRG_Status!$B$2:$B$100000=S_Curve_Data!$M$1)
)),0)/$N$1</f>
        <v>9.7560975609756101E-2</v>
      </c>
      <c r="O50" s="24" cm="1">
        <f t="array" ref="O50">IFERROR(ROWS(_xlfn._xlws.FILTER(
   DRG_Status!$A$2:$A$100000,
   (DRG_Status!$D$2:$D$100000=S_Curve_Data!M50) *
   (DRG_Status!$B$2:$B$100000=S_Curve_Data!$M$1)
)),0)/$N$1</f>
        <v>8.1300813008130079E-2</v>
      </c>
      <c r="P50" s="24" cm="1">
        <f t="array" ref="P50">IFERROR(ROWS(_xlfn._xlws.FILTER(
   DRG_Status!$A$2:$A$100000,
   (DRG_Status!$E$2:$E$100000=S_Curve_Data!M50) *
   (DRG_Status!$B$2:$B$100000=S_Curve_Data!$M$1)
)),0)/$N$1</f>
        <v>0</v>
      </c>
      <c r="Q50" s="24" cm="1">
        <f t="array" ref="Q50">IFERROR(ROWS(_xlfn._xlws.FILTER(
   DRG_Status!$A$2:$A$100000,
   (DRG_Status!$F$2:$F$100000=S_Curve_Data!M50) *
   (DRG_Status!$B$2:$B$100000=S_Curve_Data!$M$1)
)),0)/$N$1</f>
        <v>8.943089430894309E-2</v>
      </c>
      <c r="T50" s="18">
        <f>Mappings!B49</f>
        <v>45992</v>
      </c>
      <c r="U50" s="24" cm="1">
        <f t="array" ref="U50">IFERROR(ROWS(_xlfn._xlws.FILTER(
   DRG_Status!$A$2:$A$100000,
   (DRG_Status!$C$2:$C$100000=S_Curve_Data!T50) *
   (DRG_Status!$B$2:$B$100000=S_Curve_Data!$T$1)
)),0)/$U$1</f>
        <v>0</v>
      </c>
      <c r="V50" s="24" cm="1">
        <f t="array" ref="V50">IFERROR(ROWS(_xlfn._xlws.FILTER(
   DRG_Status!$A$2:$A$100000,
   (DRG_Status!$D$2:$D$100000=S_Curve_Data!T50) *
   (DRG_Status!$B$2:$B$100000=S_Curve_Data!$T$1)
)),0)/$U$1</f>
        <v>0</v>
      </c>
      <c r="W50" s="24" cm="1">
        <f t="array" ref="W50">IFERROR(ROWS(_xlfn._xlws.FILTER(
   DRG_Status!$A$2:$A$100000,
   (DRG_Status!$E$2:$E$100000=S_Curve_Data!T50) *
   (DRG_Status!$B$2:$B$100000=S_Curve_Data!$T$1)
)),0)/$U$1</f>
        <v>0</v>
      </c>
      <c r="X50" s="24" cm="1">
        <f t="array" ref="X50">IFERROR(ROWS(_xlfn._xlws.FILTER(
   DRG_Status!$A$2:$A$100000,
   (DRG_Status!$F$2:$F$100000=S_Curve_Data!T50) *
   (DRG_Status!$B$2:$B$100000=S_Curve_Data!$T$1)
)),0)/$U$1</f>
        <v>0.17372881355932204</v>
      </c>
    </row>
    <row r="51" spans="6:24">
      <c r="F51" s="18">
        <f>Mappings!B50</f>
        <v>45999</v>
      </c>
      <c r="G51" s="24" cm="1">
        <f t="array" ref="G51">IFERROR(ROWS(_xlfn._xlws.FILTER(
   DRG_Status!$A$2:$A$100000,
   (DRG_Status!$C$2:$C$100000=S_Curve_Data!F51) *
   (DRG_Status!$B$2:$B$100000=S_Curve_Data!$F$1)
)),0)/$G$1</f>
        <v>1.092896174863388E-2</v>
      </c>
      <c r="H51" s="24" cm="1">
        <f t="array" ref="H51">IFERROR(ROWS(_xlfn._xlws.FILTER(
   DRG_Status!$A$2:$A$100000,
   (DRG_Status!$D$2:$D$100000=S_Curve_Data!F51) *
   (DRG_Status!$B$2:$B$100000=S_Curve_Data!$F$1)
)),0)/$G$1</f>
        <v>3.825136612021858E-2</v>
      </c>
      <c r="I51" s="24" cm="1">
        <f t="array" ref="I51">IFERROR(ROWS(_xlfn._xlws.FILTER(
   DRG_Status!$A$2:$A$100000,
   (DRG_Status!$E$2:$E$100000=S_Curve_Data!F51) *
   (DRG_Status!$B$2:$B$100000=S_Curve_Data!$F$1)
)),0)/$G$1</f>
        <v>0</v>
      </c>
      <c r="J51" s="24" cm="1">
        <f t="array" ref="J51">IFERROR(ROWS(_xlfn._xlws.FILTER(
   DRG_Status!$A$2:$A$100000,
   (DRG_Status!$F$2:$F$100000=S_Curve_Data!F51) *
   (DRG_Status!$B$2:$B$100000=S_Curve_Data!$F$1)
)),0)/$G$1</f>
        <v>4.9180327868852458E-2</v>
      </c>
      <c r="M51" s="18">
        <f>Mappings!B50</f>
        <v>45999</v>
      </c>
      <c r="N51" s="24" cm="1">
        <f t="array" ref="N51">IFERROR(ROWS(_xlfn._xlws.FILTER(
   DRG_Status!$A$2:$A$100000,
   (DRG_Status!$C$2:$C$100000=S_Curve_Data!M51) *
   (DRG_Status!$B$2:$B$100000=S_Curve_Data!$M$1)
)),0)/$N$1</f>
        <v>9.7560975609756101E-2</v>
      </c>
      <c r="O51" s="24" cm="1">
        <f t="array" ref="O51">IFERROR(ROWS(_xlfn._xlws.FILTER(
   DRG_Status!$A$2:$A$100000,
   (DRG_Status!$D$2:$D$100000=S_Curve_Data!M51) *
   (DRG_Status!$B$2:$B$100000=S_Curve_Data!$M$1)
)),0)/$N$1</f>
        <v>8.1300813008130079E-2</v>
      </c>
      <c r="P51" s="24" cm="1">
        <f t="array" ref="P51">IFERROR(ROWS(_xlfn._xlws.FILTER(
   DRG_Status!$A$2:$A$100000,
   (DRG_Status!$E$2:$E$100000=S_Curve_Data!M51) *
   (DRG_Status!$B$2:$B$100000=S_Curve_Data!$M$1)
)),0)/$N$1</f>
        <v>6.5040650406504072E-2</v>
      </c>
      <c r="Q51" s="24" cm="1">
        <f t="array" ref="Q51">IFERROR(ROWS(_xlfn._xlws.FILTER(
   DRG_Status!$A$2:$A$100000,
   (DRG_Status!$F$2:$F$100000=S_Curve_Data!M51) *
   (DRG_Status!$B$2:$B$100000=S_Curve_Data!$M$1)
)),0)/$N$1</f>
        <v>0.1951219512195122</v>
      </c>
      <c r="T51" s="18">
        <f>Mappings!B50</f>
        <v>45999</v>
      </c>
      <c r="U51" s="24" cm="1">
        <f t="array" ref="U51">IFERROR(ROWS(_xlfn._xlws.FILTER(
   DRG_Status!$A$2:$A$100000,
   (DRG_Status!$C$2:$C$100000=S_Curve_Data!T51) *
   (DRG_Status!$B$2:$B$100000=S_Curve_Data!$T$1)
)),0)/$U$1</f>
        <v>0</v>
      </c>
      <c r="V51" s="24" cm="1">
        <f t="array" ref="V51">IFERROR(ROWS(_xlfn._xlws.FILTER(
   DRG_Status!$A$2:$A$100000,
   (DRG_Status!$D$2:$D$100000=S_Curve_Data!T51) *
   (DRG_Status!$B$2:$B$100000=S_Curve_Data!$T$1)
)),0)/$U$1</f>
        <v>0</v>
      </c>
      <c r="W51" s="24" cm="1">
        <f t="array" ref="W51">IFERROR(ROWS(_xlfn._xlws.FILTER(
   DRG_Status!$A$2:$A$100000,
   (DRG_Status!$E$2:$E$100000=S_Curve_Data!T51) *
   (DRG_Status!$B$2:$B$100000=S_Curve_Data!$T$1)
)),0)/$U$1</f>
        <v>4.2372881355932203E-3</v>
      </c>
      <c r="X51" s="24" cm="1">
        <f t="array" ref="X51">IFERROR(ROWS(_xlfn._xlws.FILTER(
   DRG_Status!$A$2:$A$100000,
   (DRG_Status!$F$2:$F$100000=S_Curve_Data!T51) *
   (DRG_Status!$B$2:$B$100000=S_Curve_Data!$T$1)
)),0)/$U$1</f>
        <v>0</v>
      </c>
    </row>
    <row r="52" spans="6:24">
      <c r="F52" s="18">
        <f>Mappings!B51</f>
        <v>46006</v>
      </c>
      <c r="G52" s="24" cm="1">
        <f t="array" ref="G52">IFERROR(ROWS(_xlfn._xlws.FILTER(
   DRG_Status!$A$2:$A$100000,
   (DRG_Status!$C$2:$C$100000=S_Curve_Data!F52) *
   (DRG_Status!$B$2:$B$100000=S_Curve_Data!$F$1)
)),0)/$G$1</f>
        <v>1.6393442622950821E-2</v>
      </c>
      <c r="H52" s="24" cm="1">
        <f t="array" ref="H52">IFERROR(ROWS(_xlfn._xlws.FILTER(
   DRG_Status!$A$2:$A$100000,
   (DRG_Status!$D$2:$D$100000=S_Curve_Data!F52) *
   (DRG_Status!$B$2:$B$100000=S_Curve_Data!$F$1)
)),0)/$G$1</f>
        <v>2.185792349726776E-2</v>
      </c>
      <c r="I52" s="24" cm="1">
        <f t="array" ref="I52">IFERROR(ROWS(_xlfn._xlws.FILTER(
   DRG_Status!$A$2:$A$100000,
   (DRG_Status!$E$2:$E$100000=S_Curve_Data!F52) *
   (DRG_Status!$B$2:$B$100000=S_Curve_Data!$F$1)
)),0)/$G$1</f>
        <v>5.4644808743169399E-3</v>
      </c>
      <c r="J52" s="24" cm="1">
        <f t="array" ref="J52">IFERROR(ROWS(_xlfn._xlws.FILTER(
   DRG_Status!$A$2:$A$100000,
   (DRG_Status!$F$2:$F$100000=S_Curve_Data!F52) *
   (DRG_Status!$B$2:$B$100000=S_Curve_Data!$F$1)
)),0)/$G$1</f>
        <v>6.0109289617486336E-2</v>
      </c>
      <c r="M52" s="18">
        <f>Mappings!B51</f>
        <v>46006</v>
      </c>
      <c r="N52" s="24" cm="1">
        <f t="array" ref="N52">IFERROR(ROWS(_xlfn._xlws.FILTER(
   DRG_Status!$A$2:$A$100000,
   (DRG_Status!$C$2:$C$100000=S_Curve_Data!M52) *
   (DRG_Status!$B$2:$B$100000=S_Curve_Data!$M$1)
)),0)/$N$1</f>
        <v>8.943089430894309E-2</v>
      </c>
      <c r="O52" s="24" cm="1">
        <f t="array" ref="O52">IFERROR(ROWS(_xlfn._xlws.FILTER(
   DRG_Status!$A$2:$A$100000,
   (DRG_Status!$D$2:$D$100000=S_Curve_Data!M52) *
   (DRG_Status!$B$2:$B$100000=S_Curve_Data!$M$1)
)),0)/$N$1</f>
        <v>4.065040650406504E-2</v>
      </c>
      <c r="P52" s="24" cm="1">
        <f t="array" ref="P52">IFERROR(ROWS(_xlfn._xlws.FILTER(
   DRG_Status!$A$2:$A$100000,
   (DRG_Status!$E$2:$E$100000=S_Curve_Data!M52) *
   (DRG_Status!$B$2:$B$100000=S_Curve_Data!$M$1)
)),0)/$N$1</f>
        <v>0</v>
      </c>
      <c r="Q52" s="24" cm="1">
        <f t="array" ref="Q52">IFERROR(ROWS(_xlfn._xlws.FILTER(
   DRG_Status!$A$2:$A$100000,
   (DRG_Status!$F$2:$F$100000=S_Curve_Data!M52) *
   (DRG_Status!$B$2:$B$100000=S_Curve_Data!$M$1)
)),0)/$N$1</f>
        <v>8.1300813008130079E-2</v>
      </c>
      <c r="T52" s="18">
        <f>Mappings!B51</f>
        <v>46006</v>
      </c>
      <c r="U52" s="24" cm="1">
        <f t="array" ref="U52">IFERROR(ROWS(_xlfn._xlws.FILTER(
   DRG_Status!$A$2:$A$100000,
   (DRG_Status!$C$2:$C$100000=S_Curve_Data!T52) *
   (DRG_Status!$B$2:$B$100000=S_Curve_Data!$T$1)
)),0)/$U$1</f>
        <v>8.4745762711864406E-3</v>
      </c>
      <c r="V52" s="24" cm="1">
        <f t="array" ref="V52">IFERROR(ROWS(_xlfn._xlws.FILTER(
   DRG_Status!$A$2:$A$100000,
   (DRG_Status!$D$2:$D$100000=S_Curve_Data!T52) *
   (DRG_Status!$B$2:$B$100000=S_Curve_Data!$T$1)
)),0)/$U$1</f>
        <v>0</v>
      </c>
      <c r="W52" s="24" cm="1">
        <f t="array" ref="W52">IFERROR(ROWS(_xlfn._xlws.FILTER(
   DRG_Status!$A$2:$A$100000,
   (DRG_Status!$E$2:$E$100000=S_Curve_Data!T52) *
   (DRG_Status!$B$2:$B$100000=S_Curve_Data!$T$1)
)),0)/$U$1</f>
        <v>0</v>
      </c>
      <c r="X52" s="24" cm="1">
        <f t="array" ref="X52">IFERROR(ROWS(_xlfn._xlws.FILTER(
   DRG_Status!$A$2:$A$100000,
   (DRG_Status!$F$2:$F$100000=S_Curve_Data!T52) *
   (DRG_Status!$B$2:$B$100000=S_Curve_Data!$T$1)
)),0)/$U$1</f>
        <v>0</v>
      </c>
    </row>
    <row r="53" spans="6:24">
      <c r="F53" s="18">
        <f>Mappings!B52</f>
        <v>46013</v>
      </c>
      <c r="G53" s="24" cm="1">
        <f t="array" ref="G53">IFERROR(ROWS(_xlfn._xlws.FILTER(
   DRG_Status!$A$2:$A$100000,
   (DRG_Status!$C$2:$C$100000=S_Curve_Data!F53) *
   (DRG_Status!$B$2:$B$100000=S_Curve_Data!$F$1)
)),0)/$G$1</f>
        <v>5.4644808743169399E-3</v>
      </c>
      <c r="H53" s="24" cm="1">
        <f t="array" ref="H53">IFERROR(ROWS(_xlfn._xlws.FILTER(
   DRG_Status!$A$2:$A$100000,
   (DRG_Status!$D$2:$D$100000=S_Curve_Data!F53) *
   (DRG_Status!$B$2:$B$100000=S_Curve_Data!$F$1)
)),0)/$G$1</f>
        <v>0</v>
      </c>
      <c r="I53" s="24" cm="1">
        <f t="array" ref="I53">IFERROR(ROWS(_xlfn._xlws.FILTER(
   DRG_Status!$A$2:$A$100000,
   (DRG_Status!$E$2:$E$100000=S_Curve_Data!F53) *
   (DRG_Status!$B$2:$B$100000=S_Curve_Data!$F$1)
)),0)/$G$1</f>
        <v>1.6393442622950821E-2</v>
      </c>
      <c r="J53" s="24" cm="1">
        <f t="array" ref="J53">IFERROR(ROWS(_xlfn._xlws.FILTER(
   DRG_Status!$A$2:$A$100000,
   (DRG_Status!$F$2:$F$100000=S_Curve_Data!F53) *
   (DRG_Status!$B$2:$B$100000=S_Curve_Data!$F$1)
)),0)/$G$1</f>
        <v>0</v>
      </c>
      <c r="M53" s="18">
        <f>Mappings!B52</f>
        <v>46013</v>
      </c>
      <c r="N53" s="24" cm="1">
        <f t="array" ref="N53">IFERROR(ROWS(_xlfn._xlws.FILTER(
   DRG_Status!$A$2:$A$100000,
   (DRG_Status!$C$2:$C$100000=S_Curve_Data!M53) *
   (DRG_Status!$B$2:$B$100000=S_Curve_Data!$M$1)
)),0)/$N$1</f>
        <v>4.878048780487805E-2</v>
      </c>
      <c r="O53" s="24" cm="1">
        <f t="array" ref="O53">IFERROR(ROWS(_xlfn._xlws.FILTER(
   DRG_Status!$A$2:$A$100000,
   (DRG_Status!$D$2:$D$100000=S_Curve_Data!M53) *
   (DRG_Status!$B$2:$B$100000=S_Curve_Data!$M$1)
)),0)/$N$1</f>
        <v>0</v>
      </c>
      <c r="P53" s="24" cm="1">
        <f t="array" ref="P53">IFERROR(ROWS(_xlfn._xlws.FILTER(
   DRG_Status!$A$2:$A$100000,
   (DRG_Status!$E$2:$E$100000=S_Curve_Data!M53) *
   (DRG_Status!$B$2:$B$100000=S_Curve_Data!$M$1)
)),0)/$N$1</f>
        <v>9.7560975609756101E-2</v>
      </c>
      <c r="Q53" s="24" cm="1">
        <f t="array" ref="Q53">IFERROR(ROWS(_xlfn._xlws.FILTER(
   DRG_Status!$A$2:$A$100000,
   (DRG_Status!$F$2:$F$100000=S_Curve_Data!M53) *
   (DRG_Status!$B$2:$B$100000=S_Curve_Data!$M$1)
)),0)/$N$1</f>
        <v>0</v>
      </c>
      <c r="T53" s="18">
        <f>Mappings!B52</f>
        <v>46013</v>
      </c>
      <c r="U53" s="24" cm="1">
        <f t="array" ref="U53">IFERROR(ROWS(_xlfn._xlws.FILTER(
   DRG_Status!$A$2:$A$100000,
   (DRG_Status!$C$2:$C$100000=S_Curve_Data!T53) *
   (DRG_Status!$B$2:$B$100000=S_Curve_Data!$T$1)
)),0)/$U$1</f>
        <v>0</v>
      </c>
      <c r="V53" s="24" cm="1">
        <f t="array" ref="V53">IFERROR(ROWS(_xlfn._xlws.FILTER(
   DRG_Status!$A$2:$A$100000,
   (DRG_Status!$D$2:$D$100000=S_Curve_Data!T53) *
   (DRG_Status!$B$2:$B$100000=S_Curve_Data!$T$1)
)),0)/$U$1</f>
        <v>0</v>
      </c>
      <c r="W53" s="24" cm="1">
        <f t="array" ref="W53">IFERROR(ROWS(_xlfn._xlws.FILTER(
   DRG_Status!$A$2:$A$100000,
   (DRG_Status!$E$2:$E$100000=S_Curve_Data!T53) *
   (DRG_Status!$B$2:$B$100000=S_Curve_Data!$T$1)
)),0)/$U$1</f>
        <v>4.2372881355932203E-3</v>
      </c>
      <c r="X53" s="24" cm="1">
        <f t="array" ref="X53">IFERROR(ROWS(_xlfn._xlws.FILTER(
   DRG_Status!$A$2:$A$100000,
   (DRG_Status!$F$2:$F$100000=S_Curve_Data!T53) *
   (DRG_Status!$B$2:$B$100000=S_Curve_Data!$T$1)
)),0)/$U$1</f>
        <v>0</v>
      </c>
    </row>
    <row r="54" spans="6:24">
      <c r="F54" s="18">
        <f>Mappings!B53</f>
        <v>46020</v>
      </c>
      <c r="G54" s="24" cm="1">
        <f t="array" ref="G54">IFERROR(ROWS(_xlfn._xlws.FILTER(
   DRG_Status!$A$2:$A$100000,
   (DRG_Status!$C$2:$C$100000=S_Curve_Data!F54) *
   (DRG_Status!$B$2:$B$100000=S_Curve_Data!$F$1)
)),0)/$G$1</f>
        <v>9.2896174863387984E-2</v>
      </c>
      <c r="H54" s="24" cm="1">
        <f t="array" ref="H54">IFERROR(ROWS(_xlfn._xlws.FILTER(
   DRG_Status!$A$2:$A$100000,
   (DRG_Status!$D$2:$D$100000=S_Curve_Data!F54) *
   (DRG_Status!$B$2:$B$100000=S_Curve_Data!$F$1)
)),0)/$G$1</f>
        <v>5.4644808743169399E-3</v>
      </c>
      <c r="I54" s="24" cm="1">
        <f t="array" ref="I54">IFERROR(ROWS(_xlfn._xlws.FILTER(
   DRG_Status!$A$2:$A$100000,
   (DRG_Status!$E$2:$E$100000=S_Curve_Data!F54) *
   (DRG_Status!$B$2:$B$100000=S_Curve_Data!$F$1)
)),0)/$G$1</f>
        <v>5.4644808743169399E-3</v>
      </c>
      <c r="J54" s="24" cm="1">
        <f t="array" ref="J54">IFERROR(ROWS(_xlfn._xlws.FILTER(
   DRG_Status!$A$2:$A$100000,
   (DRG_Status!$F$2:$F$100000=S_Curve_Data!F54) *
   (DRG_Status!$B$2:$B$100000=S_Curve_Data!$F$1)
)),0)/$G$1</f>
        <v>0</v>
      </c>
      <c r="M54" s="18">
        <f>Mappings!B53</f>
        <v>46020</v>
      </c>
      <c r="N54" s="24" cm="1">
        <f t="array" ref="N54">IFERROR(ROWS(_xlfn._xlws.FILTER(
   DRG_Status!$A$2:$A$100000,
   (DRG_Status!$C$2:$C$100000=S_Curve_Data!M54) *
   (DRG_Status!$B$2:$B$100000=S_Curve_Data!$M$1)
)),0)/$N$1</f>
        <v>1.6260162601626018E-2</v>
      </c>
      <c r="O54" s="24" cm="1">
        <f t="array" ref="O54">IFERROR(ROWS(_xlfn._xlws.FILTER(
   DRG_Status!$A$2:$A$100000,
   (DRG_Status!$D$2:$D$100000=S_Curve_Data!M54) *
   (DRG_Status!$B$2:$B$100000=S_Curve_Data!$M$1)
)),0)/$N$1</f>
        <v>0</v>
      </c>
      <c r="P54" s="24" cm="1">
        <f t="array" ref="P54">IFERROR(ROWS(_xlfn._xlws.FILTER(
   DRG_Status!$A$2:$A$100000,
   (DRG_Status!$E$2:$E$100000=S_Curve_Data!M54) *
   (DRG_Status!$B$2:$B$100000=S_Curve_Data!$M$1)
)),0)/$N$1</f>
        <v>8.943089430894309E-2</v>
      </c>
      <c r="Q54" s="24" cm="1">
        <f t="array" ref="Q54">IFERROR(ROWS(_xlfn._xlws.FILTER(
   DRG_Status!$A$2:$A$100000,
   (DRG_Status!$F$2:$F$100000=S_Curve_Data!M54) *
   (DRG_Status!$B$2:$B$100000=S_Curve_Data!$M$1)
)),0)/$N$1</f>
        <v>0</v>
      </c>
      <c r="T54" s="18">
        <f>Mappings!B53</f>
        <v>46020</v>
      </c>
      <c r="U54" s="24" cm="1">
        <f t="array" ref="U54">IFERROR(ROWS(_xlfn._xlws.FILTER(
   DRG_Status!$A$2:$A$100000,
   (DRG_Status!$C$2:$C$100000=S_Curve_Data!T54) *
   (DRG_Status!$B$2:$B$100000=S_Curve_Data!$T$1)
)),0)/$U$1</f>
        <v>1.2711864406779662E-2</v>
      </c>
      <c r="V54" s="24" cm="1">
        <f t="array" ref="V54">IFERROR(ROWS(_xlfn._xlws.FILTER(
   DRG_Status!$A$2:$A$100000,
   (DRG_Status!$D$2:$D$100000=S_Curve_Data!T54) *
   (DRG_Status!$B$2:$B$100000=S_Curve_Data!$T$1)
)),0)/$U$1</f>
        <v>0</v>
      </c>
      <c r="W54" s="24" cm="1">
        <f t="array" ref="W54">IFERROR(ROWS(_xlfn._xlws.FILTER(
   DRG_Status!$A$2:$A$100000,
   (DRG_Status!$E$2:$E$100000=S_Curve_Data!T54) *
   (DRG_Status!$B$2:$B$100000=S_Curve_Data!$T$1)
)),0)/$U$1</f>
        <v>0</v>
      </c>
      <c r="X54" s="24" cm="1">
        <f t="array" ref="X54">IFERROR(ROWS(_xlfn._xlws.FILTER(
   DRG_Status!$A$2:$A$100000,
   (DRG_Status!$F$2:$F$100000=S_Curve_Data!T54) *
   (DRG_Status!$B$2:$B$100000=S_Curve_Data!$T$1)
)),0)/$U$1</f>
        <v>0</v>
      </c>
    </row>
    <row r="55" spans="6:24">
      <c r="F55" s="18">
        <f>Mappings!B54</f>
        <v>46027</v>
      </c>
      <c r="G55" s="24" cm="1">
        <f t="array" ref="G55">IFERROR(ROWS(_xlfn._xlws.FILTER(
   DRG_Status!$A$2:$A$100000,
   (DRG_Status!$C$2:$C$100000=S_Curve_Data!F55) *
   (DRG_Status!$B$2:$B$100000=S_Curve_Data!$F$1)
)),0)/$G$1</f>
        <v>0</v>
      </c>
      <c r="H55" s="24" cm="1">
        <f t="array" ref="H55">IFERROR(ROWS(_xlfn._xlws.FILTER(
   DRG_Status!$A$2:$A$100000,
   (DRG_Status!$D$2:$D$100000=S_Curve_Data!F55) *
   (DRG_Status!$B$2:$B$100000=S_Curve_Data!$F$1)
)),0)/$G$1</f>
        <v>0</v>
      </c>
      <c r="I55" s="24" cm="1">
        <f t="array" ref="I55">IFERROR(ROWS(_xlfn._xlws.FILTER(
   DRG_Status!$A$2:$A$100000,
   (DRG_Status!$E$2:$E$100000=S_Curve_Data!F55) *
   (DRG_Status!$B$2:$B$100000=S_Curve_Data!$F$1)
)),0)/$G$1</f>
        <v>5.4644808743169399E-3</v>
      </c>
      <c r="J55" s="24" cm="1">
        <f t="array" ref="J55">IFERROR(ROWS(_xlfn._xlws.FILTER(
   DRG_Status!$A$2:$A$100000,
   (DRG_Status!$F$2:$F$100000=S_Curve_Data!F55) *
   (DRG_Status!$B$2:$B$100000=S_Curve_Data!$F$1)
)),0)/$G$1</f>
        <v>5.4644808743169399E-3</v>
      </c>
      <c r="M55" s="18">
        <f>Mappings!B54</f>
        <v>46027</v>
      </c>
      <c r="N55" s="24" cm="1">
        <f t="array" ref="N55">IFERROR(ROWS(_xlfn._xlws.FILTER(
   DRG_Status!$A$2:$A$100000,
   (DRG_Status!$C$2:$C$100000=S_Curve_Data!M55) *
   (DRG_Status!$B$2:$B$100000=S_Curve_Data!$M$1)
)),0)/$N$1</f>
        <v>0</v>
      </c>
      <c r="O55" s="24" cm="1">
        <f t="array" ref="O55">IFERROR(ROWS(_xlfn._xlws.FILTER(
   DRG_Status!$A$2:$A$100000,
   (DRG_Status!$D$2:$D$100000=S_Curve_Data!M55) *
   (DRG_Status!$B$2:$B$100000=S_Curve_Data!$M$1)
)),0)/$N$1</f>
        <v>8.130081300813009E-3</v>
      </c>
      <c r="P55" s="24" cm="1">
        <f t="array" ref="P55">IFERROR(ROWS(_xlfn._xlws.FILTER(
   DRG_Status!$A$2:$A$100000,
   (DRG_Status!$E$2:$E$100000=S_Curve_Data!M55) *
   (DRG_Status!$B$2:$B$100000=S_Curve_Data!$M$1)
)),0)/$N$1</f>
        <v>8.943089430894309E-2</v>
      </c>
      <c r="Q55" s="24" cm="1">
        <f t="array" ref="Q55">IFERROR(ROWS(_xlfn._xlws.FILTER(
   DRG_Status!$A$2:$A$100000,
   (DRG_Status!$F$2:$F$100000=S_Curve_Data!M55) *
   (DRG_Status!$B$2:$B$100000=S_Curve_Data!$M$1)
)),0)/$N$1</f>
        <v>3.2520325203252036E-2</v>
      </c>
      <c r="T55" s="18">
        <f>Mappings!B54</f>
        <v>46027</v>
      </c>
      <c r="U55" s="24" cm="1">
        <f t="array" ref="U55">IFERROR(ROWS(_xlfn._xlws.FILTER(
   DRG_Status!$A$2:$A$100000,
   (DRG_Status!$C$2:$C$100000=S_Curve_Data!T55) *
   (DRG_Status!$B$2:$B$100000=S_Curve_Data!$T$1)
)),0)/$U$1</f>
        <v>0</v>
      </c>
      <c r="V55" s="24" cm="1">
        <f t="array" ref="V55">IFERROR(ROWS(_xlfn._xlws.FILTER(
   DRG_Status!$A$2:$A$100000,
   (DRG_Status!$D$2:$D$100000=S_Curve_Data!T55) *
   (DRG_Status!$B$2:$B$100000=S_Curve_Data!$T$1)
)),0)/$U$1</f>
        <v>0</v>
      </c>
      <c r="W55" s="24" cm="1">
        <f t="array" ref="W55">IFERROR(ROWS(_xlfn._xlws.FILTER(
   DRG_Status!$A$2:$A$100000,
   (DRG_Status!$E$2:$E$100000=S_Curve_Data!T55) *
   (DRG_Status!$B$2:$B$100000=S_Curve_Data!$T$1)
)),0)/$U$1</f>
        <v>4.2372881355932203E-3</v>
      </c>
      <c r="X55" s="24" cm="1">
        <f t="array" ref="X55">IFERROR(ROWS(_xlfn._xlws.FILTER(
   DRG_Status!$A$2:$A$100000,
   (DRG_Status!$F$2:$F$100000=S_Curve_Data!T55) *
   (DRG_Status!$B$2:$B$100000=S_Curve_Data!$T$1)
)),0)/$U$1</f>
        <v>0</v>
      </c>
    </row>
    <row r="56" spans="6:24">
      <c r="F56" s="18">
        <f>Mappings!B55</f>
        <v>46034</v>
      </c>
      <c r="G56" s="24" cm="1">
        <f t="array" ref="G56">IFERROR(ROWS(_xlfn._xlws.FILTER(
   DRG_Status!$A$2:$A$100000,
   (DRG_Status!$C$2:$C$100000=S_Curve_Data!F56) *
   (DRG_Status!$B$2:$B$100000=S_Curve_Data!$F$1)
)),0)/$G$1</f>
        <v>0</v>
      </c>
      <c r="H56" s="24" cm="1">
        <f t="array" ref="H56">IFERROR(ROWS(_xlfn._xlws.FILTER(
   DRG_Status!$A$2:$A$100000,
   (DRG_Status!$D$2:$D$100000=S_Curve_Data!F56) *
   (DRG_Status!$B$2:$B$100000=S_Curve_Data!$F$1)
)),0)/$G$1</f>
        <v>1.092896174863388E-2</v>
      </c>
      <c r="I56" s="24" cm="1">
        <f t="array" ref="I56">IFERROR(ROWS(_xlfn._xlws.FILTER(
   DRG_Status!$A$2:$A$100000,
   (DRG_Status!$E$2:$E$100000=S_Curve_Data!F56) *
   (DRG_Status!$B$2:$B$100000=S_Curve_Data!$F$1)
)),0)/$G$1</f>
        <v>1.092896174863388E-2</v>
      </c>
      <c r="J56" s="24" cm="1">
        <f t="array" ref="J56">IFERROR(ROWS(_xlfn._xlws.FILTER(
   DRG_Status!$A$2:$A$100000,
   (DRG_Status!$F$2:$F$100000=S_Curve_Data!F56) *
   (DRG_Status!$B$2:$B$100000=S_Curve_Data!$F$1)
)),0)/$G$1</f>
        <v>0</v>
      </c>
      <c r="M56" s="18">
        <f>Mappings!B55</f>
        <v>46034</v>
      </c>
      <c r="N56" s="24" cm="1">
        <f t="array" ref="N56">IFERROR(ROWS(_xlfn._xlws.FILTER(
   DRG_Status!$A$2:$A$100000,
   (DRG_Status!$C$2:$C$100000=S_Curve_Data!M56) *
   (DRG_Status!$B$2:$B$100000=S_Curve_Data!$M$1)
)),0)/$N$1</f>
        <v>0</v>
      </c>
      <c r="O56" s="24" cm="1">
        <f t="array" ref="O56">IFERROR(ROWS(_xlfn._xlws.FILTER(
   DRG_Status!$A$2:$A$100000,
   (DRG_Status!$D$2:$D$100000=S_Curve_Data!M56) *
   (DRG_Status!$B$2:$B$100000=S_Curve_Data!$M$1)
)),0)/$N$1</f>
        <v>0</v>
      </c>
      <c r="P56" s="24" cm="1">
        <f t="array" ref="P56">IFERROR(ROWS(_xlfn._xlws.FILTER(
   DRG_Status!$A$2:$A$100000,
   (DRG_Status!$E$2:$E$100000=S_Curve_Data!M56) *
   (DRG_Status!$B$2:$B$100000=S_Curve_Data!$M$1)
)),0)/$N$1</f>
        <v>4.065040650406504E-2</v>
      </c>
      <c r="Q56" s="24" cm="1">
        <f t="array" ref="Q56">IFERROR(ROWS(_xlfn._xlws.FILTER(
   DRG_Status!$A$2:$A$100000,
   (DRG_Status!$F$2:$F$100000=S_Curve_Data!M56) *
   (DRG_Status!$B$2:$B$100000=S_Curve_Data!$M$1)
)),0)/$N$1</f>
        <v>0</v>
      </c>
      <c r="T56" s="18">
        <f>Mappings!B55</f>
        <v>46034</v>
      </c>
      <c r="U56" s="24" cm="1">
        <f t="array" ref="U56">IFERROR(ROWS(_xlfn._xlws.FILTER(
   DRG_Status!$A$2:$A$100000,
   (DRG_Status!$C$2:$C$100000=S_Curve_Data!T56) *
   (DRG_Status!$B$2:$B$100000=S_Curve_Data!$T$1)
)),0)/$U$1</f>
        <v>0</v>
      </c>
      <c r="V56" s="24" cm="1">
        <f t="array" ref="V56">IFERROR(ROWS(_xlfn._xlws.FILTER(
   DRG_Status!$A$2:$A$100000,
   (DRG_Status!$D$2:$D$100000=S_Curve_Data!T56) *
   (DRG_Status!$B$2:$B$100000=S_Curve_Data!$T$1)
)),0)/$U$1</f>
        <v>0</v>
      </c>
      <c r="W56" s="24" cm="1">
        <f t="array" ref="W56">IFERROR(ROWS(_xlfn._xlws.FILTER(
   DRG_Status!$A$2:$A$100000,
   (DRG_Status!$E$2:$E$100000=S_Curve_Data!T56) *
   (DRG_Status!$B$2:$B$100000=S_Curve_Data!$T$1)
)),0)/$U$1</f>
        <v>0</v>
      </c>
      <c r="X56" s="24" cm="1">
        <f t="array" ref="X56">IFERROR(ROWS(_xlfn._xlws.FILTER(
   DRG_Status!$A$2:$A$100000,
   (DRG_Status!$F$2:$F$100000=S_Curve_Data!T56) *
   (DRG_Status!$B$2:$B$100000=S_Curve_Data!$T$1)
)),0)/$U$1</f>
        <v>0</v>
      </c>
    </row>
    <row r="57" spans="6:24">
      <c r="F57" s="18">
        <f>Mappings!B56</f>
        <v>46041</v>
      </c>
      <c r="G57" s="24" cm="1">
        <f t="array" ref="G57">IFERROR(ROWS(_xlfn._xlws.FILTER(
   DRG_Status!$A$2:$A$100000,
   (DRG_Status!$C$2:$C$100000=S_Curve_Data!F57) *
   (DRG_Status!$B$2:$B$100000=S_Curve_Data!$F$1)
)),0)/$G$1</f>
        <v>0</v>
      </c>
      <c r="H57" s="24" cm="1">
        <f t="array" ref="H57">IFERROR(ROWS(_xlfn._xlws.FILTER(
   DRG_Status!$A$2:$A$100000,
   (DRG_Status!$D$2:$D$100000=S_Curve_Data!F57) *
   (DRG_Status!$B$2:$B$100000=S_Curve_Data!$F$1)
)),0)/$G$1</f>
        <v>2.185792349726776E-2</v>
      </c>
      <c r="I57" s="24" cm="1">
        <f t="array" ref="I57">IFERROR(ROWS(_xlfn._xlws.FILTER(
   DRG_Status!$A$2:$A$100000,
   (DRG_Status!$E$2:$E$100000=S_Curve_Data!F57) *
   (DRG_Status!$B$2:$B$100000=S_Curve_Data!$F$1)
)),0)/$G$1</f>
        <v>3.825136612021858E-2</v>
      </c>
      <c r="J57" s="24" cm="1">
        <f t="array" ref="J57">IFERROR(ROWS(_xlfn._xlws.FILTER(
   DRG_Status!$A$2:$A$100000,
   (DRG_Status!$F$2:$F$100000=S_Curve_Data!F57) *
   (DRG_Status!$B$2:$B$100000=S_Curve_Data!$F$1)
)),0)/$G$1</f>
        <v>0</v>
      </c>
      <c r="M57" s="18">
        <f>Mappings!B56</f>
        <v>46041</v>
      </c>
      <c r="N57" s="24" cm="1">
        <f t="array" ref="N57">IFERROR(ROWS(_xlfn._xlws.FILTER(
   DRG_Status!$A$2:$A$100000,
   (DRG_Status!$C$2:$C$100000=S_Curve_Data!M57) *
   (DRG_Status!$B$2:$B$100000=S_Curve_Data!$M$1)
)),0)/$N$1</f>
        <v>0</v>
      </c>
      <c r="O57" s="24" cm="1">
        <f t="array" ref="O57">IFERROR(ROWS(_xlfn._xlws.FILTER(
   DRG_Status!$A$2:$A$100000,
   (DRG_Status!$D$2:$D$100000=S_Curve_Data!M57) *
   (DRG_Status!$B$2:$B$100000=S_Curve_Data!$M$1)
)),0)/$N$1</f>
        <v>8.130081300813009E-3</v>
      </c>
      <c r="P57" s="24" cm="1">
        <f t="array" ref="P57">IFERROR(ROWS(_xlfn._xlws.FILTER(
   DRG_Status!$A$2:$A$100000,
   (DRG_Status!$E$2:$E$100000=S_Curve_Data!M57) *
   (DRG_Status!$B$2:$B$100000=S_Curve_Data!$M$1)
)),0)/$N$1</f>
        <v>4.878048780487805E-2</v>
      </c>
      <c r="Q57" s="24" cm="1">
        <f t="array" ref="Q57">IFERROR(ROWS(_xlfn._xlws.FILTER(
   DRG_Status!$A$2:$A$100000,
   (DRG_Status!$F$2:$F$100000=S_Curve_Data!M57) *
   (DRG_Status!$B$2:$B$100000=S_Curve_Data!$M$1)
)),0)/$N$1</f>
        <v>0</v>
      </c>
      <c r="T57" s="18">
        <f>Mappings!B56</f>
        <v>46041</v>
      </c>
      <c r="U57" s="24" cm="1">
        <f t="array" ref="U57">IFERROR(ROWS(_xlfn._xlws.FILTER(
   DRG_Status!$A$2:$A$100000,
   (DRG_Status!$C$2:$C$100000=S_Curve_Data!T57) *
   (DRG_Status!$B$2:$B$100000=S_Curve_Data!$T$1)
)),0)/$U$1</f>
        <v>0</v>
      </c>
      <c r="V57" s="24" cm="1">
        <f t="array" ref="V57">IFERROR(ROWS(_xlfn._xlws.FILTER(
   DRG_Status!$A$2:$A$100000,
   (DRG_Status!$D$2:$D$100000=S_Curve_Data!T57) *
   (DRG_Status!$B$2:$B$100000=S_Curve_Data!$T$1)
)),0)/$U$1</f>
        <v>0</v>
      </c>
      <c r="W57" s="24" cm="1">
        <f t="array" ref="W57">IFERROR(ROWS(_xlfn._xlws.FILTER(
   DRG_Status!$A$2:$A$100000,
   (DRG_Status!$E$2:$E$100000=S_Curve_Data!T57) *
   (DRG_Status!$B$2:$B$100000=S_Curve_Data!$T$1)
)),0)/$U$1</f>
        <v>0</v>
      </c>
      <c r="X57" s="24" cm="1">
        <f t="array" ref="X57">IFERROR(ROWS(_xlfn._xlws.FILTER(
   DRG_Status!$A$2:$A$100000,
   (DRG_Status!$F$2:$F$100000=S_Curve_Data!T57) *
   (DRG_Status!$B$2:$B$100000=S_Curve_Data!$T$1)
)),0)/$U$1</f>
        <v>0</v>
      </c>
    </row>
    <row r="58" spans="6:24">
      <c r="F58" s="18">
        <f>Mappings!B57</f>
        <v>46048</v>
      </c>
      <c r="G58" s="24" cm="1">
        <f t="array" ref="G58">IFERROR(ROWS(_xlfn._xlws.FILTER(
   DRG_Status!$A$2:$A$100000,
   (DRG_Status!$C$2:$C$100000=S_Curve_Data!F58) *
   (DRG_Status!$B$2:$B$100000=S_Curve_Data!$F$1)
)),0)/$G$1</f>
        <v>0</v>
      </c>
      <c r="H58" s="24" cm="1">
        <f t="array" ref="H58">IFERROR(ROWS(_xlfn._xlws.FILTER(
   DRG_Status!$A$2:$A$100000,
   (DRG_Status!$D$2:$D$100000=S_Curve_Data!F58) *
   (DRG_Status!$B$2:$B$100000=S_Curve_Data!$F$1)
)),0)/$G$1</f>
        <v>0</v>
      </c>
      <c r="I58" s="24" cm="1">
        <f t="array" ref="I58">IFERROR(ROWS(_xlfn._xlws.FILTER(
   DRG_Status!$A$2:$A$100000,
   (DRG_Status!$E$2:$E$100000=S_Curve_Data!F58) *
   (DRG_Status!$B$2:$B$100000=S_Curve_Data!$F$1)
)),0)/$G$1</f>
        <v>4.9180327868852458E-2</v>
      </c>
      <c r="J58" s="24" cm="1">
        <f t="array" ref="J58">IFERROR(ROWS(_xlfn._xlws.FILTER(
   DRG_Status!$A$2:$A$100000,
   (DRG_Status!$F$2:$F$100000=S_Curve_Data!F58) *
   (DRG_Status!$B$2:$B$100000=S_Curve_Data!$F$1)
)),0)/$G$1</f>
        <v>0</v>
      </c>
      <c r="M58" s="18">
        <f>Mappings!B57</f>
        <v>46048</v>
      </c>
      <c r="N58" s="24" cm="1">
        <f t="array" ref="N58">IFERROR(ROWS(_xlfn._xlws.FILTER(
   DRG_Status!$A$2:$A$100000,
   (DRG_Status!$C$2:$C$100000=S_Curve_Data!M58) *
   (DRG_Status!$B$2:$B$100000=S_Curve_Data!$M$1)
)),0)/$N$1</f>
        <v>0</v>
      </c>
      <c r="O58" s="24" cm="1">
        <f t="array" ref="O58">IFERROR(ROWS(_xlfn._xlws.FILTER(
   DRG_Status!$A$2:$A$100000,
   (DRG_Status!$D$2:$D$100000=S_Curve_Data!M58) *
   (DRG_Status!$B$2:$B$100000=S_Curve_Data!$M$1)
)),0)/$N$1</f>
        <v>0</v>
      </c>
      <c r="P58" s="24" cm="1">
        <f t="array" ref="P58">IFERROR(ROWS(_xlfn._xlws.FILTER(
   DRG_Status!$A$2:$A$100000,
   (DRG_Status!$E$2:$E$100000=S_Curve_Data!M58) *
   (DRG_Status!$B$2:$B$100000=S_Curve_Data!$M$1)
)),0)/$N$1</f>
        <v>1.6260162601626018E-2</v>
      </c>
      <c r="Q58" s="24" cm="1">
        <f t="array" ref="Q58">IFERROR(ROWS(_xlfn._xlws.FILTER(
   DRG_Status!$A$2:$A$100000,
   (DRG_Status!$F$2:$F$100000=S_Curve_Data!M58) *
   (DRG_Status!$B$2:$B$100000=S_Curve_Data!$M$1)
)),0)/$N$1</f>
        <v>0</v>
      </c>
      <c r="T58" s="18">
        <f>Mappings!B57</f>
        <v>46048</v>
      </c>
      <c r="U58" s="24" cm="1">
        <f t="array" ref="U58">IFERROR(ROWS(_xlfn._xlws.FILTER(
   DRG_Status!$A$2:$A$100000,
   (DRG_Status!$C$2:$C$100000=S_Curve_Data!T58) *
   (DRG_Status!$B$2:$B$100000=S_Curve_Data!$T$1)
)),0)/$U$1</f>
        <v>0</v>
      </c>
      <c r="V58" s="24" cm="1">
        <f t="array" ref="V58">IFERROR(ROWS(_xlfn._xlws.FILTER(
   DRG_Status!$A$2:$A$100000,
   (DRG_Status!$D$2:$D$100000=S_Curve_Data!T58) *
   (DRG_Status!$B$2:$B$100000=S_Curve_Data!$T$1)
)),0)/$U$1</f>
        <v>0</v>
      </c>
      <c r="W58" s="24" cm="1">
        <f t="array" ref="W58">IFERROR(ROWS(_xlfn._xlws.FILTER(
   DRG_Status!$A$2:$A$100000,
   (DRG_Status!$E$2:$E$100000=S_Curve_Data!T58) *
   (DRG_Status!$B$2:$B$100000=S_Curve_Data!$T$1)
)),0)/$U$1</f>
        <v>4.2372881355932203E-3</v>
      </c>
      <c r="X58" s="24" cm="1">
        <f t="array" ref="X58">IFERROR(ROWS(_xlfn._xlws.FILTER(
   DRG_Status!$A$2:$A$100000,
   (DRG_Status!$F$2:$F$100000=S_Curve_Data!T58) *
   (DRG_Status!$B$2:$B$100000=S_Curve_Data!$T$1)
)),0)/$U$1</f>
        <v>0</v>
      </c>
    </row>
    <row r="59" spans="6:24">
      <c r="F59" s="18">
        <f>Mappings!B58</f>
        <v>46055</v>
      </c>
      <c r="G59" s="24" cm="1">
        <f t="array" ref="G59">IFERROR(ROWS(_xlfn._xlws.FILTER(
   DRG_Status!$A$2:$A$100000,
   (DRG_Status!$C$2:$C$100000=S_Curve_Data!F59) *
   (DRG_Status!$B$2:$B$100000=S_Curve_Data!$F$1)
)),0)/$G$1</f>
        <v>6.5573770491803282E-2</v>
      </c>
      <c r="H59" s="24" cm="1">
        <f t="array" ref="H59">IFERROR(ROWS(_xlfn._xlws.FILTER(
   DRG_Status!$A$2:$A$100000,
   (DRG_Status!$D$2:$D$100000=S_Curve_Data!F59) *
   (DRG_Status!$B$2:$B$100000=S_Curve_Data!$F$1)
)),0)/$G$1</f>
        <v>6.5573770491803282E-2</v>
      </c>
      <c r="I59" s="24" cm="1">
        <f t="array" ref="I59">IFERROR(ROWS(_xlfn._xlws.FILTER(
   DRG_Status!$A$2:$A$100000,
   (DRG_Status!$E$2:$E$100000=S_Curve_Data!F59) *
   (DRG_Status!$B$2:$B$100000=S_Curve_Data!$F$1)
)),0)/$G$1</f>
        <v>0</v>
      </c>
      <c r="J59" s="24" cm="1">
        <f t="array" ref="J59">IFERROR(ROWS(_xlfn._xlws.FILTER(
   DRG_Status!$A$2:$A$100000,
   (DRG_Status!$F$2:$F$100000=S_Curve_Data!F59) *
   (DRG_Status!$B$2:$B$100000=S_Curve_Data!$F$1)
)),0)/$G$1</f>
        <v>0</v>
      </c>
      <c r="M59" s="18">
        <f>Mappings!B58</f>
        <v>46055</v>
      </c>
      <c r="N59" s="24" cm="1">
        <f t="array" ref="N59">IFERROR(ROWS(_xlfn._xlws.FILTER(
   DRG_Status!$A$2:$A$100000,
   (DRG_Status!$C$2:$C$100000=S_Curve_Data!M59) *
   (DRG_Status!$B$2:$B$100000=S_Curve_Data!$M$1)
)),0)/$N$1</f>
        <v>0</v>
      </c>
      <c r="O59" s="24" cm="1">
        <f t="array" ref="O59">IFERROR(ROWS(_xlfn._xlws.FILTER(
   DRG_Status!$A$2:$A$100000,
   (DRG_Status!$D$2:$D$100000=S_Curve_Data!M59) *
   (DRG_Status!$B$2:$B$100000=S_Curve_Data!$M$1)
)),0)/$N$1</f>
        <v>0</v>
      </c>
      <c r="P59" s="24" cm="1">
        <f t="array" ref="P59">IFERROR(ROWS(_xlfn._xlws.FILTER(
   DRG_Status!$A$2:$A$100000,
   (DRG_Status!$E$2:$E$100000=S_Curve_Data!M59) *
   (DRG_Status!$B$2:$B$100000=S_Curve_Data!$M$1)
)),0)/$N$1</f>
        <v>0</v>
      </c>
      <c r="Q59" s="24" cm="1">
        <f t="array" ref="Q59">IFERROR(ROWS(_xlfn._xlws.FILTER(
   DRG_Status!$A$2:$A$100000,
   (DRG_Status!$F$2:$F$100000=S_Curve_Data!M59) *
   (DRG_Status!$B$2:$B$100000=S_Curve_Data!$M$1)
)),0)/$N$1</f>
        <v>0</v>
      </c>
      <c r="T59" s="18">
        <f>Mappings!B58</f>
        <v>46055</v>
      </c>
      <c r="U59" s="24" cm="1">
        <f t="array" ref="U59">IFERROR(ROWS(_xlfn._xlws.FILTER(
   DRG_Status!$A$2:$A$100000,
   (DRG_Status!$C$2:$C$100000=S_Curve_Data!T59) *
   (DRG_Status!$B$2:$B$100000=S_Curve_Data!$T$1)
)),0)/$U$1</f>
        <v>0</v>
      </c>
      <c r="V59" s="24" cm="1">
        <f t="array" ref="V59">IFERROR(ROWS(_xlfn._xlws.FILTER(
   DRG_Status!$A$2:$A$100000,
   (DRG_Status!$D$2:$D$100000=S_Curve_Data!T59) *
   (DRG_Status!$B$2:$B$100000=S_Curve_Data!$T$1)
)),0)/$U$1</f>
        <v>8.4745762711864406E-3</v>
      </c>
      <c r="W59" s="24" cm="1">
        <f t="array" ref="W59">IFERROR(ROWS(_xlfn._xlws.FILTER(
   DRG_Status!$A$2:$A$100000,
   (DRG_Status!$E$2:$E$100000=S_Curve_Data!T59) *
   (DRG_Status!$B$2:$B$100000=S_Curve_Data!$T$1)
)),0)/$U$1</f>
        <v>0</v>
      </c>
      <c r="X59" s="24" cm="1">
        <f t="array" ref="X59">IFERROR(ROWS(_xlfn._xlws.FILTER(
   DRG_Status!$A$2:$A$100000,
   (DRG_Status!$F$2:$F$100000=S_Curve_Data!T59) *
   (DRG_Status!$B$2:$B$100000=S_Curve_Data!$T$1)
)),0)/$U$1</f>
        <v>4.2372881355932203E-3</v>
      </c>
    </row>
    <row r="60" spans="6:24">
      <c r="F60" s="18">
        <f>Mappings!B59</f>
        <v>46062</v>
      </c>
      <c r="G60" s="24" cm="1">
        <f t="array" ref="G60">IFERROR(ROWS(_xlfn._xlws.FILTER(
   DRG_Status!$A$2:$A$100000,
   (DRG_Status!$C$2:$C$100000=S_Curve_Data!F60) *
   (DRG_Status!$B$2:$B$100000=S_Curve_Data!$F$1)
)),0)/$G$1</f>
        <v>0</v>
      </c>
      <c r="H60" s="24" cm="1">
        <f t="array" ref="H60">IFERROR(ROWS(_xlfn._xlws.FILTER(
   DRG_Status!$A$2:$A$100000,
   (DRG_Status!$D$2:$D$100000=S_Curve_Data!F60) *
   (DRG_Status!$B$2:$B$100000=S_Curve_Data!$F$1)
)),0)/$G$1</f>
        <v>1.092896174863388E-2</v>
      </c>
      <c r="I60" s="24" cm="1">
        <f t="array" ref="I60">IFERROR(ROWS(_xlfn._xlws.FILTER(
   DRG_Status!$A$2:$A$100000,
   (DRG_Status!$E$2:$E$100000=S_Curve_Data!F60) *
   (DRG_Status!$B$2:$B$100000=S_Curve_Data!$F$1)
)),0)/$G$1</f>
        <v>0</v>
      </c>
      <c r="J60" s="24" cm="1">
        <f t="array" ref="J60">IFERROR(ROWS(_xlfn._xlws.FILTER(
   DRG_Status!$A$2:$A$100000,
   (DRG_Status!$F$2:$F$100000=S_Curve_Data!F60) *
   (DRG_Status!$B$2:$B$100000=S_Curve_Data!$F$1)
)),0)/$G$1</f>
        <v>0</v>
      </c>
      <c r="M60" s="18">
        <f>Mappings!B59</f>
        <v>46062</v>
      </c>
      <c r="N60" s="24" cm="1">
        <f t="array" ref="N60">IFERROR(ROWS(_xlfn._xlws.FILTER(
   DRG_Status!$A$2:$A$100000,
   (DRG_Status!$C$2:$C$100000=S_Curve_Data!M60) *
   (DRG_Status!$B$2:$B$100000=S_Curve_Data!$M$1)
)),0)/$N$1</f>
        <v>0</v>
      </c>
      <c r="O60" s="24" cm="1">
        <f t="array" ref="O60">IFERROR(ROWS(_xlfn._xlws.FILTER(
   DRG_Status!$A$2:$A$100000,
   (DRG_Status!$D$2:$D$100000=S_Curve_Data!M60) *
   (DRG_Status!$B$2:$B$100000=S_Curve_Data!$M$1)
)),0)/$N$1</f>
        <v>0</v>
      </c>
      <c r="P60" s="24" cm="1">
        <f t="array" ref="P60">IFERROR(ROWS(_xlfn._xlws.FILTER(
   DRG_Status!$A$2:$A$100000,
   (DRG_Status!$E$2:$E$100000=S_Curve_Data!M60) *
   (DRG_Status!$B$2:$B$100000=S_Curve_Data!$M$1)
)),0)/$N$1</f>
        <v>0</v>
      </c>
      <c r="Q60" s="24" cm="1">
        <f t="array" ref="Q60">IFERROR(ROWS(_xlfn._xlws.FILTER(
   DRG_Status!$A$2:$A$100000,
   (DRG_Status!$F$2:$F$100000=S_Curve_Data!M60) *
   (DRG_Status!$B$2:$B$100000=S_Curve_Data!$M$1)
)),0)/$N$1</f>
        <v>0</v>
      </c>
      <c r="T60" s="18">
        <f>Mappings!B59</f>
        <v>46062</v>
      </c>
      <c r="U60" s="24" cm="1">
        <f t="array" ref="U60">IFERROR(ROWS(_xlfn._xlws.FILTER(
   DRG_Status!$A$2:$A$100000,
   (DRG_Status!$C$2:$C$100000=S_Curve_Data!T60) *
   (DRG_Status!$B$2:$B$100000=S_Curve_Data!$T$1)
)),0)/$U$1</f>
        <v>0</v>
      </c>
      <c r="V60" s="24" cm="1">
        <f t="array" ref="V60">IFERROR(ROWS(_xlfn._xlws.FILTER(
   DRG_Status!$A$2:$A$100000,
   (DRG_Status!$D$2:$D$100000=S_Curve_Data!T60) *
   (DRG_Status!$B$2:$B$100000=S_Curve_Data!$T$1)
)),0)/$U$1</f>
        <v>0</v>
      </c>
      <c r="W60" s="24" cm="1">
        <f t="array" ref="W60">IFERROR(ROWS(_xlfn._xlws.FILTER(
   DRG_Status!$A$2:$A$100000,
   (DRG_Status!$E$2:$E$100000=S_Curve_Data!T60) *
   (DRG_Status!$B$2:$B$100000=S_Curve_Data!$T$1)
)),0)/$U$1</f>
        <v>0</v>
      </c>
      <c r="X60" s="24" cm="1">
        <f t="array" ref="X60">IFERROR(ROWS(_xlfn._xlws.FILTER(
   DRG_Status!$A$2:$A$100000,
   (DRG_Status!$F$2:$F$100000=S_Curve_Data!T60) *
   (DRG_Status!$B$2:$B$100000=S_Curve_Data!$T$1)
)),0)/$U$1</f>
        <v>0</v>
      </c>
    </row>
    <row r="61" spans="6:24">
      <c r="F61" s="18">
        <f>Mappings!B60</f>
        <v>46069</v>
      </c>
      <c r="G61" s="24" cm="1">
        <f t="array" ref="G61">IFERROR(ROWS(_xlfn._xlws.FILTER(
   DRG_Status!$A$2:$A$100000,
   (DRG_Status!$C$2:$C$100000=S_Curve_Data!F61) *
   (DRG_Status!$B$2:$B$100000=S_Curve_Data!$F$1)
)),0)/$G$1</f>
        <v>0</v>
      </c>
      <c r="H61" s="24" cm="1">
        <f t="array" ref="H61">IFERROR(ROWS(_xlfn._xlws.FILTER(
   DRG_Status!$A$2:$A$100000,
   (DRG_Status!$D$2:$D$100000=S_Curve_Data!F61) *
   (DRG_Status!$B$2:$B$100000=S_Curve_Data!$F$1)
)),0)/$G$1</f>
        <v>0</v>
      </c>
      <c r="I61" s="24" cm="1">
        <f t="array" ref="I61">IFERROR(ROWS(_xlfn._xlws.FILTER(
   DRG_Status!$A$2:$A$100000,
   (DRG_Status!$E$2:$E$100000=S_Curve_Data!F61) *
   (DRG_Status!$B$2:$B$100000=S_Curve_Data!$F$1)
)),0)/$G$1</f>
        <v>0</v>
      </c>
      <c r="J61" s="24" cm="1">
        <f t="array" ref="J61">IFERROR(ROWS(_xlfn._xlws.FILTER(
   DRG_Status!$A$2:$A$100000,
   (DRG_Status!$F$2:$F$100000=S_Curve_Data!F61) *
   (DRG_Status!$B$2:$B$100000=S_Curve_Data!$F$1)
)),0)/$G$1</f>
        <v>8.1967213114754092E-2</v>
      </c>
      <c r="M61" s="18">
        <f>Mappings!B60</f>
        <v>46069</v>
      </c>
      <c r="N61" s="24" cm="1">
        <f t="array" ref="N61">IFERROR(ROWS(_xlfn._xlws.FILTER(
   DRG_Status!$A$2:$A$100000,
   (DRG_Status!$C$2:$C$100000=S_Curve_Data!M61) *
   (DRG_Status!$B$2:$B$100000=S_Curve_Data!$M$1)
)),0)/$N$1</f>
        <v>0</v>
      </c>
      <c r="O61" s="24" cm="1">
        <f t="array" ref="O61">IFERROR(ROWS(_xlfn._xlws.FILTER(
   DRG_Status!$A$2:$A$100000,
   (DRG_Status!$D$2:$D$100000=S_Curve_Data!M61) *
   (DRG_Status!$B$2:$B$100000=S_Curve_Data!$M$1)
)),0)/$N$1</f>
        <v>0</v>
      </c>
      <c r="P61" s="24" cm="1">
        <f t="array" ref="P61">IFERROR(ROWS(_xlfn._xlws.FILTER(
   DRG_Status!$A$2:$A$100000,
   (DRG_Status!$E$2:$E$100000=S_Curve_Data!M61) *
   (DRG_Status!$B$2:$B$100000=S_Curve_Data!$M$1)
)),0)/$N$1</f>
        <v>0</v>
      </c>
      <c r="Q61" s="24" cm="1">
        <f t="array" ref="Q61">IFERROR(ROWS(_xlfn._xlws.FILTER(
   DRG_Status!$A$2:$A$100000,
   (DRG_Status!$F$2:$F$100000=S_Curve_Data!M61) *
   (DRG_Status!$B$2:$B$100000=S_Curve_Data!$M$1)
)),0)/$N$1</f>
        <v>0</v>
      </c>
      <c r="T61" s="18">
        <f>Mappings!B60</f>
        <v>46069</v>
      </c>
      <c r="U61" s="24" cm="1">
        <f t="array" ref="U61">IFERROR(ROWS(_xlfn._xlws.FILTER(
   DRG_Status!$A$2:$A$100000,
   (DRG_Status!$C$2:$C$100000=S_Curve_Data!T61) *
   (DRG_Status!$B$2:$B$100000=S_Curve_Data!$T$1)
)),0)/$U$1</f>
        <v>0</v>
      </c>
      <c r="V61" s="24" cm="1">
        <f t="array" ref="V61">IFERROR(ROWS(_xlfn._xlws.FILTER(
   DRG_Status!$A$2:$A$100000,
   (DRG_Status!$D$2:$D$100000=S_Curve_Data!T61) *
   (DRG_Status!$B$2:$B$100000=S_Curve_Data!$T$1)
)),0)/$U$1</f>
        <v>0</v>
      </c>
      <c r="W61" s="24" cm="1">
        <f t="array" ref="W61">IFERROR(ROWS(_xlfn._xlws.FILTER(
   DRG_Status!$A$2:$A$100000,
   (DRG_Status!$E$2:$E$100000=S_Curve_Data!T61) *
   (DRG_Status!$B$2:$B$100000=S_Curve_Data!$T$1)
)),0)/$U$1</f>
        <v>0</v>
      </c>
      <c r="X61" s="24" cm="1">
        <f t="array" ref="X61">IFERROR(ROWS(_xlfn._xlws.FILTER(
   DRG_Status!$A$2:$A$100000,
   (DRG_Status!$F$2:$F$100000=S_Curve_Data!T61) *
   (DRG_Status!$B$2:$B$100000=S_Curve_Data!$T$1)
)),0)/$U$1</f>
        <v>0.10169491525423729</v>
      </c>
    </row>
    <row r="62" spans="6:24">
      <c r="F62" s="18">
        <f>Mappings!B61</f>
        <v>46076</v>
      </c>
      <c r="G62" s="24" cm="1">
        <f t="array" ref="G62">IFERROR(ROWS(_xlfn._xlws.FILTER(
   DRG_Status!$A$2:$A$100000,
   (DRG_Status!$C$2:$C$100000=S_Curve_Data!F62) *
   (DRG_Status!$B$2:$B$100000=S_Curve_Data!$F$1)
)),0)/$G$1</f>
        <v>6.5573770491803282E-2</v>
      </c>
      <c r="H62" s="24" cm="1">
        <f t="array" ref="H62">IFERROR(ROWS(_xlfn._xlws.FILTER(
   DRG_Status!$A$2:$A$100000,
   (DRG_Status!$D$2:$D$100000=S_Curve_Data!F62) *
   (DRG_Status!$B$2:$B$100000=S_Curve_Data!$F$1)
)),0)/$G$1</f>
        <v>0</v>
      </c>
      <c r="I62" s="24" cm="1">
        <f t="array" ref="I62">IFERROR(ROWS(_xlfn._xlws.FILTER(
   DRG_Status!$A$2:$A$100000,
   (DRG_Status!$E$2:$E$100000=S_Curve_Data!F62) *
   (DRG_Status!$B$2:$B$100000=S_Curve_Data!$F$1)
)),0)/$G$1</f>
        <v>0</v>
      </c>
      <c r="J62" s="24" cm="1">
        <f t="array" ref="J62">IFERROR(ROWS(_xlfn._xlws.FILTER(
   DRG_Status!$A$2:$A$100000,
   (DRG_Status!$F$2:$F$100000=S_Curve_Data!F62) *
   (DRG_Status!$B$2:$B$100000=S_Curve_Data!$F$1)
)),0)/$G$1</f>
        <v>0</v>
      </c>
      <c r="M62" s="18">
        <f>Mappings!B61</f>
        <v>46076</v>
      </c>
      <c r="N62" s="24" cm="1">
        <f t="array" ref="N62">IFERROR(ROWS(_xlfn._xlws.FILTER(
   DRG_Status!$A$2:$A$100000,
   (DRG_Status!$C$2:$C$100000=S_Curve_Data!M62) *
   (DRG_Status!$B$2:$B$100000=S_Curve_Data!$M$1)
)),0)/$N$1</f>
        <v>0</v>
      </c>
      <c r="O62" s="24" cm="1">
        <f t="array" ref="O62">IFERROR(ROWS(_xlfn._xlws.FILTER(
   DRG_Status!$A$2:$A$100000,
   (DRG_Status!$D$2:$D$100000=S_Curve_Data!M62) *
   (DRG_Status!$B$2:$B$100000=S_Curve_Data!$M$1)
)),0)/$N$1</f>
        <v>0</v>
      </c>
      <c r="P62" s="24" cm="1">
        <f t="array" ref="P62">IFERROR(ROWS(_xlfn._xlws.FILTER(
   DRG_Status!$A$2:$A$100000,
   (DRG_Status!$E$2:$E$100000=S_Curve_Data!M62) *
   (DRG_Status!$B$2:$B$100000=S_Curve_Data!$M$1)
)),0)/$N$1</f>
        <v>0</v>
      </c>
      <c r="Q62" s="24" cm="1">
        <f t="array" ref="Q62">IFERROR(ROWS(_xlfn._xlws.FILTER(
   DRG_Status!$A$2:$A$100000,
   (DRG_Status!$F$2:$F$100000=S_Curve_Data!M62) *
   (DRG_Status!$B$2:$B$100000=S_Curve_Data!$M$1)
)),0)/$N$1</f>
        <v>0</v>
      </c>
      <c r="T62" s="18">
        <f>Mappings!B61</f>
        <v>46076</v>
      </c>
      <c r="U62" s="24" cm="1">
        <f t="array" ref="U62">IFERROR(ROWS(_xlfn._xlws.FILTER(
   DRG_Status!$A$2:$A$100000,
   (DRG_Status!$C$2:$C$100000=S_Curve_Data!T62) *
   (DRG_Status!$B$2:$B$100000=S_Curve_Data!$T$1)
)),0)/$U$1</f>
        <v>0</v>
      </c>
      <c r="V62" s="24" cm="1">
        <f t="array" ref="V62">IFERROR(ROWS(_xlfn._xlws.FILTER(
   DRG_Status!$A$2:$A$100000,
   (DRG_Status!$D$2:$D$100000=S_Curve_Data!T62) *
   (DRG_Status!$B$2:$B$100000=S_Curve_Data!$T$1)
)),0)/$U$1</f>
        <v>0</v>
      </c>
      <c r="W62" s="24" cm="1">
        <f t="array" ref="W62">IFERROR(ROWS(_xlfn._xlws.FILTER(
   DRG_Status!$A$2:$A$100000,
   (DRG_Status!$E$2:$E$100000=S_Curve_Data!T62) *
   (DRG_Status!$B$2:$B$100000=S_Curve_Data!$T$1)
)),0)/$U$1</f>
        <v>0</v>
      </c>
      <c r="X62" s="24" cm="1">
        <f t="array" ref="X62">IFERROR(ROWS(_xlfn._xlws.FILTER(
   DRG_Status!$A$2:$A$100000,
   (DRG_Status!$F$2:$F$100000=S_Curve_Data!T62) *
   (DRG_Status!$B$2:$B$100000=S_Curve_Data!$T$1)
)),0)/$U$1</f>
        <v>2.1186440677966101E-2</v>
      </c>
    </row>
    <row r="63" spans="6:24">
      <c r="F63" s="18">
        <f>Mappings!B62</f>
        <v>46083</v>
      </c>
      <c r="G63" s="24" cm="1">
        <f t="array" ref="G63">IFERROR(ROWS(_xlfn._xlws.FILTER(
   DRG_Status!$A$2:$A$100000,
   (DRG_Status!$C$2:$C$100000=S_Curve_Data!F63) *
   (DRG_Status!$B$2:$B$100000=S_Curve_Data!$F$1)
)),0)/$G$1</f>
        <v>0</v>
      </c>
      <c r="H63" s="24" cm="1">
        <f t="array" ref="H63">IFERROR(ROWS(_xlfn._xlws.FILTER(
   DRG_Status!$A$2:$A$100000,
   (DRG_Status!$D$2:$D$100000=S_Curve_Data!F63) *
   (DRG_Status!$B$2:$B$100000=S_Curve_Data!$F$1)
)),0)/$G$1</f>
        <v>0</v>
      </c>
      <c r="I63" s="24" cm="1">
        <f t="array" ref="I63">IFERROR(ROWS(_xlfn._xlws.FILTER(
   DRG_Status!$A$2:$A$100000,
   (DRG_Status!$E$2:$E$100000=S_Curve_Data!F63) *
   (DRG_Status!$B$2:$B$100000=S_Curve_Data!$F$1)
)),0)/$G$1</f>
        <v>6.5573770491803282E-2</v>
      </c>
      <c r="J63" s="24" cm="1">
        <f t="array" ref="J63">IFERROR(ROWS(_xlfn._xlws.FILTER(
   DRG_Status!$A$2:$A$100000,
   (DRG_Status!$F$2:$F$100000=S_Curve_Data!F63) *
   (DRG_Status!$B$2:$B$100000=S_Curve_Data!$F$1)
)),0)/$G$1</f>
        <v>0</v>
      </c>
      <c r="M63" s="18">
        <f>Mappings!B62</f>
        <v>46083</v>
      </c>
      <c r="N63" s="24" cm="1">
        <f t="array" ref="N63">IFERROR(ROWS(_xlfn._xlws.FILTER(
   DRG_Status!$A$2:$A$100000,
   (DRG_Status!$C$2:$C$100000=S_Curve_Data!M63) *
   (DRG_Status!$B$2:$B$100000=S_Curve_Data!$M$1)
)),0)/$N$1</f>
        <v>0</v>
      </c>
      <c r="O63" s="24" cm="1">
        <f t="array" ref="O63">IFERROR(ROWS(_xlfn._xlws.FILTER(
   DRG_Status!$A$2:$A$100000,
   (DRG_Status!$D$2:$D$100000=S_Curve_Data!M63) *
   (DRG_Status!$B$2:$B$100000=S_Curve_Data!$M$1)
)),0)/$N$1</f>
        <v>2.4390243902439025E-2</v>
      </c>
      <c r="P63" s="24" cm="1">
        <f t="array" ref="P63">IFERROR(ROWS(_xlfn._xlws.FILTER(
   DRG_Status!$A$2:$A$100000,
   (DRG_Status!$E$2:$E$100000=S_Curve_Data!M63) *
   (DRG_Status!$B$2:$B$100000=S_Curve_Data!$M$1)
)),0)/$N$1</f>
        <v>0</v>
      </c>
      <c r="Q63" s="24" cm="1">
        <f t="array" ref="Q63">IFERROR(ROWS(_xlfn._xlws.FILTER(
   DRG_Status!$A$2:$A$100000,
   (DRG_Status!$F$2:$F$100000=S_Curve_Data!M63) *
   (DRG_Status!$B$2:$B$100000=S_Curve_Data!$M$1)
)),0)/$N$1</f>
        <v>0</v>
      </c>
      <c r="T63" s="18">
        <f>Mappings!B62</f>
        <v>46083</v>
      </c>
      <c r="U63" s="24" cm="1">
        <f t="array" ref="U63">IFERROR(ROWS(_xlfn._xlws.FILTER(
   DRG_Status!$A$2:$A$100000,
   (DRG_Status!$C$2:$C$100000=S_Curve_Data!T63) *
   (DRG_Status!$B$2:$B$100000=S_Curve_Data!$T$1)
)),0)/$U$1</f>
        <v>0</v>
      </c>
      <c r="V63" s="24" cm="1">
        <f t="array" ref="V63">IFERROR(ROWS(_xlfn._xlws.FILTER(
   DRG_Status!$A$2:$A$100000,
   (DRG_Status!$D$2:$D$100000=S_Curve_Data!T63) *
   (DRG_Status!$B$2:$B$100000=S_Curve_Data!$T$1)
)),0)/$U$1</f>
        <v>8.4745762711864406E-3</v>
      </c>
      <c r="W63" s="24" cm="1">
        <f t="array" ref="W63">IFERROR(ROWS(_xlfn._xlws.FILTER(
   DRG_Status!$A$2:$A$100000,
   (DRG_Status!$E$2:$E$100000=S_Curve_Data!T63) *
   (DRG_Status!$B$2:$B$100000=S_Curve_Data!$T$1)
)),0)/$U$1</f>
        <v>0</v>
      </c>
      <c r="X63" s="24" cm="1">
        <f t="array" ref="X63">IFERROR(ROWS(_xlfn._xlws.FILTER(
   DRG_Status!$A$2:$A$100000,
   (DRG_Status!$F$2:$F$100000=S_Curve_Data!T63) *
   (DRG_Status!$B$2:$B$100000=S_Curve_Data!$T$1)
)),0)/$U$1</f>
        <v>1.2711864406779662E-2</v>
      </c>
    </row>
    <row r="64" spans="6:24">
      <c r="F64" s="18">
        <f>Mappings!B63</f>
        <v>46090</v>
      </c>
      <c r="G64" s="24" cm="1">
        <f t="array" ref="G64">IFERROR(ROWS(_xlfn._xlws.FILTER(
   DRG_Status!$A$2:$A$100000,
   (DRG_Status!$C$2:$C$100000=S_Curve_Data!F64) *
   (DRG_Status!$B$2:$B$100000=S_Curve_Data!$F$1)
)),0)/$G$1</f>
        <v>0</v>
      </c>
      <c r="H64" s="24" cm="1">
        <f t="array" ref="H64">IFERROR(ROWS(_xlfn._xlws.FILTER(
   DRG_Status!$A$2:$A$100000,
   (DRG_Status!$D$2:$D$100000=S_Curve_Data!F64) *
   (DRG_Status!$B$2:$B$100000=S_Curve_Data!$F$1)
)),0)/$G$1</f>
        <v>5.4644808743169399E-3</v>
      </c>
      <c r="I64" s="24" cm="1">
        <f t="array" ref="I64">IFERROR(ROWS(_xlfn._xlws.FILTER(
   DRG_Status!$A$2:$A$100000,
   (DRG_Status!$E$2:$E$100000=S_Curve_Data!F64) *
   (DRG_Status!$B$2:$B$100000=S_Curve_Data!$F$1)
)),0)/$G$1</f>
        <v>0</v>
      </c>
      <c r="J64" s="24" cm="1">
        <f t="array" ref="J64">IFERROR(ROWS(_xlfn._xlws.FILTER(
   DRG_Status!$A$2:$A$100000,
   (DRG_Status!$F$2:$F$100000=S_Curve_Data!F64) *
   (DRG_Status!$B$2:$B$100000=S_Curve_Data!$F$1)
)),0)/$G$1</f>
        <v>0</v>
      </c>
      <c r="M64" s="18">
        <f>Mappings!B63</f>
        <v>46090</v>
      </c>
      <c r="N64" s="24" cm="1">
        <f t="array" ref="N64">IFERROR(ROWS(_xlfn._xlws.FILTER(
   DRG_Status!$A$2:$A$100000,
   (DRG_Status!$C$2:$C$100000=S_Curve_Data!M64) *
   (DRG_Status!$B$2:$B$100000=S_Curve_Data!$M$1)
)),0)/$N$1</f>
        <v>0</v>
      </c>
      <c r="O64" s="24" cm="1">
        <f t="array" ref="O64">IFERROR(ROWS(_xlfn._xlws.FILTER(
   DRG_Status!$A$2:$A$100000,
   (DRG_Status!$D$2:$D$100000=S_Curve_Data!M64) *
   (DRG_Status!$B$2:$B$100000=S_Curve_Data!$M$1)
)),0)/$N$1</f>
        <v>2.4390243902439025E-2</v>
      </c>
      <c r="P64" s="24" cm="1">
        <f t="array" ref="P64">IFERROR(ROWS(_xlfn._xlws.FILTER(
   DRG_Status!$A$2:$A$100000,
   (DRG_Status!$E$2:$E$100000=S_Curve_Data!M64) *
   (DRG_Status!$B$2:$B$100000=S_Curve_Data!$M$1)
)),0)/$N$1</f>
        <v>0</v>
      </c>
      <c r="Q64" s="24" cm="1">
        <f t="array" ref="Q64">IFERROR(ROWS(_xlfn._xlws.FILTER(
   DRG_Status!$A$2:$A$100000,
   (DRG_Status!$F$2:$F$100000=S_Curve_Data!M64) *
   (DRG_Status!$B$2:$B$100000=S_Curve_Data!$M$1)
)),0)/$N$1</f>
        <v>0</v>
      </c>
      <c r="T64" s="18">
        <f>Mappings!B63</f>
        <v>46090</v>
      </c>
      <c r="U64" s="24" cm="1">
        <f t="array" ref="U64">IFERROR(ROWS(_xlfn._xlws.FILTER(
   DRG_Status!$A$2:$A$100000,
   (DRG_Status!$C$2:$C$100000=S_Curve_Data!T64) *
   (DRG_Status!$B$2:$B$100000=S_Curve_Data!$T$1)
)),0)/$U$1</f>
        <v>0</v>
      </c>
      <c r="V64" s="24" cm="1">
        <f t="array" ref="V64">IFERROR(ROWS(_xlfn._xlws.FILTER(
   DRG_Status!$A$2:$A$100000,
   (DRG_Status!$D$2:$D$100000=S_Curve_Data!T64) *
   (DRG_Status!$B$2:$B$100000=S_Curve_Data!$T$1)
)),0)/$U$1</f>
        <v>0</v>
      </c>
      <c r="W64" s="24" cm="1">
        <f t="array" ref="W64">IFERROR(ROWS(_xlfn._xlws.FILTER(
   DRG_Status!$A$2:$A$100000,
   (DRG_Status!$E$2:$E$100000=S_Curve_Data!T64) *
   (DRG_Status!$B$2:$B$100000=S_Curve_Data!$T$1)
)),0)/$U$1</f>
        <v>0</v>
      </c>
      <c r="X64" s="24" cm="1">
        <f t="array" ref="X64">IFERROR(ROWS(_xlfn._xlws.FILTER(
   DRG_Status!$A$2:$A$100000,
   (DRG_Status!$F$2:$F$100000=S_Curve_Data!T64) *
   (DRG_Status!$B$2:$B$100000=S_Curve_Data!$T$1)
)),0)/$U$1</f>
        <v>0</v>
      </c>
    </row>
    <row r="65" spans="6:24">
      <c r="F65" s="18">
        <f>Mappings!B64</f>
        <v>46097</v>
      </c>
      <c r="G65" s="24" cm="1">
        <f t="array" ref="G65">IFERROR(ROWS(_xlfn._xlws.FILTER(
   DRG_Status!$A$2:$A$100000,
   (DRG_Status!$C$2:$C$100000=S_Curve_Data!F65) *
   (DRG_Status!$B$2:$B$100000=S_Curve_Data!$F$1)
)),0)/$G$1</f>
        <v>0</v>
      </c>
      <c r="H65" s="24" cm="1">
        <f t="array" ref="H65">IFERROR(ROWS(_xlfn._xlws.FILTER(
   DRG_Status!$A$2:$A$100000,
   (DRG_Status!$D$2:$D$100000=S_Curve_Data!F65) *
   (DRG_Status!$B$2:$B$100000=S_Curve_Data!$F$1)
)),0)/$G$1</f>
        <v>0</v>
      </c>
      <c r="I65" s="24" cm="1">
        <f t="array" ref="I65">IFERROR(ROWS(_xlfn._xlws.FILTER(
   DRG_Status!$A$2:$A$100000,
   (DRG_Status!$E$2:$E$100000=S_Curve_Data!F65) *
   (DRG_Status!$B$2:$B$100000=S_Curve_Data!$F$1)
)),0)/$G$1</f>
        <v>0</v>
      </c>
      <c r="J65" s="24" cm="1">
        <f t="array" ref="J65">IFERROR(ROWS(_xlfn._xlws.FILTER(
   DRG_Status!$A$2:$A$100000,
   (DRG_Status!$F$2:$F$100000=S_Curve_Data!F65) *
   (DRG_Status!$B$2:$B$100000=S_Curve_Data!$F$1)
)),0)/$G$1</f>
        <v>0</v>
      </c>
      <c r="M65" s="18">
        <f>Mappings!B64</f>
        <v>46097</v>
      </c>
      <c r="N65" s="24" cm="1">
        <f t="array" ref="N65">IFERROR(ROWS(_xlfn._xlws.FILTER(
   DRG_Status!$A$2:$A$100000,
   (DRG_Status!$C$2:$C$100000=S_Curve_Data!M65) *
   (DRG_Status!$B$2:$B$100000=S_Curve_Data!$M$1)
)),0)/$N$1</f>
        <v>0</v>
      </c>
      <c r="O65" s="24" cm="1">
        <f t="array" ref="O65">IFERROR(ROWS(_xlfn._xlws.FILTER(
   DRG_Status!$A$2:$A$100000,
   (DRG_Status!$D$2:$D$100000=S_Curve_Data!M65) *
   (DRG_Status!$B$2:$B$100000=S_Curve_Data!$M$1)
)),0)/$N$1</f>
        <v>0</v>
      </c>
      <c r="P65" s="24" cm="1">
        <f t="array" ref="P65">IFERROR(ROWS(_xlfn._xlws.FILTER(
   DRG_Status!$A$2:$A$100000,
   (DRG_Status!$E$2:$E$100000=S_Curve_Data!M65) *
   (DRG_Status!$B$2:$B$100000=S_Curve_Data!$M$1)
)),0)/$N$1</f>
        <v>0</v>
      </c>
      <c r="Q65" s="24" cm="1">
        <f t="array" ref="Q65">IFERROR(ROWS(_xlfn._xlws.FILTER(
   DRG_Status!$A$2:$A$100000,
   (DRG_Status!$F$2:$F$100000=S_Curve_Data!M65) *
   (DRG_Status!$B$2:$B$100000=S_Curve_Data!$M$1)
)),0)/$N$1</f>
        <v>0</v>
      </c>
      <c r="T65" s="18">
        <f>Mappings!B64</f>
        <v>46097</v>
      </c>
      <c r="U65" s="24" cm="1">
        <f t="array" ref="U65">IFERROR(ROWS(_xlfn._xlws.FILTER(
   DRG_Status!$A$2:$A$100000,
   (DRG_Status!$C$2:$C$100000=S_Curve_Data!T65) *
   (DRG_Status!$B$2:$B$100000=S_Curve_Data!$T$1)
)),0)/$U$1</f>
        <v>0</v>
      </c>
      <c r="V65" s="24" cm="1">
        <f t="array" ref="V65">IFERROR(ROWS(_xlfn._xlws.FILTER(
   DRG_Status!$A$2:$A$100000,
   (DRG_Status!$D$2:$D$100000=S_Curve_Data!T65) *
   (DRG_Status!$B$2:$B$100000=S_Curve_Data!$T$1)
)),0)/$U$1</f>
        <v>0</v>
      </c>
      <c r="W65" s="24" cm="1">
        <f t="array" ref="W65">IFERROR(ROWS(_xlfn._xlws.FILTER(
   DRG_Status!$A$2:$A$100000,
   (DRG_Status!$E$2:$E$100000=S_Curve_Data!T65) *
   (DRG_Status!$B$2:$B$100000=S_Curve_Data!$T$1)
)),0)/$U$1</f>
        <v>0</v>
      </c>
      <c r="X65" s="24" cm="1">
        <f t="array" ref="X65">IFERROR(ROWS(_xlfn._xlws.FILTER(
   DRG_Status!$A$2:$A$100000,
   (DRG_Status!$F$2:$F$100000=S_Curve_Data!T65) *
   (DRG_Status!$B$2:$B$100000=S_Curve_Data!$T$1)
)),0)/$U$1</f>
        <v>0</v>
      </c>
    </row>
    <row r="66" spans="6:24">
      <c r="F66" s="18">
        <f>Mappings!B65</f>
        <v>46104</v>
      </c>
      <c r="G66" s="24" cm="1">
        <f t="array" ref="G66">IFERROR(ROWS(_xlfn._xlws.FILTER(
   DRG_Status!$A$2:$A$100000,
   (DRG_Status!$C$2:$C$100000=S_Curve_Data!F66) *
   (DRG_Status!$B$2:$B$100000=S_Curve_Data!$F$1)
)),0)/$G$1</f>
        <v>0</v>
      </c>
      <c r="H66" s="24" cm="1">
        <f t="array" ref="H66">IFERROR(ROWS(_xlfn._xlws.FILTER(
   DRG_Status!$A$2:$A$100000,
   (DRG_Status!$D$2:$D$100000=S_Curve_Data!F66) *
   (DRG_Status!$B$2:$B$100000=S_Curve_Data!$F$1)
)),0)/$G$1</f>
        <v>5.4644808743169399E-3</v>
      </c>
      <c r="I66" s="24" cm="1">
        <f t="array" ref="I66">IFERROR(ROWS(_xlfn._xlws.FILTER(
   DRG_Status!$A$2:$A$100000,
   (DRG_Status!$E$2:$E$100000=S_Curve_Data!F66) *
   (DRG_Status!$B$2:$B$100000=S_Curve_Data!$F$1)
)),0)/$G$1</f>
        <v>6.5573770491803282E-2</v>
      </c>
      <c r="J66" s="24" cm="1">
        <f t="array" ref="J66">IFERROR(ROWS(_xlfn._xlws.FILTER(
   DRG_Status!$A$2:$A$100000,
   (DRG_Status!$F$2:$F$100000=S_Curve_Data!F66) *
   (DRG_Status!$B$2:$B$100000=S_Curve_Data!$F$1)
)),0)/$G$1</f>
        <v>0</v>
      </c>
      <c r="M66" s="18">
        <f>Mappings!B65</f>
        <v>46104</v>
      </c>
      <c r="N66" s="24" cm="1">
        <f t="array" ref="N66">IFERROR(ROWS(_xlfn._xlws.FILTER(
   DRG_Status!$A$2:$A$100000,
   (DRG_Status!$C$2:$C$100000=S_Curve_Data!M66) *
   (DRG_Status!$B$2:$B$100000=S_Curve_Data!$M$1)
)),0)/$N$1</f>
        <v>0</v>
      </c>
      <c r="O66" s="24" cm="1">
        <f t="array" ref="O66">IFERROR(ROWS(_xlfn._xlws.FILTER(
   DRG_Status!$A$2:$A$100000,
   (DRG_Status!$D$2:$D$100000=S_Curve_Data!M66) *
   (DRG_Status!$B$2:$B$100000=S_Curve_Data!$M$1)
)),0)/$N$1</f>
        <v>0</v>
      </c>
      <c r="P66" s="24" cm="1">
        <f t="array" ref="P66">IFERROR(ROWS(_xlfn._xlws.FILTER(
   DRG_Status!$A$2:$A$100000,
   (DRG_Status!$E$2:$E$100000=S_Curve_Data!M66) *
   (DRG_Status!$B$2:$B$100000=S_Curve_Data!$M$1)
)),0)/$N$1</f>
        <v>0</v>
      </c>
      <c r="Q66" s="24" cm="1">
        <f t="array" ref="Q66">IFERROR(ROWS(_xlfn._xlws.FILTER(
   DRG_Status!$A$2:$A$100000,
   (DRG_Status!$F$2:$F$100000=S_Curve_Data!M66) *
   (DRG_Status!$B$2:$B$100000=S_Curve_Data!$M$1)
)),0)/$N$1</f>
        <v>0</v>
      </c>
      <c r="T66" s="18">
        <f>Mappings!B65</f>
        <v>46104</v>
      </c>
      <c r="U66" s="24" cm="1">
        <f t="array" ref="U66">IFERROR(ROWS(_xlfn._xlws.FILTER(
   DRG_Status!$A$2:$A$100000,
   (DRG_Status!$C$2:$C$100000=S_Curve_Data!T66) *
   (DRG_Status!$B$2:$B$100000=S_Curve_Data!$T$1)
)),0)/$U$1</f>
        <v>0</v>
      </c>
      <c r="V66" s="24" cm="1">
        <f t="array" ref="V66">IFERROR(ROWS(_xlfn._xlws.FILTER(
   DRG_Status!$A$2:$A$100000,
   (DRG_Status!$D$2:$D$100000=S_Curve_Data!T66) *
   (DRG_Status!$B$2:$B$100000=S_Curve_Data!$T$1)
)),0)/$U$1</f>
        <v>8.4745762711864406E-3</v>
      </c>
      <c r="W66" s="24" cm="1">
        <f t="array" ref="W66">IFERROR(ROWS(_xlfn._xlws.FILTER(
   DRG_Status!$A$2:$A$100000,
   (DRG_Status!$E$2:$E$100000=S_Curve_Data!T66) *
   (DRG_Status!$B$2:$B$100000=S_Curve_Data!$T$1)
)),0)/$U$1</f>
        <v>0</v>
      </c>
      <c r="X66" s="24" cm="1">
        <f t="array" ref="X66">IFERROR(ROWS(_xlfn._xlws.FILTER(
   DRG_Status!$A$2:$A$100000,
   (DRG_Status!$F$2:$F$100000=S_Curve_Data!T66) *
   (DRG_Status!$B$2:$B$100000=S_Curve_Data!$T$1)
)),0)/$U$1</f>
        <v>0</v>
      </c>
    </row>
    <row r="67" spans="6:24">
      <c r="F67" s="18">
        <f>Mappings!B66</f>
        <v>46111</v>
      </c>
      <c r="G67" s="24" cm="1">
        <f t="array" ref="G67">IFERROR(ROWS(_xlfn._xlws.FILTER(
   DRG_Status!$A$2:$A$100000,
   (DRG_Status!$C$2:$C$100000=S_Curve_Data!F67) *
   (DRG_Status!$B$2:$B$100000=S_Curve_Data!$F$1)
)),0)/$G$1</f>
        <v>0</v>
      </c>
      <c r="H67" s="24" cm="1">
        <f t="array" ref="H67">IFERROR(ROWS(_xlfn._xlws.FILTER(
   DRG_Status!$A$2:$A$100000,
   (DRG_Status!$D$2:$D$100000=S_Curve_Data!F67) *
   (DRG_Status!$B$2:$B$100000=S_Curve_Data!$F$1)
)),0)/$G$1</f>
        <v>5.4644808743169399E-3</v>
      </c>
      <c r="I67" s="24" cm="1">
        <f t="array" ref="I67">IFERROR(ROWS(_xlfn._xlws.FILTER(
   DRG_Status!$A$2:$A$100000,
   (DRG_Status!$E$2:$E$100000=S_Curve_Data!F67) *
   (DRG_Status!$B$2:$B$100000=S_Curve_Data!$F$1)
)),0)/$G$1</f>
        <v>0</v>
      </c>
      <c r="J67" s="24" cm="1">
        <f t="array" ref="J67">IFERROR(ROWS(_xlfn._xlws.FILTER(
   DRG_Status!$A$2:$A$100000,
   (DRG_Status!$F$2:$F$100000=S_Curve_Data!F67) *
   (DRG_Status!$B$2:$B$100000=S_Curve_Data!$F$1)
)),0)/$G$1</f>
        <v>0</v>
      </c>
      <c r="M67" s="18">
        <f>Mappings!B66</f>
        <v>46111</v>
      </c>
      <c r="N67" s="24" cm="1">
        <f t="array" ref="N67">IFERROR(ROWS(_xlfn._xlws.FILTER(
   DRG_Status!$A$2:$A$100000,
   (DRG_Status!$C$2:$C$100000=S_Curve_Data!M67) *
   (DRG_Status!$B$2:$B$100000=S_Curve_Data!$M$1)
)),0)/$N$1</f>
        <v>0</v>
      </c>
      <c r="O67" s="24" cm="1">
        <f t="array" ref="O67">IFERROR(ROWS(_xlfn._xlws.FILTER(
   DRG_Status!$A$2:$A$100000,
   (DRG_Status!$D$2:$D$100000=S_Curve_Data!M67) *
   (DRG_Status!$B$2:$B$100000=S_Curve_Data!$M$1)
)),0)/$N$1</f>
        <v>0</v>
      </c>
      <c r="P67" s="24" cm="1">
        <f t="array" ref="P67">IFERROR(ROWS(_xlfn._xlws.FILTER(
   DRG_Status!$A$2:$A$100000,
   (DRG_Status!$E$2:$E$100000=S_Curve_Data!M67) *
   (DRG_Status!$B$2:$B$100000=S_Curve_Data!$M$1)
)),0)/$N$1</f>
        <v>0</v>
      </c>
      <c r="Q67" s="24" cm="1">
        <f t="array" ref="Q67">IFERROR(ROWS(_xlfn._xlws.FILTER(
   DRG_Status!$A$2:$A$100000,
   (DRG_Status!$F$2:$F$100000=S_Curve_Data!M67) *
   (DRG_Status!$B$2:$B$100000=S_Curve_Data!$M$1)
)),0)/$N$1</f>
        <v>0</v>
      </c>
      <c r="T67" s="18">
        <f>Mappings!B66</f>
        <v>46111</v>
      </c>
      <c r="U67" s="24" cm="1">
        <f t="array" ref="U67">IFERROR(ROWS(_xlfn._xlws.FILTER(
   DRG_Status!$A$2:$A$100000,
   (DRG_Status!$C$2:$C$100000=S_Curve_Data!T67) *
   (DRG_Status!$B$2:$B$100000=S_Curve_Data!$T$1)
)),0)/$U$1</f>
        <v>0</v>
      </c>
      <c r="V67" s="24" cm="1">
        <f t="array" ref="V67">IFERROR(ROWS(_xlfn._xlws.FILTER(
   DRG_Status!$A$2:$A$100000,
   (DRG_Status!$D$2:$D$100000=S_Curve_Data!T67) *
   (DRG_Status!$B$2:$B$100000=S_Curve_Data!$T$1)
)),0)/$U$1</f>
        <v>0</v>
      </c>
      <c r="W67" s="24" cm="1">
        <f t="array" ref="W67">IFERROR(ROWS(_xlfn._xlws.FILTER(
   DRG_Status!$A$2:$A$100000,
   (DRG_Status!$E$2:$E$100000=S_Curve_Data!T67) *
   (DRG_Status!$B$2:$B$100000=S_Curve_Data!$T$1)
)),0)/$U$1</f>
        <v>0</v>
      </c>
      <c r="X67" s="24" cm="1">
        <f t="array" ref="X67">IFERROR(ROWS(_xlfn._xlws.FILTER(
   DRG_Status!$A$2:$A$100000,
   (DRG_Status!$F$2:$F$100000=S_Curve_Data!T67) *
   (DRG_Status!$B$2:$B$100000=S_Curve_Data!$T$1)
)),0)/$U$1</f>
        <v>0</v>
      </c>
    </row>
    <row r="68" spans="6:24">
      <c r="F68" s="18">
        <f>Mappings!B67</f>
        <v>46118</v>
      </c>
      <c r="G68" s="24" cm="1">
        <f t="array" ref="G68">IFERROR(ROWS(_xlfn._xlws.FILTER(
   DRG_Status!$A$2:$A$100000,
   (DRG_Status!$C$2:$C$100000=S_Curve_Data!F68) *
   (DRG_Status!$B$2:$B$100000=S_Curve_Data!$F$1)
)),0)/$G$1</f>
        <v>0</v>
      </c>
      <c r="H68" s="24" cm="1">
        <f t="array" ref="H68">IFERROR(ROWS(_xlfn._xlws.FILTER(
   DRG_Status!$A$2:$A$100000,
   (DRG_Status!$D$2:$D$100000=S_Curve_Data!F68) *
   (DRG_Status!$B$2:$B$100000=S_Curve_Data!$F$1)
)),0)/$G$1</f>
        <v>5.4644808743169399E-3</v>
      </c>
      <c r="I68" s="24" cm="1">
        <f t="array" ref="I68">IFERROR(ROWS(_xlfn._xlws.FILTER(
   DRG_Status!$A$2:$A$100000,
   (DRG_Status!$E$2:$E$100000=S_Curve_Data!F68) *
   (DRG_Status!$B$2:$B$100000=S_Curve_Data!$F$1)
)),0)/$G$1</f>
        <v>0</v>
      </c>
      <c r="J68" s="24" cm="1">
        <f t="array" ref="J68">IFERROR(ROWS(_xlfn._xlws.FILTER(
   DRG_Status!$A$2:$A$100000,
   (DRG_Status!$F$2:$F$100000=S_Curve_Data!F68) *
   (DRG_Status!$B$2:$B$100000=S_Curve_Data!$F$1)
)),0)/$G$1</f>
        <v>0</v>
      </c>
      <c r="M68" s="18">
        <f>Mappings!B67</f>
        <v>46118</v>
      </c>
      <c r="N68" s="24" cm="1">
        <f t="array" ref="N68">IFERROR(ROWS(_xlfn._xlws.FILTER(
   DRG_Status!$A$2:$A$100000,
   (DRG_Status!$C$2:$C$100000=S_Curve_Data!M68) *
   (DRG_Status!$B$2:$B$100000=S_Curve_Data!$M$1)
)),0)/$N$1</f>
        <v>0</v>
      </c>
      <c r="O68" s="24" cm="1">
        <f t="array" ref="O68">IFERROR(ROWS(_xlfn._xlws.FILTER(
   DRG_Status!$A$2:$A$100000,
   (DRG_Status!$D$2:$D$100000=S_Curve_Data!M68) *
   (DRG_Status!$B$2:$B$100000=S_Curve_Data!$M$1)
)),0)/$N$1</f>
        <v>8.130081300813009E-3</v>
      </c>
      <c r="P68" s="24" cm="1">
        <f t="array" ref="P68">IFERROR(ROWS(_xlfn._xlws.FILTER(
   DRG_Status!$A$2:$A$100000,
   (DRG_Status!$E$2:$E$100000=S_Curve_Data!M68) *
   (DRG_Status!$B$2:$B$100000=S_Curve_Data!$M$1)
)),0)/$N$1</f>
        <v>0</v>
      </c>
      <c r="Q68" s="24" cm="1">
        <f t="array" ref="Q68">IFERROR(ROWS(_xlfn._xlws.FILTER(
   DRG_Status!$A$2:$A$100000,
   (DRG_Status!$F$2:$F$100000=S_Curve_Data!M68) *
   (DRG_Status!$B$2:$B$100000=S_Curve_Data!$M$1)
)),0)/$N$1</f>
        <v>0</v>
      </c>
      <c r="T68" s="18">
        <f>Mappings!B67</f>
        <v>46118</v>
      </c>
      <c r="U68" s="24" cm="1">
        <f t="array" ref="U68">IFERROR(ROWS(_xlfn._xlws.FILTER(
   DRG_Status!$A$2:$A$100000,
   (DRG_Status!$C$2:$C$100000=S_Curve_Data!T68) *
   (DRG_Status!$B$2:$B$100000=S_Curve_Data!$T$1)
)),0)/$U$1</f>
        <v>0</v>
      </c>
      <c r="V68" s="24" cm="1">
        <f t="array" ref="V68">IFERROR(ROWS(_xlfn._xlws.FILTER(
   DRG_Status!$A$2:$A$100000,
   (DRG_Status!$D$2:$D$100000=S_Curve_Data!T68) *
   (DRG_Status!$B$2:$B$100000=S_Curve_Data!$T$1)
)),0)/$U$1</f>
        <v>0</v>
      </c>
      <c r="W68" s="24" cm="1">
        <f t="array" ref="W68">IFERROR(ROWS(_xlfn._xlws.FILTER(
   DRG_Status!$A$2:$A$100000,
   (DRG_Status!$E$2:$E$100000=S_Curve_Data!T68) *
   (DRG_Status!$B$2:$B$100000=S_Curve_Data!$T$1)
)),0)/$U$1</f>
        <v>0</v>
      </c>
      <c r="X68" s="24" cm="1">
        <f t="array" ref="X68">IFERROR(ROWS(_xlfn._xlws.FILTER(
   DRG_Status!$A$2:$A$100000,
   (DRG_Status!$F$2:$F$100000=S_Curve_Data!T68) *
   (DRG_Status!$B$2:$B$100000=S_Curve_Data!$T$1)
)),0)/$U$1</f>
        <v>0</v>
      </c>
    </row>
    <row r="69" spans="6:24">
      <c r="F69" s="18">
        <f>Mappings!B68</f>
        <v>46125</v>
      </c>
      <c r="G69" s="24" cm="1">
        <f t="array" ref="G69">IFERROR(ROWS(_xlfn._xlws.FILTER(
   DRG_Status!$A$2:$A$100000,
   (DRG_Status!$C$2:$C$100000=S_Curve_Data!F69) *
   (DRG_Status!$B$2:$B$100000=S_Curve_Data!$F$1)
)),0)/$G$1</f>
        <v>0</v>
      </c>
      <c r="H69" s="24" cm="1">
        <f t="array" ref="H69">IFERROR(ROWS(_xlfn._xlws.FILTER(
   DRG_Status!$A$2:$A$100000,
   (DRG_Status!$D$2:$D$100000=S_Curve_Data!F69) *
   (DRG_Status!$B$2:$B$100000=S_Curve_Data!$F$1)
)),0)/$G$1</f>
        <v>0</v>
      </c>
      <c r="I69" s="24" cm="1">
        <f t="array" ref="I69">IFERROR(ROWS(_xlfn._xlws.FILTER(
   DRG_Status!$A$2:$A$100000,
   (DRG_Status!$E$2:$E$100000=S_Curve_Data!F69) *
   (DRG_Status!$B$2:$B$100000=S_Curve_Data!$F$1)
)),0)/$G$1</f>
        <v>0</v>
      </c>
      <c r="J69" s="24" cm="1">
        <f t="array" ref="J69">IFERROR(ROWS(_xlfn._xlws.FILTER(
   DRG_Status!$A$2:$A$100000,
   (DRG_Status!$F$2:$F$100000=S_Curve_Data!F69) *
   (DRG_Status!$B$2:$B$100000=S_Curve_Data!$F$1)
)),0)/$G$1</f>
        <v>0</v>
      </c>
      <c r="M69" s="18">
        <f>Mappings!B68</f>
        <v>46125</v>
      </c>
      <c r="N69" s="24" cm="1">
        <f t="array" ref="N69">IFERROR(ROWS(_xlfn._xlws.FILTER(
   DRG_Status!$A$2:$A$100000,
   (DRG_Status!$C$2:$C$100000=S_Curve_Data!M69) *
   (DRG_Status!$B$2:$B$100000=S_Curve_Data!$M$1)
)),0)/$N$1</f>
        <v>0</v>
      </c>
      <c r="O69" s="24" cm="1">
        <f t="array" ref="O69">IFERROR(ROWS(_xlfn._xlws.FILTER(
   DRG_Status!$A$2:$A$100000,
   (DRG_Status!$D$2:$D$100000=S_Curve_Data!M69) *
   (DRG_Status!$B$2:$B$100000=S_Curve_Data!$M$1)
)),0)/$N$1</f>
        <v>0</v>
      </c>
      <c r="P69" s="24" cm="1">
        <f t="array" ref="P69">IFERROR(ROWS(_xlfn._xlws.FILTER(
   DRG_Status!$A$2:$A$100000,
   (DRG_Status!$E$2:$E$100000=S_Curve_Data!M69) *
   (DRG_Status!$B$2:$B$100000=S_Curve_Data!$M$1)
)),0)/$N$1</f>
        <v>0</v>
      </c>
      <c r="Q69" s="24" cm="1">
        <f t="array" ref="Q69">IFERROR(ROWS(_xlfn._xlws.FILTER(
   DRG_Status!$A$2:$A$100000,
   (DRG_Status!$F$2:$F$100000=S_Curve_Data!M69) *
   (DRG_Status!$B$2:$B$100000=S_Curve_Data!$M$1)
)),0)/$N$1</f>
        <v>0</v>
      </c>
      <c r="T69" s="18">
        <f>Mappings!B68</f>
        <v>46125</v>
      </c>
      <c r="U69" s="24" cm="1">
        <f t="array" ref="U69">IFERROR(ROWS(_xlfn._xlws.FILTER(
   DRG_Status!$A$2:$A$100000,
   (DRG_Status!$C$2:$C$100000=S_Curve_Data!T69) *
   (DRG_Status!$B$2:$B$100000=S_Curve_Data!$T$1)
)),0)/$U$1</f>
        <v>0</v>
      </c>
      <c r="V69" s="24" cm="1">
        <f t="array" ref="V69">IFERROR(ROWS(_xlfn._xlws.FILTER(
   DRG_Status!$A$2:$A$100000,
   (DRG_Status!$D$2:$D$100000=S_Curve_Data!T69) *
   (DRG_Status!$B$2:$B$100000=S_Curve_Data!$T$1)
)),0)/$U$1</f>
        <v>4.2372881355932203E-3</v>
      </c>
      <c r="W69" s="24" cm="1">
        <f t="array" ref="W69">IFERROR(ROWS(_xlfn._xlws.FILTER(
   DRG_Status!$A$2:$A$100000,
   (DRG_Status!$E$2:$E$100000=S_Curve_Data!T69) *
   (DRG_Status!$B$2:$B$100000=S_Curve_Data!$T$1)
)),0)/$U$1</f>
        <v>0</v>
      </c>
      <c r="X69" s="24" cm="1">
        <f t="array" ref="X69">IFERROR(ROWS(_xlfn._xlws.FILTER(
   DRG_Status!$A$2:$A$100000,
   (DRG_Status!$F$2:$F$100000=S_Curve_Data!T69) *
   (DRG_Status!$B$2:$B$100000=S_Curve_Data!$T$1)
)),0)/$U$1</f>
        <v>0</v>
      </c>
    </row>
    <row r="70" spans="6:24">
      <c r="F70" s="18">
        <f>Mappings!B69</f>
        <v>46132</v>
      </c>
      <c r="G70" s="24" cm="1">
        <f t="array" ref="G70">IFERROR(ROWS(_xlfn._xlws.FILTER(
   DRG_Status!$A$2:$A$100000,
   (DRG_Status!$C$2:$C$100000=S_Curve_Data!F70) *
   (DRG_Status!$B$2:$B$100000=S_Curve_Data!$F$1)
)),0)/$G$1</f>
        <v>0</v>
      </c>
      <c r="H70" s="24" cm="1">
        <f t="array" ref="H70">IFERROR(ROWS(_xlfn._xlws.FILTER(
   DRG_Status!$A$2:$A$100000,
   (DRG_Status!$D$2:$D$100000=S_Curve_Data!F70) *
   (DRG_Status!$B$2:$B$100000=S_Curve_Data!$F$1)
)),0)/$G$1</f>
        <v>5.4644808743169399E-3</v>
      </c>
      <c r="I70" s="24" cm="1">
        <f t="array" ref="I70">IFERROR(ROWS(_xlfn._xlws.FILTER(
   DRG_Status!$A$2:$A$100000,
   (DRG_Status!$E$2:$E$100000=S_Curve_Data!F70) *
   (DRG_Status!$B$2:$B$100000=S_Curve_Data!$F$1)
)),0)/$G$1</f>
        <v>0</v>
      </c>
      <c r="J70" s="24" cm="1">
        <f t="array" ref="J70">IFERROR(ROWS(_xlfn._xlws.FILTER(
   DRG_Status!$A$2:$A$100000,
   (DRG_Status!$F$2:$F$100000=S_Curve_Data!F70) *
   (DRG_Status!$B$2:$B$100000=S_Curve_Data!$F$1)
)),0)/$G$1</f>
        <v>7.1038251366120214E-2</v>
      </c>
      <c r="M70" s="18">
        <f>Mappings!B69</f>
        <v>46132</v>
      </c>
      <c r="N70" s="24" cm="1">
        <f t="array" ref="N70">IFERROR(ROWS(_xlfn._xlws.FILTER(
   DRG_Status!$A$2:$A$100000,
   (DRG_Status!$C$2:$C$100000=S_Curve_Data!M70) *
   (DRG_Status!$B$2:$B$100000=S_Curve_Data!$M$1)
)),0)/$N$1</f>
        <v>0</v>
      </c>
      <c r="O70" s="24" cm="1">
        <f t="array" ref="O70">IFERROR(ROWS(_xlfn._xlws.FILTER(
   DRG_Status!$A$2:$A$100000,
   (DRG_Status!$D$2:$D$100000=S_Curve_Data!M70) *
   (DRG_Status!$B$2:$B$100000=S_Curve_Data!$M$1)
)),0)/$N$1</f>
        <v>0</v>
      </c>
      <c r="P70" s="24" cm="1">
        <f t="array" ref="P70">IFERROR(ROWS(_xlfn._xlws.FILTER(
   DRG_Status!$A$2:$A$100000,
   (DRG_Status!$E$2:$E$100000=S_Curve_Data!M70) *
   (DRG_Status!$B$2:$B$100000=S_Curve_Data!$M$1)
)),0)/$N$1</f>
        <v>0</v>
      </c>
      <c r="Q70" s="24" cm="1">
        <f t="array" ref="Q70">IFERROR(ROWS(_xlfn._xlws.FILTER(
   DRG_Status!$A$2:$A$100000,
   (DRG_Status!$F$2:$F$100000=S_Curve_Data!M70) *
   (DRG_Status!$B$2:$B$100000=S_Curve_Data!$M$1)
)),0)/$N$1</f>
        <v>8.943089430894309E-2</v>
      </c>
      <c r="T70" s="18">
        <f>Mappings!B69</f>
        <v>46132</v>
      </c>
      <c r="U70" s="24" cm="1">
        <f t="array" ref="U70">IFERROR(ROWS(_xlfn._xlws.FILTER(
   DRG_Status!$A$2:$A$100000,
   (DRG_Status!$C$2:$C$100000=S_Curve_Data!T70) *
   (DRG_Status!$B$2:$B$100000=S_Curve_Data!$T$1)
)),0)/$U$1</f>
        <v>0</v>
      </c>
      <c r="V70" s="24" cm="1">
        <f t="array" ref="V70">IFERROR(ROWS(_xlfn._xlws.FILTER(
   DRG_Status!$A$2:$A$100000,
   (DRG_Status!$D$2:$D$100000=S_Curve_Data!T70) *
   (DRG_Status!$B$2:$B$100000=S_Curve_Data!$T$1)
)),0)/$U$1</f>
        <v>0</v>
      </c>
      <c r="W70" s="24" cm="1">
        <f t="array" ref="W70">IFERROR(ROWS(_xlfn._xlws.FILTER(
   DRG_Status!$A$2:$A$100000,
   (DRG_Status!$E$2:$E$100000=S_Curve_Data!T70) *
   (DRG_Status!$B$2:$B$100000=S_Curve_Data!$T$1)
)),0)/$U$1</f>
        <v>0</v>
      </c>
      <c r="X70" s="24" cm="1">
        <f t="array" ref="X70">IFERROR(ROWS(_xlfn._xlws.FILTER(
   DRG_Status!$A$2:$A$100000,
   (DRG_Status!$F$2:$F$100000=S_Curve_Data!T70) *
   (DRG_Status!$B$2:$B$100000=S_Curve_Data!$T$1)
)),0)/$U$1</f>
        <v>1.6949152542372881E-2</v>
      </c>
    </row>
    <row r="71" spans="6:24">
      <c r="F71" s="18">
        <f>Mappings!B70</f>
        <v>46139</v>
      </c>
      <c r="G71" s="24" cm="1">
        <f t="array" ref="G71">IFERROR(ROWS(_xlfn._xlws.FILTER(
   DRG_Status!$A$2:$A$100000,
   (DRG_Status!$C$2:$C$100000=S_Curve_Data!F71) *
   (DRG_Status!$B$2:$B$100000=S_Curve_Data!$F$1)
)),0)/$G$1</f>
        <v>0</v>
      </c>
      <c r="H71" s="24" cm="1">
        <f t="array" ref="H71">IFERROR(ROWS(_xlfn._xlws.FILTER(
   DRG_Status!$A$2:$A$100000,
   (DRG_Status!$D$2:$D$100000=S_Curve_Data!F71) *
   (DRG_Status!$B$2:$B$100000=S_Curve_Data!$F$1)
)),0)/$G$1</f>
        <v>0</v>
      </c>
      <c r="I71" s="24" cm="1">
        <f t="array" ref="I71">IFERROR(ROWS(_xlfn._xlws.FILTER(
   DRG_Status!$A$2:$A$100000,
   (DRG_Status!$E$2:$E$100000=S_Curve_Data!F71) *
   (DRG_Status!$B$2:$B$100000=S_Curve_Data!$F$1)
)),0)/$G$1</f>
        <v>0</v>
      </c>
      <c r="J71" s="24" cm="1">
        <f t="array" ref="J71">IFERROR(ROWS(_xlfn._xlws.FILTER(
   DRG_Status!$A$2:$A$100000,
   (DRG_Status!$F$2:$F$100000=S_Curve_Data!F71) *
   (DRG_Status!$B$2:$B$100000=S_Curve_Data!$F$1)
)),0)/$G$1</f>
        <v>0</v>
      </c>
      <c r="M71" s="18">
        <f>Mappings!B70</f>
        <v>46139</v>
      </c>
      <c r="N71" s="24" cm="1">
        <f t="array" ref="N71">IFERROR(ROWS(_xlfn._xlws.FILTER(
   DRG_Status!$A$2:$A$100000,
   (DRG_Status!$C$2:$C$100000=S_Curve_Data!M71) *
   (DRG_Status!$B$2:$B$100000=S_Curve_Data!$M$1)
)),0)/$N$1</f>
        <v>0</v>
      </c>
      <c r="O71" s="24" cm="1">
        <f t="array" ref="O71">IFERROR(ROWS(_xlfn._xlws.FILTER(
   DRG_Status!$A$2:$A$100000,
   (DRG_Status!$D$2:$D$100000=S_Curve_Data!M71) *
   (DRG_Status!$B$2:$B$100000=S_Curve_Data!$M$1)
)),0)/$N$1</f>
        <v>0</v>
      </c>
      <c r="P71" s="24" cm="1">
        <f t="array" ref="P71">IFERROR(ROWS(_xlfn._xlws.FILTER(
   DRG_Status!$A$2:$A$100000,
   (DRG_Status!$E$2:$E$100000=S_Curve_Data!M71) *
   (DRG_Status!$B$2:$B$100000=S_Curve_Data!$M$1)
)),0)/$N$1</f>
        <v>0</v>
      </c>
      <c r="Q71" s="24" cm="1">
        <f t="array" ref="Q71">IFERROR(ROWS(_xlfn._xlws.FILTER(
   DRG_Status!$A$2:$A$100000,
   (DRG_Status!$F$2:$F$100000=S_Curve_Data!M71) *
   (DRG_Status!$B$2:$B$100000=S_Curve_Data!$M$1)
)),0)/$N$1</f>
        <v>0</v>
      </c>
      <c r="T71" s="18">
        <f>Mappings!B70</f>
        <v>46139</v>
      </c>
      <c r="U71" s="24" cm="1">
        <f t="array" ref="U71">IFERROR(ROWS(_xlfn._xlws.FILTER(
   DRG_Status!$A$2:$A$100000,
   (DRG_Status!$C$2:$C$100000=S_Curve_Data!T71) *
   (DRG_Status!$B$2:$B$100000=S_Curve_Data!$T$1)
)),0)/$U$1</f>
        <v>0</v>
      </c>
      <c r="V71" s="24" cm="1">
        <f t="array" ref="V71">IFERROR(ROWS(_xlfn._xlws.FILTER(
   DRG_Status!$A$2:$A$100000,
   (DRG_Status!$D$2:$D$100000=S_Curve_Data!T71) *
   (DRG_Status!$B$2:$B$100000=S_Curve_Data!$T$1)
)),0)/$U$1</f>
        <v>0</v>
      </c>
      <c r="W71" s="24" cm="1">
        <f t="array" ref="W71">IFERROR(ROWS(_xlfn._xlws.FILTER(
   DRG_Status!$A$2:$A$100000,
   (DRG_Status!$E$2:$E$100000=S_Curve_Data!T71) *
   (DRG_Status!$B$2:$B$100000=S_Curve_Data!$T$1)
)),0)/$U$1</f>
        <v>0</v>
      </c>
      <c r="X71" s="24" cm="1">
        <f t="array" ref="X71">IFERROR(ROWS(_xlfn._xlws.FILTER(
   DRG_Status!$A$2:$A$100000,
   (DRG_Status!$F$2:$F$100000=S_Curve_Data!T71) *
   (DRG_Status!$B$2:$B$100000=S_Curve_Data!$T$1)
)),0)/$U$1</f>
        <v>0</v>
      </c>
    </row>
    <row r="72" spans="6:24">
      <c r="F72" s="18">
        <f>Mappings!B71</f>
        <v>46146</v>
      </c>
      <c r="G72" s="24" cm="1">
        <f t="array" ref="G72">IFERROR(ROWS(_xlfn._xlws.FILTER(
   DRG_Status!$A$2:$A$100000,
   (DRG_Status!$C$2:$C$100000=S_Curve_Data!F72) *
   (DRG_Status!$B$2:$B$100000=S_Curve_Data!$F$1)
)),0)/$G$1</f>
        <v>0</v>
      </c>
      <c r="H72" s="24" cm="1">
        <f t="array" ref="H72">IFERROR(ROWS(_xlfn._xlws.FILTER(
   DRG_Status!$A$2:$A$100000,
   (DRG_Status!$D$2:$D$100000=S_Curve_Data!F72) *
   (DRG_Status!$B$2:$B$100000=S_Curve_Data!$F$1)
)),0)/$G$1</f>
        <v>0</v>
      </c>
      <c r="I72" s="24" cm="1">
        <f t="array" ref="I72">IFERROR(ROWS(_xlfn._xlws.FILTER(
   DRG_Status!$A$2:$A$100000,
   (DRG_Status!$E$2:$E$100000=S_Curve_Data!F72) *
   (DRG_Status!$B$2:$B$100000=S_Curve_Data!$F$1)
)),0)/$G$1</f>
        <v>0</v>
      </c>
      <c r="J72" s="24" cm="1">
        <f t="array" ref="J72">IFERROR(ROWS(_xlfn._xlws.FILTER(
   DRG_Status!$A$2:$A$100000,
   (DRG_Status!$F$2:$F$100000=S_Curve_Data!F72) *
   (DRG_Status!$B$2:$B$100000=S_Curve_Data!$F$1)
)),0)/$G$1</f>
        <v>0</v>
      </c>
      <c r="M72" s="18">
        <f>Mappings!B71</f>
        <v>46146</v>
      </c>
      <c r="N72" s="24" cm="1">
        <f t="array" ref="N72">IFERROR(ROWS(_xlfn._xlws.FILTER(
   DRG_Status!$A$2:$A$100000,
   (DRG_Status!$C$2:$C$100000=S_Curve_Data!M72) *
   (DRG_Status!$B$2:$B$100000=S_Curve_Data!$M$1)
)),0)/$N$1</f>
        <v>0</v>
      </c>
      <c r="O72" s="24" cm="1">
        <f t="array" ref="O72">IFERROR(ROWS(_xlfn._xlws.FILTER(
   DRG_Status!$A$2:$A$100000,
   (DRG_Status!$D$2:$D$100000=S_Curve_Data!M72) *
   (DRG_Status!$B$2:$B$100000=S_Curve_Data!$M$1)
)),0)/$N$1</f>
        <v>0</v>
      </c>
      <c r="P72" s="24" cm="1">
        <f t="array" ref="P72">IFERROR(ROWS(_xlfn._xlws.FILTER(
   DRG_Status!$A$2:$A$100000,
   (DRG_Status!$E$2:$E$100000=S_Curve_Data!M72) *
   (DRG_Status!$B$2:$B$100000=S_Curve_Data!$M$1)
)),0)/$N$1</f>
        <v>0</v>
      </c>
      <c r="Q72" s="24" cm="1">
        <f t="array" ref="Q72">IFERROR(ROWS(_xlfn._xlws.FILTER(
   DRG_Status!$A$2:$A$100000,
   (DRG_Status!$F$2:$F$100000=S_Curve_Data!M72) *
   (DRG_Status!$B$2:$B$100000=S_Curve_Data!$M$1)
)),0)/$N$1</f>
        <v>0</v>
      </c>
      <c r="T72" s="18">
        <f>Mappings!B71</f>
        <v>46146</v>
      </c>
      <c r="U72" s="24" cm="1">
        <f t="array" ref="U72">IFERROR(ROWS(_xlfn._xlws.FILTER(
   DRG_Status!$A$2:$A$100000,
   (DRG_Status!$C$2:$C$100000=S_Curve_Data!T72) *
   (DRG_Status!$B$2:$B$100000=S_Curve_Data!$T$1)
)),0)/$U$1</f>
        <v>0</v>
      </c>
      <c r="V72" s="24" cm="1">
        <f t="array" ref="V72">IFERROR(ROWS(_xlfn._xlws.FILTER(
   DRG_Status!$A$2:$A$100000,
   (DRG_Status!$D$2:$D$100000=S_Curve_Data!T72) *
   (DRG_Status!$B$2:$B$100000=S_Curve_Data!$T$1)
)),0)/$U$1</f>
        <v>0</v>
      </c>
      <c r="W72" s="24" cm="1">
        <f t="array" ref="W72">IFERROR(ROWS(_xlfn._xlws.FILTER(
   DRG_Status!$A$2:$A$100000,
   (DRG_Status!$E$2:$E$100000=S_Curve_Data!T72) *
   (DRG_Status!$B$2:$B$100000=S_Curve_Data!$T$1)
)),0)/$U$1</f>
        <v>0</v>
      </c>
      <c r="X72" s="24" cm="1">
        <f t="array" ref="X72">IFERROR(ROWS(_xlfn._xlws.FILTER(
   DRG_Status!$A$2:$A$100000,
   (DRG_Status!$F$2:$F$100000=S_Curve_Data!T72) *
   (DRG_Status!$B$2:$B$100000=S_Curve_Data!$T$1)
)),0)/$U$1</f>
        <v>0</v>
      </c>
    </row>
    <row r="73" spans="6:24">
      <c r="F73" s="18">
        <f>Mappings!B72</f>
        <v>46153</v>
      </c>
      <c r="G73" s="24" cm="1">
        <f t="array" ref="G73">IFERROR(ROWS(_xlfn._xlws.FILTER(
   DRG_Status!$A$2:$A$100000,
   (DRG_Status!$C$2:$C$100000=S_Curve_Data!F73) *
   (DRG_Status!$B$2:$B$100000=S_Curve_Data!$F$1)
)),0)/$G$1</f>
        <v>0</v>
      </c>
      <c r="H73" s="24" cm="1">
        <f t="array" ref="H73">IFERROR(ROWS(_xlfn._xlws.FILTER(
   DRG_Status!$A$2:$A$100000,
   (DRG_Status!$D$2:$D$100000=S_Curve_Data!F73) *
   (DRG_Status!$B$2:$B$100000=S_Curve_Data!$F$1)
)),0)/$G$1</f>
        <v>0</v>
      </c>
      <c r="I73" s="24" cm="1">
        <f t="array" ref="I73">IFERROR(ROWS(_xlfn._xlws.FILTER(
   DRG_Status!$A$2:$A$100000,
   (DRG_Status!$E$2:$E$100000=S_Curve_Data!F73) *
   (DRG_Status!$B$2:$B$100000=S_Curve_Data!$F$1)
)),0)/$G$1</f>
        <v>0</v>
      </c>
      <c r="J73" s="24" cm="1">
        <f t="array" ref="J73">IFERROR(ROWS(_xlfn._xlws.FILTER(
   DRG_Status!$A$2:$A$100000,
   (DRG_Status!$F$2:$F$100000=S_Curve_Data!F73) *
   (DRG_Status!$B$2:$B$100000=S_Curve_Data!$F$1)
)),0)/$G$1</f>
        <v>4.3715846994535519E-2</v>
      </c>
      <c r="M73" s="18">
        <f>Mappings!B72</f>
        <v>46153</v>
      </c>
      <c r="N73" s="24" cm="1">
        <f t="array" ref="N73">IFERROR(ROWS(_xlfn._xlws.FILTER(
   DRG_Status!$A$2:$A$100000,
   (DRG_Status!$C$2:$C$100000=S_Curve_Data!M73) *
   (DRG_Status!$B$2:$B$100000=S_Curve_Data!$M$1)
)),0)/$N$1</f>
        <v>0</v>
      </c>
      <c r="O73" s="24" cm="1">
        <f t="array" ref="O73">IFERROR(ROWS(_xlfn._xlws.FILTER(
   DRG_Status!$A$2:$A$100000,
   (DRG_Status!$D$2:$D$100000=S_Curve_Data!M73) *
   (DRG_Status!$B$2:$B$100000=S_Curve_Data!$M$1)
)),0)/$N$1</f>
        <v>0</v>
      </c>
      <c r="P73" s="24" cm="1">
        <f t="array" ref="P73">IFERROR(ROWS(_xlfn._xlws.FILTER(
   DRG_Status!$A$2:$A$100000,
   (DRG_Status!$E$2:$E$100000=S_Curve_Data!M73) *
   (DRG_Status!$B$2:$B$100000=S_Curve_Data!$M$1)
)),0)/$N$1</f>
        <v>0</v>
      </c>
      <c r="Q73" s="24" cm="1">
        <f t="array" ref="Q73">IFERROR(ROWS(_xlfn._xlws.FILTER(
   DRG_Status!$A$2:$A$100000,
   (DRG_Status!$F$2:$F$100000=S_Curve_Data!M73) *
   (DRG_Status!$B$2:$B$100000=S_Curve_Data!$M$1)
)),0)/$N$1</f>
        <v>1.6260162601626018E-2</v>
      </c>
      <c r="T73" s="18">
        <f>Mappings!B72</f>
        <v>46153</v>
      </c>
      <c r="U73" s="24" cm="1">
        <f t="array" ref="U73">IFERROR(ROWS(_xlfn._xlws.FILTER(
   DRG_Status!$A$2:$A$100000,
   (DRG_Status!$C$2:$C$100000=S_Curve_Data!T73) *
   (DRG_Status!$B$2:$B$100000=S_Curve_Data!$T$1)
)),0)/$U$1</f>
        <v>0</v>
      </c>
      <c r="V73" s="24" cm="1">
        <f t="array" ref="V73">IFERROR(ROWS(_xlfn._xlws.FILTER(
   DRG_Status!$A$2:$A$100000,
   (DRG_Status!$D$2:$D$100000=S_Curve_Data!T73) *
   (DRG_Status!$B$2:$B$100000=S_Curve_Data!$T$1)
)),0)/$U$1</f>
        <v>0</v>
      </c>
      <c r="W73" s="24" cm="1">
        <f t="array" ref="W73">IFERROR(ROWS(_xlfn._xlws.FILTER(
   DRG_Status!$A$2:$A$100000,
   (DRG_Status!$E$2:$E$100000=S_Curve_Data!T73) *
   (DRG_Status!$B$2:$B$100000=S_Curve_Data!$T$1)
)),0)/$U$1</f>
        <v>0</v>
      </c>
      <c r="X73" s="24" cm="1">
        <f t="array" ref="X73">IFERROR(ROWS(_xlfn._xlws.FILTER(
   DRG_Status!$A$2:$A$100000,
   (DRG_Status!$F$2:$F$100000=S_Curve_Data!T73) *
   (DRG_Status!$B$2:$B$100000=S_Curve_Data!$T$1)
)),0)/$U$1</f>
        <v>0</v>
      </c>
    </row>
    <row r="74" spans="6:24">
      <c r="F74" s="18">
        <f>Mappings!B73</f>
        <v>46160</v>
      </c>
      <c r="G74" s="24" cm="1">
        <f t="array" ref="G74">IFERROR(ROWS(_xlfn._xlws.FILTER(
   DRG_Status!$A$2:$A$100000,
   (DRG_Status!$C$2:$C$100000=S_Curve_Data!F74) *
   (DRG_Status!$B$2:$B$100000=S_Curve_Data!$F$1)
)),0)/$G$1</f>
        <v>0</v>
      </c>
      <c r="H74" s="24" cm="1">
        <f t="array" ref="H74">IFERROR(ROWS(_xlfn._xlws.FILTER(
   DRG_Status!$A$2:$A$100000,
   (DRG_Status!$D$2:$D$100000=S_Curve_Data!F74) *
   (DRG_Status!$B$2:$B$100000=S_Curve_Data!$F$1)
)),0)/$G$1</f>
        <v>0</v>
      </c>
      <c r="I74" s="24" cm="1">
        <f t="array" ref="I74">IFERROR(ROWS(_xlfn._xlws.FILTER(
   DRG_Status!$A$2:$A$100000,
   (DRG_Status!$E$2:$E$100000=S_Curve_Data!F74) *
   (DRG_Status!$B$2:$B$100000=S_Curve_Data!$F$1)
)),0)/$G$1</f>
        <v>0</v>
      </c>
      <c r="J74" s="24" cm="1">
        <f t="array" ref="J74">IFERROR(ROWS(_xlfn._xlws.FILTER(
   DRG_Status!$A$2:$A$100000,
   (DRG_Status!$F$2:$F$100000=S_Curve_Data!F74) *
   (DRG_Status!$B$2:$B$100000=S_Curve_Data!$F$1)
)),0)/$G$1</f>
        <v>0</v>
      </c>
      <c r="M74" s="18">
        <f>Mappings!B73</f>
        <v>46160</v>
      </c>
      <c r="N74" s="24" cm="1">
        <f t="array" ref="N74">IFERROR(ROWS(_xlfn._xlws.FILTER(
   DRG_Status!$A$2:$A$100000,
   (DRG_Status!$C$2:$C$100000=S_Curve_Data!M74) *
   (DRG_Status!$B$2:$B$100000=S_Curve_Data!$M$1)
)),0)/$N$1</f>
        <v>0</v>
      </c>
      <c r="O74" s="24" cm="1">
        <f t="array" ref="O74">IFERROR(ROWS(_xlfn._xlws.FILTER(
   DRG_Status!$A$2:$A$100000,
   (DRG_Status!$D$2:$D$100000=S_Curve_Data!M74) *
   (DRG_Status!$B$2:$B$100000=S_Curve_Data!$M$1)
)),0)/$N$1</f>
        <v>0</v>
      </c>
      <c r="P74" s="24" cm="1">
        <f t="array" ref="P74">IFERROR(ROWS(_xlfn._xlws.FILTER(
   DRG_Status!$A$2:$A$100000,
   (DRG_Status!$E$2:$E$100000=S_Curve_Data!M74) *
   (DRG_Status!$B$2:$B$100000=S_Curve_Data!$M$1)
)),0)/$N$1</f>
        <v>0</v>
      </c>
      <c r="Q74" s="24" cm="1">
        <f t="array" ref="Q74">IFERROR(ROWS(_xlfn._xlws.FILTER(
   DRG_Status!$A$2:$A$100000,
   (DRG_Status!$F$2:$F$100000=S_Curve_Data!M74) *
   (DRG_Status!$B$2:$B$100000=S_Curve_Data!$M$1)
)),0)/$N$1</f>
        <v>0</v>
      </c>
      <c r="T74" s="18">
        <f>Mappings!B73</f>
        <v>46160</v>
      </c>
      <c r="U74" s="24" cm="1">
        <f t="array" ref="U74">IFERROR(ROWS(_xlfn._xlws.FILTER(
   DRG_Status!$A$2:$A$100000,
   (DRG_Status!$C$2:$C$100000=S_Curve_Data!T74) *
   (DRG_Status!$B$2:$B$100000=S_Curve_Data!$T$1)
)),0)/$U$1</f>
        <v>0</v>
      </c>
      <c r="V74" s="24" cm="1">
        <f t="array" ref="V74">IFERROR(ROWS(_xlfn._xlws.FILTER(
   DRG_Status!$A$2:$A$100000,
   (DRG_Status!$D$2:$D$100000=S_Curve_Data!T74) *
   (DRG_Status!$B$2:$B$100000=S_Curve_Data!$T$1)
)),0)/$U$1</f>
        <v>0</v>
      </c>
      <c r="W74" s="24" cm="1">
        <f t="array" ref="W74">IFERROR(ROWS(_xlfn._xlws.FILTER(
   DRG_Status!$A$2:$A$100000,
   (DRG_Status!$E$2:$E$100000=S_Curve_Data!T74) *
   (DRG_Status!$B$2:$B$100000=S_Curve_Data!$T$1)
)),0)/$U$1</f>
        <v>0</v>
      </c>
      <c r="X74" s="24" cm="1">
        <f t="array" ref="X74">IFERROR(ROWS(_xlfn._xlws.FILTER(
   DRG_Status!$A$2:$A$100000,
   (DRG_Status!$F$2:$F$100000=S_Curve_Data!T74) *
   (DRG_Status!$B$2:$B$100000=S_Curve_Data!$T$1)
)),0)/$U$1</f>
        <v>0</v>
      </c>
    </row>
    <row r="75" spans="6:24">
      <c r="F75" s="18">
        <f>Mappings!B74</f>
        <v>46167</v>
      </c>
      <c r="G75" s="24" cm="1">
        <f t="array" ref="G75">IFERROR(ROWS(_xlfn._xlws.FILTER(
   DRG_Status!$A$2:$A$100000,
   (DRG_Status!$C$2:$C$100000=S_Curve_Data!F75) *
   (DRG_Status!$B$2:$B$100000=S_Curve_Data!$F$1)
)),0)/$G$1</f>
        <v>0</v>
      </c>
      <c r="H75" s="24" cm="1">
        <f t="array" ref="H75">IFERROR(ROWS(_xlfn._xlws.FILTER(
   DRG_Status!$A$2:$A$100000,
   (DRG_Status!$D$2:$D$100000=S_Curve_Data!F75) *
   (DRG_Status!$B$2:$B$100000=S_Curve_Data!$F$1)
)),0)/$G$1</f>
        <v>0</v>
      </c>
      <c r="I75" s="24" cm="1">
        <f t="array" ref="I75">IFERROR(ROWS(_xlfn._xlws.FILTER(
   DRG_Status!$A$2:$A$100000,
   (DRG_Status!$E$2:$E$100000=S_Curve_Data!F75) *
   (DRG_Status!$B$2:$B$100000=S_Curve_Data!$F$1)
)),0)/$G$1</f>
        <v>0</v>
      </c>
      <c r="J75" s="24" cm="1">
        <f t="array" ref="J75">IFERROR(ROWS(_xlfn._xlws.FILTER(
   DRG_Status!$A$2:$A$100000,
   (DRG_Status!$F$2:$F$100000=S_Curve_Data!F75) *
   (DRG_Status!$B$2:$B$100000=S_Curve_Data!$F$1)
)),0)/$G$1</f>
        <v>0</v>
      </c>
      <c r="M75" s="18">
        <f>Mappings!B74</f>
        <v>46167</v>
      </c>
      <c r="N75" s="24" cm="1">
        <f t="array" ref="N75">IFERROR(ROWS(_xlfn._xlws.FILTER(
   DRG_Status!$A$2:$A$100000,
   (DRG_Status!$C$2:$C$100000=S_Curve_Data!M75) *
   (DRG_Status!$B$2:$B$100000=S_Curve_Data!$M$1)
)),0)/$N$1</f>
        <v>0</v>
      </c>
      <c r="O75" s="24" cm="1">
        <f t="array" ref="O75">IFERROR(ROWS(_xlfn._xlws.FILTER(
   DRG_Status!$A$2:$A$100000,
   (DRG_Status!$D$2:$D$100000=S_Curve_Data!M75) *
   (DRG_Status!$B$2:$B$100000=S_Curve_Data!$M$1)
)),0)/$N$1</f>
        <v>0</v>
      </c>
      <c r="P75" s="24" cm="1">
        <f t="array" ref="P75">IFERROR(ROWS(_xlfn._xlws.FILTER(
   DRG_Status!$A$2:$A$100000,
   (DRG_Status!$E$2:$E$100000=S_Curve_Data!M75) *
   (DRG_Status!$B$2:$B$100000=S_Curve_Data!$M$1)
)),0)/$N$1</f>
        <v>0</v>
      </c>
      <c r="Q75" s="24" cm="1">
        <f t="array" ref="Q75">IFERROR(ROWS(_xlfn._xlws.FILTER(
   DRG_Status!$A$2:$A$100000,
   (DRG_Status!$F$2:$F$100000=S_Curve_Data!M75) *
   (DRG_Status!$B$2:$B$100000=S_Curve_Data!$M$1)
)),0)/$N$1</f>
        <v>0</v>
      </c>
      <c r="T75" s="18">
        <f>Mappings!B74</f>
        <v>46167</v>
      </c>
      <c r="U75" s="24" cm="1">
        <f t="array" ref="U75">IFERROR(ROWS(_xlfn._xlws.FILTER(
   DRG_Status!$A$2:$A$100000,
   (DRG_Status!$C$2:$C$100000=S_Curve_Data!T75) *
   (DRG_Status!$B$2:$B$100000=S_Curve_Data!$T$1)
)),0)/$U$1</f>
        <v>0</v>
      </c>
      <c r="V75" s="24" cm="1">
        <f t="array" ref="V75">IFERROR(ROWS(_xlfn._xlws.FILTER(
   DRG_Status!$A$2:$A$100000,
   (DRG_Status!$D$2:$D$100000=S_Curve_Data!T75) *
   (DRG_Status!$B$2:$B$100000=S_Curve_Data!$T$1)
)),0)/$U$1</f>
        <v>0</v>
      </c>
      <c r="W75" s="24" cm="1">
        <f t="array" ref="W75">IFERROR(ROWS(_xlfn._xlws.FILTER(
   DRG_Status!$A$2:$A$100000,
   (DRG_Status!$E$2:$E$100000=S_Curve_Data!T75) *
   (DRG_Status!$B$2:$B$100000=S_Curve_Data!$T$1)
)),0)/$U$1</f>
        <v>0</v>
      </c>
      <c r="X75" s="24" cm="1">
        <f t="array" ref="X75">IFERROR(ROWS(_xlfn._xlws.FILTER(
   DRG_Status!$A$2:$A$100000,
   (DRG_Status!$F$2:$F$100000=S_Curve_Data!T75) *
   (DRG_Status!$B$2:$B$100000=S_Curve_Data!$T$1)
)),0)/$U$1</f>
        <v>0</v>
      </c>
    </row>
    <row r="76" spans="6:24">
      <c r="F76" s="18">
        <f>Mappings!B75</f>
        <v>46174</v>
      </c>
      <c r="G76" s="24" cm="1">
        <f t="array" ref="G76">IFERROR(ROWS(_xlfn._xlws.FILTER(
   DRG_Status!$A$2:$A$100000,
   (DRG_Status!$C$2:$C$100000=S_Curve_Data!F76) *
   (DRG_Status!$B$2:$B$100000=S_Curve_Data!$F$1)
)),0)/$G$1</f>
        <v>0</v>
      </c>
      <c r="H76" s="24" cm="1">
        <f t="array" ref="H76">IFERROR(ROWS(_xlfn._xlws.FILTER(
   DRG_Status!$A$2:$A$100000,
   (DRG_Status!$D$2:$D$100000=S_Curve_Data!F76) *
   (DRG_Status!$B$2:$B$100000=S_Curve_Data!$F$1)
)),0)/$G$1</f>
        <v>0</v>
      </c>
      <c r="I76" s="24" cm="1">
        <f t="array" ref="I76">IFERROR(ROWS(_xlfn._xlws.FILTER(
   DRG_Status!$A$2:$A$100000,
   (DRG_Status!$E$2:$E$100000=S_Curve_Data!F76) *
   (DRG_Status!$B$2:$B$100000=S_Curve_Data!$F$1)
)),0)/$G$1</f>
        <v>0</v>
      </c>
      <c r="J76" s="24" cm="1">
        <f t="array" ref="J76">IFERROR(ROWS(_xlfn._xlws.FILTER(
   DRG_Status!$A$2:$A$100000,
   (DRG_Status!$F$2:$F$100000=S_Curve_Data!F76) *
   (DRG_Status!$B$2:$B$100000=S_Curve_Data!$F$1)
)),0)/$G$1</f>
        <v>0</v>
      </c>
      <c r="M76" s="18">
        <f>Mappings!B75</f>
        <v>46174</v>
      </c>
      <c r="N76" s="24" cm="1">
        <f t="array" ref="N76">IFERROR(ROWS(_xlfn._xlws.FILTER(
   DRG_Status!$A$2:$A$100000,
   (DRG_Status!$C$2:$C$100000=S_Curve_Data!M76) *
   (DRG_Status!$B$2:$B$100000=S_Curve_Data!$M$1)
)),0)/$N$1</f>
        <v>0</v>
      </c>
      <c r="O76" s="24" cm="1">
        <f t="array" ref="O76">IFERROR(ROWS(_xlfn._xlws.FILTER(
   DRG_Status!$A$2:$A$100000,
   (DRG_Status!$D$2:$D$100000=S_Curve_Data!M76) *
   (DRG_Status!$B$2:$B$100000=S_Curve_Data!$M$1)
)),0)/$N$1</f>
        <v>0</v>
      </c>
      <c r="P76" s="24" cm="1">
        <f t="array" ref="P76">IFERROR(ROWS(_xlfn._xlws.FILTER(
   DRG_Status!$A$2:$A$100000,
   (DRG_Status!$E$2:$E$100000=S_Curve_Data!M76) *
   (DRG_Status!$B$2:$B$100000=S_Curve_Data!$M$1)
)),0)/$N$1</f>
        <v>0</v>
      </c>
      <c r="Q76" s="24" cm="1">
        <f t="array" ref="Q76">IFERROR(ROWS(_xlfn._xlws.FILTER(
   DRG_Status!$A$2:$A$100000,
   (DRG_Status!$F$2:$F$100000=S_Curve_Data!M76) *
   (DRG_Status!$B$2:$B$100000=S_Curve_Data!$M$1)
)),0)/$N$1</f>
        <v>0</v>
      </c>
      <c r="T76" s="18">
        <f>Mappings!B75</f>
        <v>46174</v>
      </c>
      <c r="U76" s="24" cm="1">
        <f t="array" ref="U76">IFERROR(ROWS(_xlfn._xlws.FILTER(
   DRG_Status!$A$2:$A$100000,
   (DRG_Status!$C$2:$C$100000=S_Curve_Data!T76) *
   (DRG_Status!$B$2:$B$100000=S_Curve_Data!$T$1)
)),0)/$U$1</f>
        <v>0</v>
      </c>
      <c r="V76" s="24" cm="1">
        <f t="array" ref="V76">IFERROR(ROWS(_xlfn._xlws.FILTER(
   DRG_Status!$A$2:$A$100000,
   (DRG_Status!$D$2:$D$100000=S_Curve_Data!T76) *
   (DRG_Status!$B$2:$B$100000=S_Curve_Data!$T$1)
)),0)/$U$1</f>
        <v>0</v>
      </c>
      <c r="W76" s="24" cm="1">
        <f t="array" ref="W76">IFERROR(ROWS(_xlfn._xlws.FILTER(
   DRG_Status!$A$2:$A$100000,
   (DRG_Status!$E$2:$E$100000=S_Curve_Data!T76) *
   (DRG_Status!$B$2:$B$100000=S_Curve_Data!$T$1)
)),0)/$U$1</f>
        <v>0</v>
      </c>
      <c r="X76" s="24" cm="1">
        <f t="array" ref="X76">IFERROR(ROWS(_xlfn._xlws.FILTER(
   DRG_Status!$A$2:$A$100000,
   (DRG_Status!$F$2:$F$100000=S_Curve_Data!T76) *
   (DRG_Status!$B$2:$B$100000=S_Curve_Data!$T$1)
)),0)/$U$1</f>
        <v>0</v>
      </c>
    </row>
    <row r="77" spans="6:24">
      <c r="F77" s="18">
        <f>Mappings!B76</f>
        <v>46181</v>
      </c>
      <c r="G77" s="24" cm="1">
        <f t="array" ref="G77">IFERROR(ROWS(_xlfn._xlws.FILTER(
   DRG_Status!$A$2:$A$100000,
   (DRG_Status!$C$2:$C$100000=S_Curve_Data!F77) *
   (DRG_Status!$B$2:$B$100000=S_Curve_Data!$F$1)
)),0)/$G$1</f>
        <v>0</v>
      </c>
      <c r="H77" s="24" cm="1">
        <f t="array" ref="H77">IFERROR(ROWS(_xlfn._xlws.FILTER(
   DRG_Status!$A$2:$A$100000,
   (DRG_Status!$D$2:$D$100000=S_Curve_Data!F77) *
   (DRG_Status!$B$2:$B$100000=S_Curve_Data!$F$1)
)),0)/$G$1</f>
        <v>0</v>
      </c>
      <c r="I77" s="24" cm="1">
        <f t="array" ref="I77">IFERROR(ROWS(_xlfn._xlws.FILTER(
   DRG_Status!$A$2:$A$100000,
   (DRG_Status!$E$2:$E$100000=S_Curve_Data!F77) *
   (DRG_Status!$B$2:$B$100000=S_Curve_Data!$F$1)
)),0)/$G$1</f>
        <v>0</v>
      </c>
      <c r="J77" s="24" cm="1">
        <f t="array" ref="J77">IFERROR(ROWS(_xlfn._xlws.FILTER(
   DRG_Status!$A$2:$A$100000,
   (DRG_Status!$F$2:$F$100000=S_Curve_Data!F77) *
   (DRG_Status!$B$2:$B$100000=S_Curve_Data!$F$1)
)),0)/$G$1</f>
        <v>0</v>
      </c>
      <c r="M77" s="18">
        <f>Mappings!B76</f>
        <v>46181</v>
      </c>
      <c r="N77" s="24" cm="1">
        <f t="array" ref="N77">IFERROR(ROWS(_xlfn._xlws.FILTER(
   DRG_Status!$A$2:$A$100000,
   (DRG_Status!$C$2:$C$100000=S_Curve_Data!M77) *
   (DRG_Status!$B$2:$B$100000=S_Curve_Data!$M$1)
)),0)/$N$1</f>
        <v>0</v>
      </c>
      <c r="O77" s="24" cm="1">
        <f t="array" ref="O77">IFERROR(ROWS(_xlfn._xlws.FILTER(
   DRG_Status!$A$2:$A$100000,
   (DRG_Status!$D$2:$D$100000=S_Curve_Data!M77) *
   (DRG_Status!$B$2:$B$100000=S_Curve_Data!$M$1)
)),0)/$N$1</f>
        <v>0</v>
      </c>
      <c r="P77" s="24" cm="1">
        <f t="array" ref="P77">IFERROR(ROWS(_xlfn._xlws.FILTER(
   DRG_Status!$A$2:$A$100000,
   (DRG_Status!$E$2:$E$100000=S_Curve_Data!M77) *
   (DRG_Status!$B$2:$B$100000=S_Curve_Data!$M$1)
)),0)/$N$1</f>
        <v>0</v>
      </c>
      <c r="Q77" s="24" cm="1">
        <f t="array" ref="Q77">IFERROR(ROWS(_xlfn._xlws.FILTER(
   DRG_Status!$A$2:$A$100000,
   (DRG_Status!$F$2:$F$100000=S_Curve_Data!M77) *
   (DRG_Status!$B$2:$B$100000=S_Curve_Data!$M$1)
)),0)/$N$1</f>
        <v>0</v>
      </c>
      <c r="T77" s="18">
        <f>Mappings!B76</f>
        <v>46181</v>
      </c>
      <c r="U77" s="24" cm="1">
        <f t="array" ref="U77">IFERROR(ROWS(_xlfn._xlws.FILTER(
   DRG_Status!$A$2:$A$100000,
   (DRG_Status!$C$2:$C$100000=S_Curve_Data!T77) *
   (DRG_Status!$B$2:$B$100000=S_Curve_Data!$T$1)
)),0)/$U$1</f>
        <v>0</v>
      </c>
      <c r="V77" s="24" cm="1">
        <f t="array" ref="V77">IFERROR(ROWS(_xlfn._xlws.FILTER(
   DRG_Status!$A$2:$A$100000,
   (DRG_Status!$D$2:$D$100000=S_Curve_Data!T77) *
   (DRG_Status!$B$2:$B$100000=S_Curve_Data!$T$1)
)),0)/$U$1</f>
        <v>0</v>
      </c>
      <c r="W77" s="24" cm="1">
        <f t="array" ref="W77">IFERROR(ROWS(_xlfn._xlws.FILTER(
   DRG_Status!$A$2:$A$100000,
   (DRG_Status!$E$2:$E$100000=S_Curve_Data!T77) *
   (DRG_Status!$B$2:$B$100000=S_Curve_Data!$T$1)
)),0)/$U$1</f>
        <v>0</v>
      </c>
      <c r="X77" s="24" cm="1">
        <f t="array" ref="X77">IFERROR(ROWS(_xlfn._xlws.FILTER(
   DRG_Status!$A$2:$A$100000,
   (DRG_Status!$F$2:$F$100000=S_Curve_Data!T77) *
   (DRG_Status!$B$2:$B$100000=S_Curve_Data!$T$1)
)),0)/$U$1</f>
        <v>0</v>
      </c>
    </row>
    <row r="78" spans="6:24">
      <c r="F78" s="18">
        <f>Mappings!B77</f>
        <v>46188</v>
      </c>
      <c r="G78" s="24" cm="1">
        <f t="array" ref="G78">IFERROR(ROWS(_xlfn._xlws.FILTER(
   DRG_Status!$A$2:$A$100000,
   (DRG_Status!$C$2:$C$100000=S_Curve_Data!F78) *
   (DRG_Status!$B$2:$B$100000=S_Curve_Data!$F$1)
)),0)/$G$1</f>
        <v>0</v>
      </c>
      <c r="H78" s="24" cm="1">
        <f t="array" ref="H78">IFERROR(ROWS(_xlfn._xlws.FILTER(
   DRG_Status!$A$2:$A$100000,
   (DRG_Status!$D$2:$D$100000=S_Curve_Data!F78) *
   (DRG_Status!$B$2:$B$100000=S_Curve_Data!$F$1)
)),0)/$G$1</f>
        <v>0</v>
      </c>
      <c r="I78" s="24" cm="1">
        <f t="array" ref="I78">IFERROR(ROWS(_xlfn._xlws.FILTER(
   DRG_Status!$A$2:$A$100000,
   (DRG_Status!$E$2:$E$100000=S_Curve_Data!F78) *
   (DRG_Status!$B$2:$B$100000=S_Curve_Data!$F$1)
)),0)/$G$1</f>
        <v>0</v>
      </c>
      <c r="J78" s="24" cm="1">
        <f t="array" ref="J78">IFERROR(ROWS(_xlfn._xlws.FILTER(
   DRG_Status!$A$2:$A$100000,
   (DRG_Status!$F$2:$F$100000=S_Curve_Data!F78) *
   (DRG_Status!$B$2:$B$100000=S_Curve_Data!$F$1)
)),0)/$G$1</f>
        <v>0</v>
      </c>
      <c r="M78" s="18">
        <f>Mappings!B77</f>
        <v>46188</v>
      </c>
      <c r="N78" s="24" cm="1">
        <f t="array" ref="N78">IFERROR(ROWS(_xlfn._xlws.FILTER(
   DRG_Status!$A$2:$A$100000,
   (DRG_Status!$C$2:$C$100000=S_Curve_Data!M78) *
   (DRG_Status!$B$2:$B$100000=S_Curve_Data!$M$1)
)),0)/$N$1</f>
        <v>0</v>
      </c>
      <c r="O78" s="24" cm="1">
        <f t="array" ref="O78">IFERROR(ROWS(_xlfn._xlws.FILTER(
   DRG_Status!$A$2:$A$100000,
   (DRG_Status!$D$2:$D$100000=S_Curve_Data!M78) *
   (DRG_Status!$B$2:$B$100000=S_Curve_Data!$M$1)
)),0)/$N$1</f>
        <v>0</v>
      </c>
      <c r="P78" s="24" cm="1">
        <f t="array" ref="P78">IFERROR(ROWS(_xlfn._xlws.FILTER(
   DRG_Status!$A$2:$A$100000,
   (DRG_Status!$E$2:$E$100000=S_Curve_Data!M78) *
   (DRG_Status!$B$2:$B$100000=S_Curve_Data!$M$1)
)),0)/$N$1</f>
        <v>0</v>
      </c>
      <c r="Q78" s="24" cm="1">
        <f t="array" ref="Q78">IFERROR(ROWS(_xlfn._xlws.FILTER(
   DRG_Status!$A$2:$A$100000,
   (DRG_Status!$F$2:$F$100000=S_Curve_Data!M78) *
   (DRG_Status!$B$2:$B$100000=S_Curve_Data!$M$1)
)),0)/$N$1</f>
        <v>0</v>
      </c>
      <c r="T78" s="18">
        <f>Mappings!B77</f>
        <v>46188</v>
      </c>
      <c r="U78" s="24" cm="1">
        <f t="array" ref="U78">IFERROR(ROWS(_xlfn._xlws.FILTER(
   DRG_Status!$A$2:$A$100000,
   (DRG_Status!$C$2:$C$100000=S_Curve_Data!T78) *
   (DRG_Status!$B$2:$B$100000=S_Curve_Data!$T$1)
)),0)/$U$1</f>
        <v>0</v>
      </c>
      <c r="V78" s="24" cm="1">
        <f t="array" ref="V78">IFERROR(ROWS(_xlfn._xlws.FILTER(
   DRG_Status!$A$2:$A$100000,
   (DRG_Status!$D$2:$D$100000=S_Curve_Data!T78) *
   (DRG_Status!$B$2:$B$100000=S_Curve_Data!$T$1)
)),0)/$U$1</f>
        <v>0</v>
      </c>
      <c r="W78" s="24" cm="1">
        <f t="array" ref="W78">IFERROR(ROWS(_xlfn._xlws.FILTER(
   DRG_Status!$A$2:$A$100000,
   (DRG_Status!$E$2:$E$100000=S_Curve_Data!T78) *
   (DRG_Status!$B$2:$B$100000=S_Curve_Data!$T$1)
)),0)/$U$1</f>
        <v>0</v>
      </c>
      <c r="X78" s="24" cm="1">
        <f t="array" ref="X78">IFERROR(ROWS(_xlfn._xlws.FILTER(
   DRG_Status!$A$2:$A$100000,
   (DRG_Status!$F$2:$F$100000=S_Curve_Data!T78) *
   (DRG_Status!$B$2:$B$100000=S_Curve_Data!$T$1)
)),0)/$U$1</f>
        <v>0</v>
      </c>
    </row>
    <row r="79" spans="6:24">
      <c r="F79" s="18">
        <f>Mappings!B78</f>
        <v>46195</v>
      </c>
      <c r="G79" s="24" cm="1">
        <f t="array" ref="G79">IFERROR(ROWS(_xlfn._xlws.FILTER(
   DRG_Status!$A$2:$A$100000,
   (DRG_Status!$C$2:$C$100000=S_Curve_Data!F79) *
   (DRG_Status!$B$2:$B$100000=S_Curve_Data!$F$1)
)),0)/$G$1</f>
        <v>0</v>
      </c>
      <c r="H79" s="24" cm="1">
        <f t="array" ref="H79">IFERROR(ROWS(_xlfn._xlws.FILTER(
   DRG_Status!$A$2:$A$100000,
   (DRG_Status!$D$2:$D$100000=S_Curve_Data!F79) *
   (DRG_Status!$B$2:$B$100000=S_Curve_Data!$F$1)
)),0)/$G$1</f>
        <v>0</v>
      </c>
      <c r="I79" s="24" cm="1">
        <f t="array" ref="I79">IFERROR(ROWS(_xlfn._xlws.FILTER(
   DRG_Status!$A$2:$A$100000,
   (DRG_Status!$E$2:$E$100000=S_Curve_Data!F79) *
   (DRG_Status!$B$2:$B$100000=S_Curve_Data!$F$1)
)),0)/$G$1</f>
        <v>0</v>
      </c>
      <c r="J79" s="24" cm="1">
        <f t="array" ref="J79">IFERROR(ROWS(_xlfn._xlws.FILTER(
   DRG_Status!$A$2:$A$100000,
   (DRG_Status!$F$2:$F$100000=S_Curve_Data!F79) *
   (DRG_Status!$B$2:$B$100000=S_Curve_Data!$F$1)
)),0)/$G$1</f>
        <v>0</v>
      </c>
      <c r="M79" s="18">
        <f>Mappings!B78</f>
        <v>46195</v>
      </c>
      <c r="N79" s="24" cm="1">
        <f t="array" ref="N79">IFERROR(ROWS(_xlfn._xlws.FILTER(
   DRG_Status!$A$2:$A$100000,
   (DRG_Status!$C$2:$C$100000=S_Curve_Data!M79) *
   (DRG_Status!$B$2:$B$100000=S_Curve_Data!$M$1)
)),0)/$N$1</f>
        <v>0</v>
      </c>
      <c r="O79" s="24" cm="1">
        <f t="array" ref="O79">IFERROR(ROWS(_xlfn._xlws.FILTER(
   DRG_Status!$A$2:$A$100000,
   (DRG_Status!$D$2:$D$100000=S_Curve_Data!M79) *
   (DRG_Status!$B$2:$B$100000=S_Curve_Data!$M$1)
)),0)/$N$1</f>
        <v>0</v>
      </c>
      <c r="P79" s="24" cm="1">
        <f t="array" ref="P79">IFERROR(ROWS(_xlfn._xlws.FILTER(
   DRG_Status!$A$2:$A$100000,
   (DRG_Status!$E$2:$E$100000=S_Curve_Data!M79) *
   (DRG_Status!$B$2:$B$100000=S_Curve_Data!$M$1)
)),0)/$N$1</f>
        <v>0</v>
      </c>
      <c r="Q79" s="24" cm="1">
        <f t="array" ref="Q79">IFERROR(ROWS(_xlfn._xlws.FILTER(
   DRG_Status!$A$2:$A$100000,
   (DRG_Status!$F$2:$F$100000=S_Curve_Data!M79) *
   (DRG_Status!$B$2:$B$100000=S_Curve_Data!$M$1)
)),0)/$N$1</f>
        <v>0</v>
      </c>
      <c r="T79" s="18">
        <f>Mappings!B78</f>
        <v>46195</v>
      </c>
      <c r="U79" s="24" cm="1">
        <f t="array" ref="U79">IFERROR(ROWS(_xlfn._xlws.FILTER(
   DRG_Status!$A$2:$A$100000,
   (DRG_Status!$C$2:$C$100000=S_Curve_Data!T79) *
   (DRG_Status!$B$2:$B$100000=S_Curve_Data!$T$1)
)),0)/$U$1</f>
        <v>0</v>
      </c>
      <c r="V79" s="24" cm="1">
        <f t="array" ref="V79">IFERROR(ROWS(_xlfn._xlws.FILTER(
   DRG_Status!$A$2:$A$100000,
   (DRG_Status!$D$2:$D$100000=S_Curve_Data!T79) *
   (DRG_Status!$B$2:$B$100000=S_Curve_Data!$T$1)
)),0)/$U$1</f>
        <v>0</v>
      </c>
      <c r="W79" s="24" cm="1">
        <f t="array" ref="W79">IFERROR(ROWS(_xlfn._xlws.FILTER(
   DRG_Status!$A$2:$A$100000,
   (DRG_Status!$E$2:$E$100000=S_Curve_Data!T79) *
   (DRG_Status!$B$2:$B$100000=S_Curve_Data!$T$1)
)),0)/$U$1</f>
        <v>0</v>
      </c>
      <c r="X79" s="24" cm="1">
        <f t="array" ref="X79">IFERROR(ROWS(_xlfn._xlws.FILTER(
   DRG_Status!$A$2:$A$100000,
   (DRG_Status!$F$2:$F$100000=S_Curve_Data!T79) *
   (DRG_Status!$B$2:$B$100000=S_Curve_Data!$T$1)
)),0)/$U$1</f>
        <v>0</v>
      </c>
    </row>
    <row r="80" spans="6:24">
      <c r="F80" s="18">
        <f>Mappings!B79</f>
        <v>46202</v>
      </c>
      <c r="G80" s="24" cm="1">
        <f t="array" ref="G80">IFERROR(ROWS(_xlfn._xlws.FILTER(
   DRG_Status!$A$2:$A$100000,
   (DRG_Status!$C$2:$C$100000=S_Curve_Data!F80) *
   (DRG_Status!$B$2:$B$100000=S_Curve_Data!$F$1)
)),0)/$G$1</f>
        <v>0</v>
      </c>
      <c r="H80" s="24" cm="1">
        <f t="array" ref="H80">IFERROR(ROWS(_xlfn._xlws.FILTER(
   DRG_Status!$A$2:$A$100000,
   (DRG_Status!$D$2:$D$100000=S_Curve_Data!F80) *
   (DRG_Status!$B$2:$B$100000=S_Curve_Data!$F$1)
)),0)/$G$1</f>
        <v>0</v>
      </c>
      <c r="I80" s="24" cm="1">
        <f t="array" ref="I80">IFERROR(ROWS(_xlfn._xlws.FILTER(
   DRG_Status!$A$2:$A$100000,
   (DRG_Status!$E$2:$E$100000=S_Curve_Data!F80) *
   (DRG_Status!$B$2:$B$100000=S_Curve_Data!$F$1)
)),0)/$G$1</f>
        <v>0</v>
      </c>
      <c r="J80" s="24" cm="1">
        <f t="array" ref="J80">IFERROR(ROWS(_xlfn._xlws.FILTER(
   DRG_Status!$A$2:$A$100000,
   (DRG_Status!$F$2:$F$100000=S_Curve_Data!F80) *
   (DRG_Status!$B$2:$B$100000=S_Curve_Data!$F$1)
)),0)/$G$1</f>
        <v>0</v>
      </c>
      <c r="M80" s="18">
        <f>Mappings!B79</f>
        <v>46202</v>
      </c>
      <c r="N80" s="24" cm="1">
        <f t="array" ref="N80">IFERROR(ROWS(_xlfn._xlws.FILTER(
   DRG_Status!$A$2:$A$100000,
   (DRG_Status!$C$2:$C$100000=S_Curve_Data!M80) *
   (DRG_Status!$B$2:$B$100000=S_Curve_Data!$M$1)
)),0)/$N$1</f>
        <v>0</v>
      </c>
      <c r="O80" s="24" cm="1">
        <f t="array" ref="O80">IFERROR(ROWS(_xlfn._xlws.FILTER(
   DRG_Status!$A$2:$A$100000,
   (DRG_Status!$D$2:$D$100000=S_Curve_Data!M80) *
   (DRG_Status!$B$2:$B$100000=S_Curve_Data!$M$1)
)),0)/$N$1</f>
        <v>0</v>
      </c>
      <c r="P80" s="24" cm="1">
        <f t="array" ref="P80">IFERROR(ROWS(_xlfn._xlws.FILTER(
   DRG_Status!$A$2:$A$100000,
   (DRG_Status!$E$2:$E$100000=S_Curve_Data!M80) *
   (DRG_Status!$B$2:$B$100000=S_Curve_Data!$M$1)
)),0)/$N$1</f>
        <v>0</v>
      </c>
      <c r="Q80" s="24" cm="1">
        <f t="array" ref="Q80">IFERROR(ROWS(_xlfn._xlws.FILTER(
   DRG_Status!$A$2:$A$100000,
   (DRG_Status!$F$2:$F$100000=S_Curve_Data!M80) *
   (DRG_Status!$B$2:$B$100000=S_Curve_Data!$M$1)
)),0)/$N$1</f>
        <v>0</v>
      </c>
      <c r="T80" s="18">
        <f>Mappings!B79</f>
        <v>46202</v>
      </c>
      <c r="U80" s="24" cm="1">
        <f t="array" ref="U80">IFERROR(ROWS(_xlfn._xlws.FILTER(
   DRG_Status!$A$2:$A$100000,
   (DRG_Status!$C$2:$C$100000=S_Curve_Data!T80) *
   (DRG_Status!$B$2:$B$100000=S_Curve_Data!$T$1)
)),0)/$U$1</f>
        <v>0</v>
      </c>
      <c r="V80" s="24" cm="1">
        <f t="array" ref="V80">IFERROR(ROWS(_xlfn._xlws.FILTER(
   DRG_Status!$A$2:$A$100000,
   (DRG_Status!$D$2:$D$100000=S_Curve_Data!T80) *
   (DRG_Status!$B$2:$B$100000=S_Curve_Data!$T$1)
)),0)/$U$1</f>
        <v>0</v>
      </c>
      <c r="W80" s="24" cm="1">
        <f t="array" ref="W80">IFERROR(ROWS(_xlfn._xlws.FILTER(
   DRG_Status!$A$2:$A$100000,
   (DRG_Status!$E$2:$E$100000=S_Curve_Data!T80) *
   (DRG_Status!$B$2:$B$100000=S_Curve_Data!$T$1)
)),0)/$U$1</f>
        <v>0</v>
      </c>
      <c r="X80" s="24" cm="1">
        <f t="array" ref="X80">IFERROR(ROWS(_xlfn._xlws.FILTER(
   DRG_Status!$A$2:$A$100000,
   (DRG_Status!$F$2:$F$100000=S_Curve_Data!T80) *
   (DRG_Status!$B$2:$B$100000=S_Curve_Data!$T$1)
)),0)/$U$1</f>
        <v>0</v>
      </c>
    </row>
    <row r="81" spans="6:24">
      <c r="F81" s="18">
        <f>Mappings!B80</f>
        <v>46209</v>
      </c>
      <c r="G81" s="24" cm="1">
        <f t="array" ref="G81">IFERROR(ROWS(_xlfn._xlws.FILTER(
   DRG_Status!$A$2:$A$100000,
   (DRG_Status!$C$2:$C$100000=S_Curve_Data!F81) *
   (DRG_Status!$B$2:$B$100000=S_Curve_Data!$F$1)
)),0)/$G$1</f>
        <v>0</v>
      </c>
      <c r="H81" s="24" cm="1">
        <f t="array" ref="H81">IFERROR(ROWS(_xlfn._xlws.FILTER(
   DRG_Status!$A$2:$A$100000,
   (DRG_Status!$D$2:$D$100000=S_Curve_Data!F81) *
   (DRG_Status!$B$2:$B$100000=S_Curve_Data!$F$1)
)),0)/$G$1</f>
        <v>0</v>
      </c>
      <c r="I81" s="24" cm="1">
        <f t="array" ref="I81">IFERROR(ROWS(_xlfn._xlws.FILTER(
   DRG_Status!$A$2:$A$100000,
   (DRG_Status!$E$2:$E$100000=S_Curve_Data!F81) *
   (DRG_Status!$B$2:$B$100000=S_Curve_Data!$F$1)
)),0)/$G$1</f>
        <v>0</v>
      </c>
      <c r="J81" s="24" cm="1">
        <f t="array" ref="J81">IFERROR(ROWS(_xlfn._xlws.FILTER(
   DRG_Status!$A$2:$A$100000,
   (DRG_Status!$F$2:$F$100000=S_Curve_Data!F81) *
   (DRG_Status!$B$2:$B$100000=S_Curve_Data!$F$1)
)),0)/$G$1</f>
        <v>0</v>
      </c>
      <c r="M81" s="18">
        <f>Mappings!B80</f>
        <v>46209</v>
      </c>
      <c r="N81" s="24" cm="1">
        <f t="array" ref="N81">IFERROR(ROWS(_xlfn._xlws.FILTER(
   DRG_Status!$A$2:$A$100000,
   (DRG_Status!$C$2:$C$100000=S_Curve_Data!M81) *
   (DRG_Status!$B$2:$B$100000=S_Curve_Data!$M$1)
)),0)/$N$1</f>
        <v>0</v>
      </c>
      <c r="O81" s="24" cm="1">
        <f t="array" ref="O81">IFERROR(ROWS(_xlfn._xlws.FILTER(
   DRG_Status!$A$2:$A$100000,
   (DRG_Status!$D$2:$D$100000=S_Curve_Data!M81) *
   (DRG_Status!$B$2:$B$100000=S_Curve_Data!$M$1)
)),0)/$N$1</f>
        <v>0</v>
      </c>
      <c r="P81" s="24" cm="1">
        <f t="array" ref="P81">IFERROR(ROWS(_xlfn._xlws.FILTER(
   DRG_Status!$A$2:$A$100000,
   (DRG_Status!$E$2:$E$100000=S_Curve_Data!M81) *
   (DRG_Status!$B$2:$B$100000=S_Curve_Data!$M$1)
)),0)/$N$1</f>
        <v>0</v>
      </c>
      <c r="Q81" s="24" cm="1">
        <f t="array" ref="Q81">IFERROR(ROWS(_xlfn._xlws.FILTER(
   DRG_Status!$A$2:$A$100000,
   (DRG_Status!$F$2:$F$100000=S_Curve_Data!M81) *
   (DRG_Status!$B$2:$B$100000=S_Curve_Data!$M$1)
)),0)/$N$1</f>
        <v>0</v>
      </c>
      <c r="T81" s="18">
        <f>Mappings!B80</f>
        <v>46209</v>
      </c>
      <c r="U81" s="24" cm="1">
        <f t="array" ref="U81">IFERROR(ROWS(_xlfn._xlws.FILTER(
   DRG_Status!$A$2:$A$100000,
   (DRG_Status!$C$2:$C$100000=S_Curve_Data!T81) *
   (DRG_Status!$B$2:$B$100000=S_Curve_Data!$T$1)
)),0)/$U$1</f>
        <v>0</v>
      </c>
      <c r="V81" s="24" cm="1">
        <f t="array" ref="V81">IFERROR(ROWS(_xlfn._xlws.FILTER(
   DRG_Status!$A$2:$A$100000,
   (DRG_Status!$D$2:$D$100000=S_Curve_Data!T81) *
   (DRG_Status!$B$2:$B$100000=S_Curve_Data!$T$1)
)),0)/$U$1</f>
        <v>0</v>
      </c>
      <c r="W81" s="24" cm="1">
        <f t="array" ref="W81">IFERROR(ROWS(_xlfn._xlws.FILTER(
   DRG_Status!$A$2:$A$100000,
   (DRG_Status!$E$2:$E$100000=S_Curve_Data!T81) *
   (DRG_Status!$B$2:$B$100000=S_Curve_Data!$T$1)
)),0)/$U$1</f>
        <v>0</v>
      </c>
      <c r="X81" s="24" cm="1">
        <f t="array" ref="X81">IFERROR(ROWS(_xlfn._xlws.FILTER(
   DRG_Status!$A$2:$A$100000,
   (DRG_Status!$F$2:$F$100000=S_Curve_Data!T81) *
   (DRG_Status!$B$2:$B$100000=S_Curve_Data!$T$1)
)),0)/$U$1</f>
        <v>0</v>
      </c>
    </row>
    <row r="82" spans="6:24">
      <c r="F82" s="18">
        <f>Mappings!B81</f>
        <v>46216</v>
      </c>
      <c r="G82" s="24" cm="1">
        <f t="array" ref="G82">IFERROR(ROWS(_xlfn._xlws.FILTER(
   DRG_Status!$A$2:$A$100000,
   (DRG_Status!$C$2:$C$100000=S_Curve_Data!F82) *
   (DRG_Status!$B$2:$B$100000=S_Curve_Data!$F$1)
)),0)/$G$1</f>
        <v>0</v>
      </c>
      <c r="H82" s="24" cm="1">
        <f t="array" ref="H82">IFERROR(ROWS(_xlfn._xlws.FILTER(
   DRG_Status!$A$2:$A$100000,
   (DRG_Status!$D$2:$D$100000=S_Curve_Data!F82) *
   (DRG_Status!$B$2:$B$100000=S_Curve_Data!$F$1)
)),0)/$G$1</f>
        <v>0</v>
      </c>
      <c r="I82" s="24" cm="1">
        <f t="array" ref="I82">IFERROR(ROWS(_xlfn._xlws.FILTER(
   DRG_Status!$A$2:$A$100000,
   (DRG_Status!$E$2:$E$100000=S_Curve_Data!F82) *
   (DRG_Status!$B$2:$B$100000=S_Curve_Data!$F$1)
)),0)/$G$1</f>
        <v>0</v>
      </c>
      <c r="J82" s="24" cm="1">
        <f t="array" ref="J82">IFERROR(ROWS(_xlfn._xlws.FILTER(
   DRG_Status!$A$2:$A$100000,
   (DRG_Status!$F$2:$F$100000=S_Curve_Data!F82) *
   (DRG_Status!$B$2:$B$100000=S_Curve_Data!$F$1)
)),0)/$G$1</f>
        <v>0</v>
      </c>
      <c r="M82" s="18">
        <f>Mappings!B81</f>
        <v>46216</v>
      </c>
      <c r="N82" s="24" cm="1">
        <f t="array" ref="N82">IFERROR(ROWS(_xlfn._xlws.FILTER(
   DRG_Status!$A$2:$A$100000,
   (DRG_Status!$C$2:$C$100000=S_Curve_Data!M82) *
   (DRG_Status!$B$2:$B$100000=S_Curve_Data!$M$1)
)),0)/$N$1</f>
        <v>0</v>
      </c>
      <c r="O82" s="24" cm="1">
        <f t="array" ref="O82">IFERROR(ROWS(_xlfn._xlws.FILTER(
   DRG_Status!$A$2:$A$100000,
   (DRG_Status!$D$2:$D$100000=S_Curve_Data!M82) *
   (DRG_Status!$B$2:$B$100000=S_Curve_Data!$M$1)
)),0)/$N$1</f>
        <v>0</v>
      </c>
      <c r="P82" s="24" cm="1">
        <f t="array" ref="P82">IFERROR(ROWS(_xlfn._xlws.FILTER(
   DRG_Status!$A$2:$A$100000,
   (DRG_Status!$E$2:$E$100000=S_Curve_Data!M82) *
   (DRG_Status!$B$2:$B$100000=S_Curve_Data!$M$1)
)),0)/$N$1</f>
        <v>0</v>
      </c>
      <c r="Q82" s="24" cm="1">
        <f t="array" ref="Q82">IFERROR(ROWS(_xlfn._xlws.FILTER(
   DRG_Status!$A$2:$A$100000,
   (DRG_Status!$F$2:$F$100000=S_Curve_Data!M82) *
   (DRG_Status!$B$2:$B$100000=S_Curve_Data!$M$1)
)),0)/$N$1</f>
        <v>0</v>
      </c>
      <c r="T82" s="18">
        <f>Mappings!B81</f>
        <v>46216</v>
      </c>
      <c r="U82" s="24" cm="1">
        <f t="array" ref="U82">IFERROR(ROWS(_xlfn._xlws.FILTER(
   DRG_Status!$A$2:$A$100000,
   (DRG_Status!$C$2:$C$100000=S_Curve_Data!T82) *
   (DRG_Status!$B$2:$B$100000=S_Curve_Data!$T$1)
)),0)/$U$1</f>
        <v>0</v>
      </c>
      <c r="V82" s="24" cm="1">
        <f t="array" ref="V82">IFERROR(ROWS(_xlfn._xlws.FILTER(
   DRG_Status!$A$2:$A$100000,
   (DRG_Status!$D$2:$D$100000=S_Curve_Data!T82) *
   (DRG_Status!$B$2:$B$100000=S_Curve_Data!$T$1)
)),0)/$U$1</f>
        <v>0</v>
      </c>
      <c r="W82" s="24" cm="1">
        <f t="array" ref="W82">IFERROR(ROWS(_xlfn._xlws.FILTER(
   DRG_Status!$A$2:$A$100000,
   (DRG_Status!$E$2:$E$100000=S_Curve_Data!T82) *
   (DRG_Status!$B$2:$B$100000=S_Curve_Data!$T$1)
)),0)/$U$1</f>
        <v>0</v>
      </c>
      <c r="X82" s="24" cm="1">
        <f t="array" ref="X82">IFERROR(ROWS(_xlfn._xlws.FILTER(
   DRG_Status!$A$2:$A$100000,
   (DRG_Status!$F$2:$F$100000=S_Curve_Data!T82) *
   (DRG_Status!$B$2:$B$100000=S_Curve_Data!$T$1)
)),0)/$U$1</f>
        <v>0</v>
      </c>
    </row>
    <row r="83" spans="6:24">
      <c r="F83" s="18">
        <f>Mappings!B82</f>
        <v>46223</v>
      </c>
      <c r="G83" s="24" cm="1">
        <f t="array" ref="G83">IFERROR(ROWS(_xlfn._xlws.FILTER(
   DRG_Status!$A$2:$A$100000,
   (DRG_Status!$C$2:$C$100000=S_Curve_Data!F83) *
   (DRG_Status!$B$2:$B$100000=S_Curve_Data!$F$1)
)),0)/$G$1</f>
        <v>0</v>
      </c>
      <c r="H83" s="24" cm="1">
        <f t="array" ref="H83">IFERROR(ROWS(_xlfn._xlws.FILTER(
   DRG_Status!$A$2:$A$100000,
   (DRG_Status!$D$2:$D$100000=S_Curve_Data!F83) *
   (DRG_Status!$B$2:$B$100000=S_Curve_Data!$F$1)
)),0)/$G$1</f>
        <v>0</v>
      </c>
      <c r="I83" s="24" cm="1">
        <f t="array" ref="I83">IFERROR(ROWS(_xlfn._xlws.FILTER(
   DRG_Status!$A$2:$A$100000,
   (DRG_Status!$E$2:$E$100000=S_Curve_Data!F83) *
   (DRG_Status!$B$2:$B$100000=S_Curve_Data!$F$1)
)),0)/$G$1</f>
        <v>0</v>
      </c>
      <c r="J83" s="24" cm="1">
        <f t="array" ref="J83">IFERROR(ROWS(_xlfn._xlws.FILTER(
   DRG_Status!$A$2:$A$100000,
   (DRG_Status!$F$2:$F$100000=S_Curve_Data!F83) *
   (DRG_Status!$B$2:$B$100000=S_Curve_Data!$F$1)
)),0)/$G$1</f>
        <v>0</v>
      </c>
      <c r="M83" s="18">
        <f>Mappings!B82</f>
        <v>46223</v>
      </c>
      <c r="N83" s="24" cm="1">
        <f t="array" ref="N83">IFERROR(ROWS(_xlfn._xlws.FILTER(
   DRG_Status!$A$2:$A$100000,
   (DRG_Status!$C$2:$C$100000=S_Curve_Data!M83) *
   (DRG_Status!$B$2:$B$100000=S_Curve_Data!$M$1)
)),0)/$N$1</f>
        <v>0</v>
      </c>
      <c r="O83" s="24" cm="1">
        <f t="array" ref="O83">IFERROR(ROWS(_xlfn._xlws.FILTER(
   DRG_Status!$A$2:$A$100000,
   (DRG_Status!$D$2:$D$100000=S_Curve_Data!M83) *
   (DRG_Status!$B$2:$B$100000=S_Curve_Data!$M$1)
)),0)/$N$1</f>
        <v>0</v>
      </c>
      <c r="P83" s="24" cm="1">
        <f t="array" ref="P83">IFERROR(ROWS(_xlfn._xlws.FILTER(
   DRG_Status!$A$2:$A$100000,
   (DRG_Status!$E$2:$E$100000=S_Curve_Data!M83) *
   (DRG_Status!$B$2:$B$100000=S_Curve_Data!$M$1)
)),0)/$N$1</f>
        <v>0</v>
      </c>
      <c r="Q83" s="24" cm="1">
        <f t="array" ref="Q83">IFERROR(ROWS(_xlfn._xlws.FILTER(
   DRG_Status!$A$2:$A$100000,
   (DRG_Status!$F$2:$F$100000=S_Curve_Data!M83) *
   (DRG_Status!$B$2:$B$100000=S_Curve_Data!$M$1)
)),0)/$N$1</f>
        <v>0</v>
      </c>
      <c r="T83" s="18">
        <f>Mappings!B82</f>
        <v>46223</v>
      </c>
      <c r="U83" s="24" cm="1">
        <f t="array" ref="U83">IFERROR(ROWS(_xlfn._xlws.FILTER(
   DRG_Status!$A$2:$A$100000,
   (DRG_Status!$C$2:$C$100000=S_Curve_Data!T83) *
   (DRG_Status!$B$2:$B$100000=S_Curve_Data!$T$1)
)),0)/$U$1</f>
        <v>0</v>
      </c>
      <c r="V83" s="24" cm="1">
        <f t="array" ref="V83">IFERROR(ROWS(_xlfn._xlws.FILTER(
   DRG_Status!$A$2:$A$100000,
   (DRG_Status!$D$2:$D$100000=S_Curve_Data!T83) *
   (DRG_Status!$B$2:$B$100000=S_Curve_Data!$T$1)
)),0)/$U$1</f>
        <v>0</v>
      </c>
      <c r="W83" s="24" cm="1">
        <f t="array" ref="W83">IFERROR(ROWS(_xlfn._xlws.FILTER(
   DRG_Status!$A$2:$A$100000,
   (DRG_Status!$E$2:$E$100000=S_Curve_Data!T83) *
   (DRG_Status!$B$2:$B$100000=S_Curve_Data!$T$1)
)),0)/$U$1</f>
        <v>0</v>
      </c>
      <c r="X83" s="24" cm="1">
        <f t="array" ref="X83">IFERROR(ROWS(_xlfn._xlws.FILTER(
   DRG_Status!$A$2:$A$100000,
   (DRG_Status!$F$2:$F$100000=S_Curve_Data!T83) *
   (DRG_Status!$B$2:$B$100000=S_Curve_Data!$T$1)
)),0)/$U$1</f>
        <v>0</v>
      </c>
    </row>
    <row r="84" spans="6:24">
      <c r="F84" s="18">
        <f>Mappings!B83</f>
        <v>46230</v>
      </c>
      <c r="G84" s="24" cm="1">
        <f t="array" ref="G84">IFERROR(ROWS(_xlfn._xlws.FILTER(
   DRG_Status!$A$2:$A$100000,
   (DRG_Status!$C$2:$C$100000=S_Curve_Data!F84) *
   (DRG_Status!$B$2:$B$100000=S_Curve_Data!$F$1)
)),0)/$G$1</f>
        <v>0</v>
      </c>
      <c r="H84" s="24" cm="1">
        <f t="array" ref="H84">IFERROR(ROWS(_xlfn._xlws.FILTER(
   DRG_Status!$A$2:$A$100000,
   (DRG_Status!$D$2:$D$100000=S_Curve_Data!F84) *
   (DRG_Status!$B$2:$B$100000=S_Curve_Data!$F$1)
)),0)/$G$1</f>
        <v>0</v>
      </c>
      <c r="I84" s="24" cm="1">
        <f t="array" ref="I84">IFERROR(ROWS(_xlfn._xlws.FILTER(
   DRG_Status!$A$2:$A$100000,
   (DRG_Status!$E$2:$E$100000=S_Curve_Data!F84) *
   (DRG_Status!$B$2:$B$100000=S_Curve_Data!$F$1)
)),0)/$G$1</f>
        <v>0</v>
      </c>
      <c r="J84" s="24" cm="1">
        <f t="array" ref="J84">IFERROR(ROWS(_xlfn._xlws.FILTER(
   DRG_Status!$A$2:$A$100000,
   (DRG_Status!$F$2:$F$100000=S_Curve_Data!F84) *
   (DRG_Status!$B$2:$B$100000=S_Curve_Data!$F$1)
)),0)/$G$1</f>
        <v>0</v>
      </c>
      <c r="M84" s="18">
        <f>Mappings!B83</f>
        <v>46230</v>
      </c>
      <c r="N84" s="24" cm="1">
        <f t="array" ref="N84">IFERROR(ROWS(_xlfn._xlws.FILTER(
   DRG_Status!$A$2:$A$100000,
   (DRG_Status!$C$2:$C$100000=S_Curve_Data!M84) *
   (DRG_Status!$B$2:$B$100000=S_Curve_Data!$M$1)
)),0)/$N$1</f>
        <v>0</v>
      </c>
      <c r="O84" s="24" cm="1">
        <f t="array" ref="O84">IFERROR(ROWS(_xlfn._xlws.FILTER(
   DRG_Status!$A$2:$A$100000,
   (DRG_Status!$D$2:$D$100000=S_Curve_Data!M84) *
   (DRG_Status!$B$2:$B$100000=S_Curve_Data!$M$1)
)),0)/$N$1</f>
        <v>0</v>
      </c>
      <c r="P84" s="24" cm="1">
        <f t="array" ref="P84">IFERROR(ROWS(_xlfn._xlws.FILTER(
   DRG_Status!$A$2:$A$100000,
   (DRG_Status!$E$2:$E$100000=S_Curve_Data!M84) *
   (DRG_Status!$B$2:$B$100000=S_Curve_Data!$M$1)
)),0)/$N$1</f>
        <v>0</v>
      </c>
      <c r="Q84" s="24" cm="1">
        <f t="array" ref="Q84">IFERROR(ROWS(_xlfn._xlws.FILTER(
   DRG_Status!$A$2:$A$100000,
   (DRG_Status!$F$2:$F$100000=S_Curve_Data!M84) *
   (DRG_Status!$B$2:$B$100000=S_Curve_Data!$M$1)
)),0)/$N$1</f>
        <v>0</v>
      </c>
      <c r="T84" s="18">
        <f>Mappings!B83</f>
        <v>46230</v>
      </c>
      <c r="U84" s="24" cm="1">
        <f t="array" ref="U84">IFERROR(ROWS(_xlfn._xlws.FILTER(
   DRG_Status!$A$2:$A$100000,
   (DRG_Status!$C$2:$C$100000=S_Curve_Data!T84) *
   (DRG_Status!$B$2:$B$100000=S_Curve_Data!$T$1)
)),0)/$U$1</f>
        <v>0</v>
      </c>
      <c r="V84" s="24" cm="1">
        <f t="array" ref="V84">IFERROR(ROWS(_xlfn._xlws.FILTER(
   DRG_Status!$A$2:$A$100000,
   (DRG_Status!$D$2:$D$100000=S_Curve_Data!T84) *
   (DRG_Status!$B$2:$B$100000=S_Curve_Data!$T$1)
)),0)/$U$1</f>
        <v>0</v>
      </c>
      <c r="W84" s="24" cm="1">
        <f t="array" ref="W84">IFERROR(ROWS(_xlfn._xlws.FILTER(
   DRG_Status!$A$2:$A$100000,
   (DRG_Status!$E$2:$E$100000=S_Curve_Data!T84) *
   (DRG_Status!$B$2:$B$100000=S_Curve_Data!$T$1)
)),0)/$U$1</f>
        <v>0</v>
      </c>
      <c r="X84" s="24" cm="1">
        <f t="array" ref="X84">IFERROR(ROWS(_xlfn._xlws.FILTER(
   DRG_Status!$A$2:$A$100000,
   (DRG_Status!$F$2:$F$100000=S_Curve_Data!T84) *
   (DRG_Status!$B$2:$B$100000=S_Curve_Data!$T$1)
)),0)/$U$1</f>
        <v>0</v>
      </c>
    </row>
    <row r="85" spans="6:24">
      <c r="F85" s="18">
        <f>Mappings!B84</f>
        <v>46237</v>
      </c>
      <c r="G85" s="24" cm="1">
        <f t="array" ref="G85">IFERROR(ROWS(_xlfn._xlws.FILTER(
   DRG_Status!$A$2:$A$100000,
   (DRG_Status!$C$2:$C$100000=S_Curve_Data!F85) *
   (DRG_Status!$B$2:$B$100000=S_Curve_Data!$F$1)
)),0)/$G$1</f>
        <v>0</v>
      </c>
      <c r="H85" s="24" cm="1">
        <f t="array" ref="H85">IFERROR(ROWS(_xlfn._xlws.FILTER(
   DRG_Status!$A$2:$A$100000,
   (DRG_Status!$D$2:$D$100000=S_Curve_Data!F85) *
   (DRG_Status!$B$2:$B$100000=S_Curve_Data!$F$1)
)),0)/$G$1</f>
        <v>0</v>
      </c>
      <c r="I85" s="24" cm="1">
        <f t="array" ref="I85">IFERROR(ROWS(_xlfn._xlws.FILTER(
   DRG_Status!$A$2:$A$100000,
   (DRG_Status!$E$2:$E$100000=S_Curve_Data!F85) *
   (DRG_Status!$B$2:$B$100000=S_Curve_Data!$F$1)
)),0)/$G$1</f>
        <v>0</v>
      </c>
      <c r="J85" s="24" cm="1">
        <f t="array" ref="J85">IFERROR(ROWS(_xlfn._xlws.FILTER(
   DRG_Status!$A$2:$A$100000,
   (DRG_Status!$F$2:$F$100000=S_Curve_Data!F85) *
   (DRG_Status!$B$2:$B$100000=S_Curve_Data!$F$1)
)),0)/$G$1</f>
        <v>0</v>
      </c>
      <c r="M85" s="18">
        <f>Mappings!B84</f>
        <v>46237</v>
      </c>
      <c r="N85" s="24" cm="1">
        <f t="array" ref="N85">IFERROR(ROWS(_xlfn._xlws.FILTER(
   DRG_Status!$A$2:$A$100000,
   (DRG_Status!$C$2:$C$100000=S_Curve_Data!M85) *
   (DRG_Status!$B$2:$B$100000=S_Curve_Data!$M$1)
)),0)/$N$1</f>
        <v>0</v>
      </c>
      <c r="O85" s="24" cm="1">
        <f t="array" ref="O85">IFERROR(ROWS(_xlfn._xlws.FILTER(
   DRG_Status!$A$2:$A$100000,
   (DRG_Status!$D$2:$D$100000=S_Curve_Data!M85) *
   (DRG_Status!$B$2:$B$100000=S_Curve_Data!$M$1)
)),0)/$N$1</f>
        <v>0</v>
      </c>
      <c r="P85" s="24" cm="1">
        <f t="array" ref="P85">IFERROR(ROWS(_xlfn._xlws.FILTER(
   DRG_Status!$A$2:$A$100000,
   (DRG_Status!$E$2:$E$100000=S_Curve_Data!M85) *
   (DRG_Status!$B$2:$B$100000=S_Curve_Data!$M$1)
)),0)/$N$1</f>
        <v>0</v>
      </c>
      <c r="Q85" s="24" cm="1">
        <f t="array" ref="Q85">IFERROR(ROWS(_xlfn._xlws.FILTER(
   DRG_Status!$A$2:$A$100000,
   (DRG_Status!$F$2:$F$100000=S_Curve_Data!M85) *
   (DRG_Status!$B$2:$B$100000=S_Curve_Data!$M$1)
)),0)/$N$1</f>
        <v>0</v>
      </c>
      <c r="T85" s="18">
        <f>Mappings!B84</f>
        <v>46237</v>
      </c>
      <c r="U85" s="24" cm="1">
        <f t="array" ref="U85">IFERROR(ROWS(_xlfn._xlws.FILTER(
   DRG_Status!$A$2:$A$100000,
   (DRG_Status!$C$2:$C$100000=S_Curve_Data!T85) *
   (DRG_Status!$B$2:$B$100000=S_Curve_Data!$T$1)
)),0)/$U$1</f>
        <v>0</v>
      </c>
      <c r="V85" s="24" cm="1">
        <f t="array" ref="V85">IFERROR(ROWS(_xlfn._xlws.FILTER(
   DRG_Status!$A$2:$A$100000,
   (DRG_Status!$D$2:$D$100000=S_Curve_Data!T85) *
   (DRG_Status!$B$2:$B$100000=S_Curve_Data!$T$1)
)),0)/$U$1</f>
        <v>0</v>
      </c>
      <c r="W85" s="24" cm="1">
        <f t="array" ref="W85">IFERROR(ROWS(_xlfn._xlws.FILTER(
   DRG_Status!$A$2:$A$100000,
   (DRG_Status!$E$2:$E$100000=S_Curve_Data!T85) *
   (DRG_Status!$B$2:$B$100000=S_Curve_Data!$T$1)
)),0)/$U$1</f>
        <v>0</v>
      </c>
      <c r="X85" s="24" cm="1">
        <f t="array" ref="X85">IFERROR(ROWS(_xlfn._xlws.FILTER(
   DRG_Status!$A$2:$A$100000,
   (DRG_Status!$F$2:$F$100000=S_Curve_Data!T85) *
   (DRG_Status!$B$2:$B$100000=S_Curve_Data!$T$1)
)),0)/$U$1</f>
        <v>0</v>
      </c>
    </row>
    <row r="86" spans="6:24">
      <c r="F86" s="18">
        <f>Mappings!B85</f>
        <v>46244</v>
      </c>
      <c r="G86" s="24" cm="1">
        <f t="array" ref="G86">IFERROR(ROWS(_xlfn._xlws.FILTER(
   DRG_Status!$A$2:$A$100000,
   (DRG_Status!$C$2:$C$100000=S_Curve_Data!F86) *
   (DRG_Status!$B$2:$B$100000=S_Curve_Data!$F$1)
)),0)/$G$1</f>
        <v>0</v>
      </c>
      <c r="H86" s="24" cm="1">
        <f t="array" ref="H86">IFERROR(ROWS(_xlfn._xlws.FILTER(
   DRG_Status!$A$2:$A$100000,
   (DRG_Status!$D$2:$D$100000=S_Curve_Data!F86) *
   (DRG_Status!$B$2:$B$100000=S_Curve_Data!$F$1)
)),0)/$G$1</f>
        <v>0</v>
      </c>
      <c r="I86" s="24" cm="1">
        <f t="array" ref="I86">IFERROR(ROWS(_xlfn._xlws.FILTER(
   DRG_Status!$A$2:$A$100000,
   (DRG_Status!$E$2:$E$100000=S_Curve_Data!F86) *
   (DRG_Status!$B$2:$B$100000=S_Curve_Data!$F$1)
)),0)/$G$1</f>
        <v>0</v>
      </c>
      <c r="J86" s="24" cm="1">
        <f t="array" ref="J86">IFERROR(ROWS(_xlfn._xlws.FILTER(
   DRG_Status!$A$2:$A$100000,
   (DRG_Status!$F$2:$F$100000=S_Curve_Data!F86) *
   (DRG_Status!$B$2:$B$100000=S_Curve_Data!$F$1)
)),0)/$G$1</f>
        <v>0</v>
      </c>
      <c r="M86" s="18">
        <f>Mappings!B85</f>
        <v>46244</v>
      </c>
      <c r="N86" s="24" cm="1">
        <f t="array" ref="N86">IFERROR(ROWS(_xlfn._xlws.FILTER(
   DRG_Status!$A$2:$A$100000,
   (DRG_Status!$C$2:$C$100000=S_Curve_Data!M86) *
   (DRG_Status!$B$2:$B$100000=S_Curve_Data!$M$1)
)),0)/$N$1</f>
        <v>0</v>
      </c>
      <c r="O86" s="24" cm="1">
        <f t="array" ref="O86">IFERROR(ROWS(_xlfn._xlws.FILTER(
   DRG_Status!$A$2:$A$100000,
   (DRG_Status!$D$2:$D$100000=S_Curve_Data!M86) *
   (DRG_Status!$B$2:$B$100000=S_Curve_Data!$M$1)
)),0)/$N$1</f>
        <v>0</v>
      </c>
      <c r="P86" s="24" cm="1">
        <f t="array" ref="P86">IFERROR(ROWS(_xlfn._xlws.FILTER(
   DRG_Status!$A$2:$A$100000,
   (DRG_Status!$E$2:$E$100000=S_Curve_Data!M86) *
   (DRG_Status!$B$2:$B$100000=S_Curve_Data!$M$1)
)),0)/$N$1</f>
        <v>0</v>
      </c>
      <c r="Q86" s="24" cm="1">
        <f t="array" ref="Q86">IFERROR(ROWS(_xlfn._xlws.FILTER(
   DRG_Status!$A$2:$A$100000,
   (DRG_Status!$F$2:$F$100000=S_Curve_Data!M86) *
   (DRG_Status!$B$2:$B$100000=S_Curve_Data!$M$1)
)),0)/$N$1</f>
        <v>0</v>
      </c>
      <c r="T86" s="18">
        <f>Mappings!B85</f>
        <v>46244</v>
      </c>
      <c r="U86" s="24" cm="1">
        <f t="array" ref="U86">IFERROR(ROWS(_xlfn._xlws.FILTER(
   DRG_Status!$A$2:$A$100000,
   (DRG_Status!$C$2:$C$100000=S_Curve_Data!T86) *
   (DRG_Status!$B$2:$B$100000=S_Curve_Data!$T$1)
)),0)/$U$1</f>
        <v>0</v>
      </c>
      <c r="V86" s="24" cm="1">
        <f t="array" ref="V86">IFERROR(ROWS(_xlfn._xlws.FILTER(
   DRG_Status!$A$2:$A$100000,
   (DRG_Status!$D$2:$D$100000=S_Curve_Data!T86) *
   (DRG_Status!$B$2:$B$100000=S_Curve_Data!$T$1)
)),0)/$U$1</f>
        <v>0</v>
      </c>
      <c r="W86" s="24" cm="1">
        <f t="array" ref="W86">IFERROR(ROWS(_xlfn._xlws.FILTER(
   DRG_Status!$A$2:$A$100000,
   (DRG_Status!$E$2:$E$100000=S_Curve_Data!T86) *
   (DRG_Status!$B$2:$B$100000=S_Curve_Data!$T$1)
)),0)/$U$1</f>
        <v>0</v>
      </c>
      <c r="X86" s="24" cm="1">
        <f t="array" ref="X86">IFERROR(ROWS(_xlfn._xlws.FILTER(
   DRG_Status!$A$2:$A$100000,
   (DRG_Status!$F$2:$F$100000=S_Curve_Data!T86) *
   (DRG_Status!$B$2:$B$100000=S_Curve_Data!$T$1)
)),0)/$U$1</f>
        <v>0</v>
      </c>
    </row>
    <row r="87" spans="6:24">
      <c r="F87" s="18">
        <f>Mappings!B86</f>
        <v>46251</v>
      </c>
      <c r="G87" s="24" cm="1">
        <f t="array" ref="G87">IFERROR(ROWS(_xlfn._xlws.FILTER(
   DRG_Status!$A$2:$A$100000,
   (DRG_Status!$C$2:$C$100000=S_Curve_Data!F87) *
   (DRG_Status!$B$2:$B$100000=S_Curve_Data!$F$1)
)),0)/$G$1</f>
        <v>0</v>
      </c>
      <c r="H87" s="24" cm="1">
        <f t="array" ref="H87">IFERROR(ROWS(_xlfn._xlws.FILTER(
   DRG_Status!$A$2:$A$100000,
   (DRG_Status!$D$2:$D$100000=S_Curve_Data!F87) *
   (DRG_Status!$B$2:$B$100000=S_Curve_Data!$F$1)
)),0)/$G$1</f>
        <v>0</v>
      </c>
      <c r="I87" s="24" cm="1">
        <f t="array" ref="I87">IFERROR(ROWS(_xlfn._xlws.FILTER(
   DRG_Status!$A$2:$A$100000,
   (DRG_Status!$E$2:$E$100000=S_Curve_Data!F87) *
   (DRG_Status!$B$2:$B$100000=S_Curve_Data!$F$1)
)),0)/$G$1</f>
        <v>0</v>
      </c>
      <c r="J87" s="24" cm="1">
        <f t="array" ref="J87">IFERROR(ROWS(_xlfn._xlws.FILTER(
   DRG_Status!$A$2:$A$100000,
   (DRG_Status!$F$2:$F$100000=S_Curve_Data!F87) *
   (DRG_Status!$B$2:$B$100000=S_Curve_Data!$F$1)
)),0)/$G$1</f>
        <v>0</v>
      </c>
      <c r="M87" s="18">
        <f>Mappings!B86</f>
        <v>46251</v>
      </c>
      <c r="N87" s="24" cm="1">
        <f t="array" ref="N87">IFERROR(ROWS(_xlfn._xlws.FILTER(
   DRG_Status!$A$2:$A$100000,
   (DRG_Status!$C$2:$C$100000=S_Curve_Data!M87) *
   (DRG_Status!$B$2:$B$100000=S_Curve_Data!$M$1)
)),0)/$N$1</f>
        <v>0</v>
      </c>
      <c r="O87" s="24" cm="1">
        <f t="array" ref="O87">IFERROR(ROWS(_xlfn._xlws.FILTER(
   DRG_Status!$A$2:$A$100000,
   (DRG_Status!$D$2:$D$100000=S_Curve_Data!M87) *
   (DRG_Status!$B$2:$B$100000=S_Curve_Data!$M$1)
)),0)/$N$1</f>
        <v>0</v>
      </c>
      <c r="P87" s="24" cm="1">
        <f t="array" ref="P87">IFERROR(ROWS(_xlfn._xlws.FILTER(
   DRG_Status!$A$2:$A$100000,
   (DRG_Status!$E$2:$E$100000=S_Curve_Data!M87) *
   (DRG_Status!$B$2:$B$100000=S_Curve_Data!$M$1)
)),0)/$N$1</f>
        <v>0</v>
      </c>
      <c r="Q87" s="24" cm="1">
        <f t="array" ref="Q87">IFERROR(ROWS(_xlfn._xlws.FILTER(
   DRG_Status!$A$2:$A$100000,
   (DRG_Status!$F$2:$F$100000=S_Curve_Data!M87) *
   (DRG_Status!$B$2:$B$100000=S_Curve_Data!$M$1)
)),0)/$N$1</f>
        <v>0</v>
      </c>
      <c r="T87" s="18">
        <f>Mappings!B86</f>
        <v>46251</v>
      </c>
      <c r="U87" s="24" cm="1">
        <f t="array" ref="U87">IFERROR(ROWS(_xlfn._xlws.FILTER(
   DRG_Status!$A$2:$A$100000,
   (DRG_Status!$C$2:$C$100000=S_Curve_Data!T87) *
   (DRG_Status!$B$2:$B$100000=S_Curve_Data!$T$1)
)),0)/$U$1</f>
        <v>0</v>
      </c>
      <c r="V87" s="24" cm="1">
        <f t="array" ref="V87">IFERROR(ROWS(_xlfn._xlws.FILTER(
   DRG_Status!$A$2:$A$100000,
   (DRG_Status!$D$2:$D$100000=S_Curve_Data!T87) *
   (DRG_Status!$B$2:$B$100000=S_Curve_Data!$T$1)
)),0)/$U$1</f>
        <v>0</v>
      </c>
      <c r="W87" s="24" cm="1">
        <f t="array" ref="W87">IFERROR(ROWS(_xlfn._xlws.FILTER(
   DRG_Status!$A$2:$A$100000,
   (DRG_Status!$E$2:$E$100000=S_Curve_Data!T87) *
   (DRG_Status!$B$2:$B$100000=S_Curve_Data!$T$1)
)),0)/$U$1</f>
        <v>0</v>
      </c>
      <c r="X87" s="24" cm="1">
        <f t="array" ref="X87">IFERROR(ROWS(_xlfn._xlws.FILTER(
   DRG_Status!$A$2:$A$100000,
   (DRG_Status!$F$2:$F$100000=S_Curve_Data!T87) *
   (DRG_Status!$B$2:$B$100000=S_Curve_Data!$T$1)
)),0)/$U$1</f>
        <v>0</v>
      </c>
    </row>
    <row r="88" spans="6:24">
      <c r="F88" s="18">
        <f>Mappings!B87</f>
        <v>46258</v>
      </c>
      <c r="G88" s="24" cm="1">
        <f t="array" ref="G88">IFERROR(ROWS(_xlfn._xlws.FILTER(
   DRG_Status!$A$2:$A$100000,
   (DRG_Status!$C$2:$C$100000=S_Curve_Data!F88) *
   (DRG_Status!$B$2:$B$100000=S_Curve_Data!$F$1)
)),0)/$G$1</f>
        <v>0</v>
      </c>
      <c r="H88" s="24" cm="1">
        <f t="array" ref="H88">IFERROR(ROWS(_xlfn._xlws.FILTER(
   DRG_Status!$A$2:$A$100000,
   (DRG_Status!$D$2:$D$100000=S_Curve_Data!F88) *
   (DRG_Status!$B$2:$B$100000=S_Curve_Data!$F$1)
)),0)/$G$1</f>
        <v>0</v>
      </c>
      <c r="I88" s="24" cm="1">
        <f t="array" ref="I88">IFERROR(ROWS(_xlfn._xlws.FILTER(
   DRG_Status!$A$2:$A$100000,
   (DRG_Status!$E$2:$E$100000=S_Curve_Data!F88) *
   (DRG_Status!$B$2:$B$100000=S_Curve_Data!$F$1)
)),0)/$G$1</f>
        <v>0</v>
      </c>
      <c r="J88" s="24" cm="1">
        <f t="array" ref="J88">IFERROR(ROWS(_xlfn._xlws.FILTER(
   DRG_Status!$A$2:$A$100000,
   (DRG_Status!$F$2:$F$100000=S_Curve_Data!F88) *
   (DRG_Status!$B$2:$B$100000=S_Curve_Data!$F$1)
)),0)/$G$1</f>
        <v>0</v>
      </c>
      <c r="M88" s="18">
        <f>Mappings!B87</f>
        <v>46258</v>
      </c>
      <c r="N88" s="24" cm="1">
        <f t="array" ref="N88">IFERROR(ROWS(_xlfn._xlws.FILTER(
   DRG_Status!$A$2:$A$100000,
   (DRG_Status!$C$2:$C$100000=S_Curve_Data!M88) *
   (DRG_Status!$B$2:$B$100000=S_Curve_Data!$M$1)
)),0)/$N$1</f>
        <v>0</v>
      </c>
      <c r="O88" s="24" cm="1">
        <f t="array" ref="O88">IFERROR(ROWS(_xlfn._xlws.FILTER(
   DRG_Status!$A$2:$A$100000,
   (DRG_Status!$D$2:$D$100000=S_Curve_Data!M88) *
   (DRG_Status!$B$2:$B$100000=S_Curve_Data!$M$1)
)),0)/$N$1</f>
        <v>0</v>
      </c>
      <c r="P88" s="24" cm="1">
        <f t="array" ref="P88">IFERROR(ROWS(_xlfn._xlws.FILTER(
   DRG_Status!$A$2:$A$100000,
   (DRG_Status!$E$2:$E$100000=S_Curve_Data!M88) *
   (DRG_Status!$B$2:$B$100000=S_Curve_Data!$M$1)
)),0)/$N$1</f>
        <v>0</v>
      </c>
      <c r="Q88" s="24" cm="1">
        <f t="array" ref="Q88">IFERROR(ROWS(_xlfn._xlws.FILTER(
   DRG_Status!$A$2:$A$100000,
   (DRG_Status!$F$2:$F$100000=S_Curve_Data!M88) *
   (DRG_Status!$B$2:$B$100000=S_Curve_Data!$M$1)
)),0)/$N$1</f>
        <v>0</v>
      </c>
      <c r="T88" s="18">
        <f>Mappings!B87</f>
        <v>46258</v>
      </c>
      <c r="U88" s="24" cm="1">
        <f t="array" ref="U88">IFERROR(ROWS(_xlfn._xlws.FILTER(
   DRG_Status!$A$2:$A$100000,
   (DRG_Status!$C$2:$C$100000=S_Curve_Data!T88) *
   (DRG_Status!$B$2:$B$100000=S_Curve_Data!$T$1)
)),0)/$U$1</f>
        <v>0</v>
      </c>
      <c r="V88" s="24" cm="1">
        <f t="array" ref="V88">IFERROR(ROWS(_xlfn._xlws.FILTER(
   DRG_Status!$A$2:$A$100000,
   (DRG_Status!$D$2:$D$100000=S_Curve_Data!T88) *
   (DRG_Status!$B$2:$B$100000=S_Curve_Data!$T$1)
)),0)/$U$1</f>
        <v>0</v>
      </c>
      <c r="W88" s="24" cm="1">
        <f t="array" ref="W88">IFERROR(ROWS(_xlfn._xlws.FILTER(
   DRG_Status!$A$2:$A$100000,
   (DRG_Status!$E$2:$E$100000=S_Curve_Data!T88) *
   (DRG_Status!$B$2:$B$100000=S_Curve_Data!$T$1)
)),0)/$U$1</f>
        <v>0</v>
      </c>
      <c r="X88" s="24" cm="1">
        <f t="array" ref="X88">IFERROR(ROWS(_xlfn._xlws.FILTER(
   DRG_Status!$A$2:$A$100000,
   (DRG_Status!$F$2:$F$100000=S_Curve_Data!T88) *
   (DRG_Status!$B$2:$B$100000=S_Curve_Data!$T$1)
)),0)/$U$1</f>
        <v>0</v>
      </c>
    </row>
    <row r="89" spans="6:24">
      <c r="F89" s="18">
        <f>Mappings!B88</f>
        <v>46265</v>
      </c>
      <c r="G89" s="24" cm="1">
        <f t="array" ref="G89">IFERROR(ROWS(_xlfn._xlws.FILTER(
   DRG_Status!$A$2:$A$100000,
   (DRG_Status!$C$2:$C$100000=S_Curve_Data!F89) *
   (DRG_Status!$B$2:$B$100000=S_Curve_Data!$F$1)
)),0)/$G$1</f>
        <v>0</v>
      </c>
      <c r="H89" s="24" cm="1">
        <f t="array" ref="H89">IFERROR(ROWS(_xlfn._xlws.FILTER(
   DRG_Status!$A$2:$A$100000,
   (DRG_Status!$D$2:$D$100000=S_Curve_Data!F89) *
   (DRG_Status!$B$2:$B$100000=S_Curve_Data!$F$1)
)),0)/$G$1</f>
        <v>0</v>
      </c>
      <c r="I89" s="24" cm="1">
        <f t="array" ref="I89">IFERROR(ROWS(_xlfn._xlws.FILTER(
   DRG_Status!$A$2:$A$100000,
   (DRG_Status!$E$2:$E$100000=S_Curve_Data!F89) *
   (DRG_Status!$B$2:$B$100000=S_Curve_Data!$F$1)
)),0)/$G$1</f>
        <v>0</v>
      </c>
      <c r="J89" s="24" cm="1">
        <f t="array" ref="J89">IFERROR(ROWS(_xlfn._xlws.FILTER(
   DRG_Status!$A$2:$A$100000,
   (DRG_Status!$F$2:$F$100000=S_Curve_Data!F89) *
   (DRG_Status!$B$2:$B$100000=S_Curve_Data!$F$1)
)),0)/$G$1</f>
        <v>0</v>
      </c>
      <c r="M89" s="18">
        <f>Mappings!B88</f>
        <v>46265</v>
      </c>
      <c r="N89" s="24" cm="1">
        <f t="array" ref="N89">IFERROR(ROWS(_xlfn._xlws.FILTER(
   DRG_Status!$A$2:$A$100000,
   (DRG_Status!$C$2:$C$100000=S_Curve_Data!M89) *
   (DRG_Status!$B$2:$B$100000=S_Curve_Data!$M$1)
)),0)/$N$1</f>
        <v>0</v>
      </c>
      <c r="O89" s="24" cm="1">
        <f t="array" ref="O89">IFERROR(ROWS(_xlfn._xlws.FILTER(
   DRG_Status!$A$2:$A$100000,
   (DRG_Status!$D$2:$D$100000=S_Curve_Data!M89) *
   (DRG_Status!$B$2:$B$100000=S_Curve_Data!$M$1)
)),0)/$N$1</f>
        <v>0</v>
      </c>
      <c r="P89" s="24" cm="1">
        <f t="array" ref="P89">IFERROR(ROWS(_xlfn._xlws.FILTER(
   DRG_Status!$A$2:$A$100000,
   (DRG_Status!$E$2:$E$100000=S_Curve_Data!M89) *
   (DRG_Status!$B$2:$B$100000=S_Curve_Data!$M$1)
)),0)/$N$1</f>
        <v>0</v>
      </c>
      <c r="Q89" s="24" cm="1">
        <f t="array" ref="Q89">IFERROR(ROWS(_xlfn._xlws.FILTER(
   DRG_Status!$A$2:$A$100000,
   (DRG_Status!$F$2:$F$100000=S_Curve_Data!M89) *
   (DRG_Status!$B$2:$B$100000=S_Curve_Data!$M$1)
)),0)/$N$1</f>
        <v>0</v>
      </c>
      <c r="T89" s="18">
        <f>Mappings!B88</f>
        <v>46265</v>
      </c>
      <c r="U89" s="24" cm="1">
        <f t="array" ref="U89">IFERROR(ROWS(_xlfn._xlws.FILTER(
   DRG_Status!$A$2:$A$100000,
   (DRG_Status!$C$2:$C$100000=S_Curve_Data!T89) *
   (DRG_Status!$B$2:$B$100000=S_Curve_Data!$T$1)
)),0)/$U$1</f>
        <v>0</v>
      </c>
      <c r="V89" s="24" cm="1">
        <f t="array" ref="V89">IFERROR(ROWS(_xlfn._xlws.FILTER(
   DRG_Status!$A$2:$A$100000,
   (DRG_Status!$D$2:$D$100000=S_Curve_Data!T89) *
   (DRG_Status!$B$2:$B$100000=S_Curve_Data!$T$1)
)),0)/$U$1</f>
        <v>0</v>
      </c>
      <c r="W89" s="24" cm="1">
        <f t="array" ref="W89">IFERROR(ROWS(_xlfn._xlws.FILTER(
   DRG_Status!$A$2:$A$100000,
   (DRG_Status!$E$2:$E$100000=S_Curve_Data!T89) *
   (DRG_Status!$B$2:$B$100000=S_Curve_Data!$T$1)
)),0)/$U$1</f>
        <v>0</v>
      </c>
      <c r="X89" s="24" cm="1">
        <f t="array" ref="X89">IFERROR(ROWS(_xlfn._xlws.FILTER(
   DRG_Status!$A$2:$A$100000,
   (DRG_Status!$F$2:$F$100000=S_Curve_Data!T89) *
   (DRG_Status!$B$2:$B$100000=S_Curve_Data!$T$1)
)),0)/$U$1</f>
        <v>0</v>
      </c>
    </row>
    <row r="90" spans="6:24">
      <c r="F90" s="1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76576-1BA0-41E1-893B-7F9147F43551}">
  <dimension ref="A1:F1024"/>
  <sheetViews>
    <sheetView tabSelected="1" workbookViewId="0">
      <selection activeCell="J14" sqref="J14"/>
    </sheetView>
  </sheetViews>
  <sheetFormatPr defaultRowHeight="14.5"/>
  <cols>
    <col min="2" max="2" width="9.54296875" bestFit="1" customWidth="1"/>
    <col min="5" max="5" width="13.1796875" bestFit="1" customWidth="1"/>
  </cols>
  <sheetData>
    <row r="1" spans="1:6">
      <c r="A1" t="s">
        <v>1103</v>
      </c>
      <c r="B1" t="s">
        <v>1108</v>
      </c>
      <c r="E1" t="s">
        <v>1139</v>
      </c>
      <c r="F1" t="s">
        <v>1140</v>
      </c>
    </row>
    <row r="2" spans="1:6">
      <c r="B2" s="17">
        <v>45663</v>
      </c>
      <c r="E2">
        <v>1</v>
      </c>
      <c r="F2" t="s">
        <v>1124</v>
      </c>
    </row>
    <row r="3" spans="1:6">
      <c r="B3" s="17">
        <f>B2+7-WEEKDAY(B2,2)+1</f>
        <v>45670</v>
      </c>
      <c r="E3">
        <v>2</v>
      </c>
      <c r="F3" t="s">
        <v>1143</v>
      </c>
    </row>
    <row r="4" spans="1:6">
      <c r="B4" s="17">
        <f t="shared" ref="B4:B67" si="0">B3+7-WEEKDAY(B3,2)+1</f>
        <v>45677</v>
      </c>
      <c r="E4">
        <v>3</v>
      </c>
      <c r="F4" t="s">
        <v>1144</v>
      </c>
    </row>
    <row r="5" spans="1:6">
      <c r="B5" s="17">
        <f t="shared" si="0"/>
        <v>45684</v>
      </c>
      <c r="E5" t="s">
        <v>1141</v>
      </c>
      <c r="F5" t="s">
        <v>1145</v>
      </c>
    </row>
    <row r="6" spans="1:6">
      <c r="B6" s="17">
        <f t="shared" si="0"/>
        <v>45691</v>
      </c>
      <c r="E6" t="s">
        <v>1142</v>
      </c>
      <c r="F6" t="s">
        <v>1146</v>
      </c>
    </row>
    <row r="7" spans="1:6">
      <c r="B7" s="17">
        <f t="shared" si="0"/>
        <v>45698</v>
      </c>
    </row>
    <row r="8" spans="1:6">
      <c r="B8" s="17">
        <f t="shared" si="0"/>
        <v>45705</v>
      </c>
    </row>
    <row r="9" spans="1:6">
      <c r="B9" s="17">
        <f t="shared" si="0"/>
        <v>45712</v>
      </c>
    </row>
    <row r="10" spans="1:6">
      <c r="B10" s="17">
        <f t="shared" si="0"/>
        <v>45719</v>
      </c>
    </row>
    <row r="11" spans="1:6">
      <c r="B11" s="17">
        <f t="shared" si="0"/>
        <v>45726</v>
      </c>
    </row>
    <row r="12" spans="1:6">
      <c r="B12" s="17">
        <f t="shared" si="0"/>
        <v>45733</v>
      </c>
    </row>
    <row r="13" spans="1:6">
      <c r="B13" s="17">
        <f t="shared" si="0"/>
        <v>45740</v>
      </c>
    </row>
    <row r="14" spans="1:6">
      <c r="B14" s="17">
        <f t="shared" si="0"/>
        <v>45747</v>
      </c>
    </row>
    <row r="15" spans="1:6">
      <c r="B15" s="17">
        <f t="shared" si="0"/>
        <v>45754</v>
      </c>
    </row>
    <row r="16" spans="1:6">
      <c r="B16" s="17">
        <f t="shared" si="0"/>
        <v>45761</v>
      </c>
    </row>
    <row r="17" spans="2:2">
      <c r="B17" s="17">
        <f t="shared" si="0"/>
        <v>45768</v>
      </c>
    </row>
    <row r="18" spans="2:2">
      <c r="B18" s="17">
        <f t="shared" si="0"/>
        <v>45775</v>
      </c>
    </row>
    <row r="19" spans="2:2">
      <c r="B19" s="17">
        <f t="shared" si="0"/>
        <v>45782</v>
      </c>
    </row>
    <row r="20" spans="2:2">
      <c r="B20" s="17">
        <f t="shared" si="0"/>
        <v>45789</v>
      </c>
    </row>
    <row r="21" spans="2:2">
      <c r="B21" s="17">
        <f t="shared" si="0"/>
        <v>45796</v>
      </c>
    </row>
    <row r="22" spans="2:2">
      <c r="B22" s="17">
        <f t="shared" si="0"/>
        <v>45803</v>
      </c>
    </row>
    <row r="23" spans="2:2">
      <c r="B23" s="17">
        <f t="shared" si="0"/>
        <v>45810</v>
      </c>
    </row>
    <row r="24" spans="2:2">
      <c r="B24" s="17">
        <f t="shared" si="0"/>
        <v>45817</v>
      </c>
    </row>
    <row r="25" spans="2:2">
      <c r="B25" s="17">
        <f t="shared" si="0"/>
        <v>45824</v>
      </c>
    </row>
    <row r="26" spans="2:2">
      <c r="B26" s="17">
        <f t="shared" si="0"/>
        <v>45831</v>
      </c>
    </row>
    <row r="27" spans="2:2">
      <c r="B27" s="17">
        <f t="shared" si="0"/>
        <v>45838</v>
      </c>
    </row>
    <row r="28" spans="2:2">
      <c r="B28" s="17">
        <f t="shared" si="0"/>
        <v>45845</v>
      </c>
    </row>
    <row r="29" spans="2:2">
      <c r="B29" s="17">
        <f t="shared" si="0"/>
        <v>45852</v>
      </c>
    </row>
    <row r="30" spans="2:2">
      <c r="B30" s="17">
        <f t="shared" si="0"/>
        <v>45859</v>
      </c>
    </row>
    <row r="31" spans="2:2">
      <c r="B31" s="17">
        <f t="shared" si="0"/>
        <v>45866</v>
      </c>
    </row>
    <row r="32" spans="2:2">
      <c r="B32" s="17">
        <f t="shared" si="0"/>
        <v>45873</v>
      </c>
    </row>
    <row r="33" spans="2:2">
      <c r="B33" s="17">
        <f t="shared" si="0"/>
        <v>45880</v>
      </c>
    </row>
    <row r="34" spans="2:2">
      <c r="B34" s="17">
        <f t="shared" si="0"/>
        <v>45887</v>
      </c>
    </row>
    <row r="35" spans="2:2">
      <c r="B35" s="17">
        <f t="shared" si="0"/>
        <v>45894</v>
      </c>
    </row>
    <row r="36" spans="2:2">
      <c r="B36" s="17">
        <f t="shared" si="0"/>
        <v>45901</v>
      </c>
    </row>
    <row r="37" spans="2:2">
      <c r="B37" s="17">
        <f t="shared" si="0"/>
        <v>45908</v>
      </c>
    </row>
    <row r="38" spans="2:2">
      <c r="B38" s="17">
        <f t="shared" si="0"/>
        <v>45915</v>
      </c>
    </row>
    <row r="39" spans="2:2">
      <c r="B39" s="17">
        <f t="shared" si="0"/>
        <v>45922</v>
      </c>
    </row>
    <row r="40" spans="2:2">
      <c r="B40" s="17">
        <f t="shared" si="0"/>
        <v>45929</v>
      </c>
    </row>
    <row r="41" spans="2:2">
      <c r="B41" s="17">
        <f t="shared" si="0"/>
        <v>45936</v>
      </c>
    </row>
    <row r="42" spans="2:2">
      <c r="B42" s="17">
        <f t="shared" si="0"/>
        <v>45943</v>
      </c>
    </row>
    <row r="43" spans="2:2">
      <c r="B43" s="17">
        <f t="shared" si="0"/>
        <v>45950</v>
      </c>
    </row>
    <row r="44" spans="2:2">
      <c r="B44" s="17">
        <f t="shared" si="0"/>
        <v>45957</v>
      </c>
    </row>
    <row r="45" spans="2:2">
      <c r="B45" s="17">
        <f t="shared" si="0"/>
        <v>45964</v>
      </c>
    </row>
    <row r="46" spans="2:2">
      <c r="B46" s="17">
        <f t="shared" si="0"/>
        <v>45971</v>
      </c>
    </row>
    <row r="47" spans="2:2">
      <c r="B47" s="17">
        <f t="shared" si="0"/>
        <v>45978</v>
      </c>
    </row>
    <row r="48" spans="2:2">
      <c r="B48" s="17">
        <f t="shared" si="0"/>
        <v>45985</v>
      </c>
    </row>
    <row r="49" spans="2:2">
      <c r="B49" s="17">
        <f t="shared" si="0"/>
        <v>45992</v>
      </c>
    </row>
    <row r="50" spans="2:2">
      <c r="B50" s="17">
        <f t="shared" si="0"/>
        <v>45999</v>
      </c>
    </row>
    <row r="51" spans="2:2">
      <c r="B51" s="17">
        <f t="shared" si="0"/>
        <v>46006</v>
      </c>
    </row>
    <row r="52" spans="2:2">
      <c r="B52" s="17">
        <f t="shared" si="0"/>
        <v>46013</v>
      </c>
    </row>
    <row r="53" spans="2:2">
      <c r="B53" s="17">
        <f t="shared" si="0"/>
        <v>46020</v>
      </c>
    </row>
    <row r="54" spans="2:2">
      <c r="B54" s="17">
        <f t="shared" si="0"/>
        <v>46027</v>
      </c>
    </row>
    <row r="55" spans="2:2">
      <c r="B55" s="17">
        <f t="shared" si="0"/>
        <v>46034</v>
      </c>
    </row>
    <row r="56" spans="2:2">
      <c r="B56" s="17">
        <f t="shared" si="0"/>
        <v>46041</v>
      </c>
    </row>
    <row r="57" spans="2:2">
      <c r="B57" s="17">
        <f t="shared" si="0"/>
        <v>46048</v>
      </c>
    </row>
    <row r="58" spans="2:2">
      <c r="B58" s="17">
        <f t="shared" si="0"/>
        <v>46055</v>
      </c>
    </row>
    <row r="59" spans="2:2">
      <c r="B59" s="17">
        <f t="shared" si="0"/>
        <v>46062</v>
      </c>
    </row>
    <row r="60" spans="2:2">
      <c r="B60" s="17">
        <f t="shared" si="0"/>
        <v>46069</v>
      </c>
    </row>
    <row r="61" spans="2:2">
      <c r="B61" s="17">
        <f t="shared" si="0"/>
        <v>46076</v>
      </c>
    </row>
    <row r="62" spans="2:2">
      <c r="B62" s="17">
        <f t="shared" si="0"/>
        <v>46083</v>
      </c>
    </row>
    <row r="63" spans="2:2">
      <c r="B63" s="17">
        <f t="shared" si="0"/>
        <v>46090</v>
      </c>
    </row>
    <row r="64" spans="2:2">
      <c r="B64" s="17">
        <f t="shared" si="0"/>
        <v>46097</v>
      </c>
    </row>
    <row r="65" spans="2:2">
      <c r="B65" s="17">
        <f t="shared" si="0"/>
        <v>46104</v>
      </c>
    </row>
    <row r="66" spans="2:2">
      <c r="B66" s="17">
        <f t="shared" si="0"/>
        <v>46111</v>
      </c>
    </row>
    <row r="67" spans="2:2">
      <c r="B67" s="17">
        <f t="shared" si="0"/>
        <v>46118</v>
      </c>
    </row>
    <row r="68" spans="2:2">
      <c r="B68" s="17">
        <f t="shared" ref="B68:B131" si="1">B67+7-WEEKDAY(B67,2)+1</f>
        <v>46125</v>
      </c>
    </row>
    <row r="69" spans="2:2">
      <c r="B69" s="17">
        <f t="shared" si="1"/>
        <v>46132</v>
      </c>
    </row>
    <row r="70" spans="2:2">
      <c r="B70" s="17">
        <f t="shared" si="1"/>
        <v>46139</v>
      </c>
    </row>
    <row r="71" spans="2:2">
      <c r="B71" s="17">
        <f t="shared" si="1"/>
        <v>46146</v>
      </c>
    </row>
    <row r="72" spans="2:2">
      <c r="B72" s="17">
        <f t="shared" si="1"/>
        <v>46153</v>
      </c>
    </row>
    <row r="73" spans="2:2">
      <c r="B73" s="17">
        <f t="shared" si="1"/>
        <v>46160</v>
      </c>
    </row>
    <row r="74" spans="2:2">
      <c r="B74" s="17">
        <f t="shared" si="1"/>
        <v>46167</v>
      </c>
    </row>
    <row r="75" spans="2:2">
      <c r="B75" s="17">
        <f t="shared" si="1"/>
        <v>46174</v>
      </c>
    </row>
    <row r="76" spans="2:2">
      <c r="B76" s="17">
        <f t="shared" si="1"/>
        <v>46181</v>
      </c>
    </row>
    <row r="77" spans="2:2">
      <c r="B77" s="17">
        <f t="shared" si="1"/>
        <v>46188</v>
      </c>
    </row>
    <row r="78" spans="2:2">
      <c r="B78" s="17">
        <f t="shared" si="1"/>
        <v>46195</v>
      </c>
    </row>
    <row r="79" spans="2:2">
      <c r="B79" s="17">
        <f t="shared" si="1"/>
        <v>46202</v>
      </c>
    </row>
    <row r="80" spans="2:2">
      <c r="B80" s="17">
        <f t="shared" si="1"/>
        <v>46209</v>
      </c>
    </row>
    <row r="81" spans="2:2">
      <c r="B81" s="17">
        <f t="shared" si="1"/>
        <v>46216</v>
      </c>
    </row>
    <row r="82" spans="2:2">
      <c r="B82" s="17">
        <f t="shared" si="1"/>
        <v>46223</v>
      </c>
    </row>
    <row r="83" spans="2:2">
      <c r="B83" s="17">
        <f t="shared" si="1"/>
        <v>46230</v>
      </c>
    </row>
    <row r="84" spans="2:2">
      <c r="B84" s="17">
        <f t="shared" si="1"/>
        <v>46237</v>
      </c>
    </row>
    <row r="85" spans="2:2">
      <c r="B85" s="17">
        <f t="shared" si="1"/>
        <v>46244</v>
      </c>
    </row>
    <row r="86" spans="2:2">
      <c r="B86" s="17">
        <f t="shared" si="1"/>
        <v>46251</v>
      </c>
    </row>
    <row r="87" spans="2:2">
      <c r="B87" s="17">
        <f t="shared" si="1"/>
        <v>46258</v>
      </c>
    </row>
    <row r="88" spans="2:2">
      <c r="B88" s="17">
        <f t="shared" si="1"/>
        <v>46265</v>
      </c>
    </row>
    <row r="89" spans="2:2">
      <c r="B89" s="17">
        <f t="shared" si="1"/>
        <v>46272</v>
      </c>
    </row>
    <row r="90" spans="2:2">
      <c r="B90" s="17">
        <f t="shared" si="1"/>
        <v>46279</v>
      </c>
    </row>
    <row r="91" spans="2:2">
      <c r="B91" s="17">
        <f t="shared" si="1"/>
        <v>46286</v>
      </c>
    </row>
    <row r="92" spans="2:2">
      <c r="B92" s="17">
        <f t="shared" si="1"/>
        <v>46293</v>
      </c>
    </row>
    <row r="93" spans="2:2">
      <c r="B93" s="17">
        <f t="shared" si="1"/>
        <v>46300</v>
      </c>
    </row>
    <row r="94" spans="2:2">
      <c r="B94" s="17">
        <f t="shared" si="1"/>
        <v>46307</v>
      </c>
    </row>
    <row r="95" spans="2:2">
      <c r="B95" s="17">
        <f t="shared" si="1"/>
        <v>46314</v>
      </c>
    </row>
    <row r="96" spans="2:2">
      <c r="B96" s="17">
        <f t="shared" si="1"/>
        <v>46321</v>
      </c>
    </row>
    <row r="97" spans="2:2">
      <c r="B97" s="17">
        <f t="shared" si="1"/>
        <v>46328</v>
      </c>
    </row>
    <row r="98" spans="2:2">
      <c r="B98" s="17">
        <f t="shared" si="1"/>
        <v>46335</v>
      </c>
    </row>
    <row r="99" spans="2:2">
      <c r="B99" s="17">
        <f t="shared" si="1"/>
        <v>46342</v>
      </c>
    </row>
    <row r="100" spans="2:2">
      <c r="B100" s="17">
        <f t="shared" si="1"/>
        <v>46349</v>
      </c>
    </row>
    <row r="101" spans="2:2">
      <c r="B101" s="17">
        <f t="shared" si="1"/>
        <v>46356</v>
      </c>
    </row>
    <row r="102" spans="2:2">
      <c r="B102" s="17">
        <f t="shared" si="1"/>
        <v>46363</v>
      </c>
    </row>
    <row r="103" spans="2:2">
      <c r="B103" s="17">
        <f t="shared" si="1"/>
        <v>46370</v>
      </c>
    </row>
    <row r="104" spans="2:2">
      <c r="B104" s="17">
        <f t="shared" si="1"/>
        <v>46377</v>
      </c>
    </row>
    <row r="105" spans="2:2">
      <c r="B105" s="17">
        <f t="shared" si="1"/>
        <v>46384</v>
      </c>
    </row>
    <row r="106" spans="2:2">
      <c r="B106" s="17">
        <f t="shared" si="1"/>
        <v>46391</v>
      </c>
    </row>
    <row r="107" spans="2:2">
      <c r="B107" s="17">
        <f t="shared" si="1"/>
        <v>46398</v>
      </c>
    </row>
    <row r="108" spans="2:2">
      <c r="B108" s="17">
        <f t="shared" si="1"/>
        <v>46405</v>
      </c>
    </row>
    <row r="109" spans="2:2">
      <c r="B109" s="17">
        <f t="shared" si="1"/>
        <v>46412</v>
      </c>
    </row>
    <row r="110" spans="2:2">
      <c r="B110" s="17">
        <f t="shared" si="1"/>
        <v>46419</v>
      </c>
    </row>
    <row r="111" spans="2:2">
      <c r="B111" s="17">
        <f t="shared" si="1"/>
        <v>46426</v>
      </c>
    </row>
    <row r="112" spans="2:2">
      <c r="B112" s="17">
        <f t="shared" si="1"/>
        <v>46433</v>
      </c>
    </row>
    <row r="113" spans="2:2">
      <c r="B113" s="17">
        <f t="shared" si="1"/>
        <v>46440</v>
      </c>
    </row>
    <row r="114" spans="2:2">
      <c r="B114" s="17">
        <f t="shared" si="1"/>
        <v>46447</v>
      </c>
    </row>
    <row r="115" spans="2:2">
      <c r="B115" s="17">
        <f t="shared" si="1"/>
        <v>46454</v>
      </c>
    </row>
    <row r="116" spans="2:2">
      <c r="B116" s="17">
        <f t="shared" si="1"/>
        <v>46461</v>
      </c>
    </row>
    <row r="117" spans="2:2">
      <c r="B117" s="17">
        <f t="shared" si="1"/>
        <v>46468</v>
      </c>
    </row>
    <row r="118" spans="2:2">
      <c r="B118" s="17">
        <f t="shared" si="1"/>
        <v>46475</v>
      </c>
    </row>
    <row r="119" spans="2:2">
      <c r="B119" s="17">
        <f t="shared" si="1"/>
        <v>46482</v>
      </c>
    </row>
    <row r="120" spans="2:2">
      <c r="B120" s="17">
        <f t="shared" si="1"/>
        <v>46489</v>
      </c>
    </row>
    <row r="121" spans="2:2">
      <c r="B121" s="17">
        <f t="shared" si="1"/>
        <v>46496</v>
      </c>
    </row>
    <row r="122" spans="2:2">
      <c r="B122" s="17">
        <f t="shared" si="1"/>
        <v>46503</v>
      </c>
    </row>
    <row r="123" spans="2:2">
      <c r="B123" s="17">
        <f t="shared" si="1"/>
        <v>46510</v>
      </c>
    </row>
    <row r="124" spans="2:2">
      <c r="B124" s="17">
        <f t="shared" si="1"/>
        <v>46517</v>
      </c>
    </row>
    <row r="125" spans="2:2">
      <c r="B125" s="17">
        <f t="shared" si="1"/>
        <v>46524</v>
      </c>
    </row>
    <row r="126" spans="2:2">
      <c r="B126" s="17">
        <f t="shared" si="1"/>
        <v>46531</v>
      </c>
    </row>
    <row r="127" spans="2:2">
      <c r="B127" s="17">
        <f t="shared" si="1"/>
        <v>46538</v>
      </c>
    </row>
    <row r="128" spans="2:2">
      <c r="B128" s="17">
        <f t="shared" si="1"/>
        <v>46545</v>
      </c>
    </row>
    <row r="129" spans="2:2">
      <c r="B129" s="17">
        <f t="shared" si="1"/>
        <v>46552</v>
      </c>
    </row>
    <row r="130" spans="2:2">
      <c r="B130" s="17">
        <f t="shared" si="1"/>
        <v>46559</v>
      </c>
    </row>
    <row r="131" spans="2:2">
      <c r="B131" s="17">
        <f t="shared" si="1"/>
        <v>46566</v>
      </c>
    </row>
    <row r="132" spans="2:2">
      <c r="B132" s="17">
        <f t="shared" ref="B132:B195" si="2">B131+7-WEEKDAY(B131,2)+1</f>
        <v>46573</v>
      </c>
    </row>
    <row r="133" spans="2:2">
      <c r="B133" s="17">
        <f t="shared" si="2"/>
        <v>46580</v>
      </c>
    </row>
    <row r="134" spans="2:2">
      <c r="B134" s="17">
        <f t="shared" si="2"/>
        <v>46587</v>
      </c>
    </row>
    <row r="135" spans="2:2">
      <c r="B135" s="17">
        <f t="shared" si="2"/>
        <v>46594</v>
      </c>
    </row>
    <row r="136" spans="2:2">
      <c r="B136" s="17">
        <f t="shared" si="2"/>
        <v>46601</v>
      </c>
    </row>
    <row r="137" spans="2:2">
      <c r="B137" s="17">
        <f t="shared" si="2"/>
        <v>46608</v>
      </c>
    </row>
    <row r="138" spans="2:2">
      <c r="B138" s="17">
        <f t="shared" si="2"/>
        <v>46615</v>
      </c>
    </row>
    <row r="139" spans="2:2">
      <c r="B139" s="17">
        <f t="shared" si="2"/>
        <v>46622</v>
      </c>
    </row>
    <row r="140" spans="2:2">
      <c r="B140" s="17">
        <f t="shared" si="2"/>
        <v>46629</v>
      </c>
    </row>
    <row r="141" spans="2:2">
      <c r="B141" s="17">
        <f t="shared" si="2"/>
        <v>46636</v>
      </c>
    </row>
    <row r="142" spans="2:2">
      <c r="B142" s="17">
        <f t="shared" si="2"/>
        <v>46643</v>
      </c>
    </row>
    <row r="143" spans="2:2">
      <c r="B143" s="17">
        <f t="shared" si="2"/>
        <v>46650</v>
      </c>
    </row>
    <row r="144" spans="2:2">
      <c r="B144" s="17">
        <f t="shared" si="2"/>
        <v>46657</v>
      </c>
    </row>
    <row r="145" spans="2:2">
      <c r="B145" s="17">
        <f t="shared" si="2"/>
        <v>46664</v>
      </c>
    </row>
    <row r="146" spans="2:2">
      <c r="B146" s="17">
        <f t="shared" si="2"/>
        <v>46671</v>
      </c>
    </row>
    <row r="147" spans="2:2">
      <c r="B147" s="17">
        <f t="shared" si="2"/>
        <v>46678</v>
      </c>
    </row>
    <row r="148" spans="2:2">
      <c r="B148" s="17">
        <f t="shared" si="2"/>
        <v>46685</v>
      </c>
    </row>
    <row r="149" spans="2:2">
      <c r="B149" s="17">
        <f t="shared" si="2"/>
        <v>46692</v>
      </c>
    </row>
    <row r="150" spans="2:2">
      <c r="B150" s="17">
        <f t="shared" si="2"/>
        <v>46699</v>
      </c>
    </row>
    <row r="151" spans="2:2">
      <c r="B151" s="17">
        <f t="shared" si="2"/>
        <v>46706</v>
      </c>
    </row>
    <row r="152" spans="2:2">
      <c r="B152" s="17">
        <f t="shared" si="2"/>
        <v>46713</v>
      </c>
    </row>
    <row r="153" spans="2:2">
      <c r="B153" s="17">
        <f t="shared" si="2"/>
        <v>46720</v>
      </c>
    </row>
    <row r="154" spans="2:2">
      <c r="B154" s="17">
        <f t="shared" si="2"/>
        <v>46727</v>
      </c>
    </row>
    <row r="155" spans="2:2">
      <c r="B155" s="17">
        <f t="shared" si="2"/>
        <v>46734</v>
      </c>
    </row>
    <row r="156" spans="2:2">
      <c r="B156" s="17">
        <f t="shared" si="2"/>
        <v>46741</v>
      </c>
    </row>
    <row r="157" spans="2:2">
      <c r="B157" s="17">
        <f t="shared" si="2"/>
        <v>46748</v>
      </c>
    </row>
    <row r="158" spans="2:2">
      <c r="B158" s="17">
        <f t="shared" si="2"/>
        <v>46755</v>
      </c>
    </row>
    <row r="159" spans="2:2">
      <c r="B159" s="17">
        <f t="shared" si="2"/>
        <v>46762</v>
      </c>
    </row>
    <row r="160" spans="2:2">
      <c r="B160" s="17">
        <f t="shared" si="2"/>
        <v>46769</v>
      </c>
    </row>
    <row r="161" spans="2:2">
      <c r="B161" s="17">
        <f t="shared" si="2"/>
        <v>46776</v>
      </c>
    </row>
    <row r="162" spans="2:2">
      <c r="B162" s="17">
        <f t="shared" si="2"/>
        <v>46783</v>
      </c>
    </row>
    <row r="163" spans="2:2">
      <c r="B163" s="17">
        <f t="shared" si="2"/>
        <v>46790</v>
      </c>
    </row>
    <row r="164" spans="2:2">
      <c r="B164" s="17">
        <f t="shared" si="2"/>
        <v>46797</v>
      </c>
    </row>
    <row r="165" spans="2:2">
      <c r="B165" s="17">
        <f t="shared" si="2"/>
        <v>46804</v>
      </c>
    </row>
    <row r="166" spans="2:2">
      <c r="B166" s="17">
        <f t="shared" si="2"/>
        <v>46811</v>
      </c>
    </row>
    <row r="167" spans="2:2">
      <c r="B167" s="17">
        <f t="shared" si="2"/>
        <v>46818</v>
      </c>
    </row>
    <row r="168" spans="2:2">
      <c r="B168" s="17">
        <f t="shared" si="2"/>
        <v>46825</v>
      </c>
    </row>
    <row r="169" spans="2:2">
      <c r="B169" s="17">
        <f t="shared" si="2"/>
        <v>46832</v>
      </c>
    </row>
    <row r="170" spans="2:2">
      <c r="B170" s="17">
        <f t="shared" si="2"/>
        <v>46839</v>
      </c>
    </row>
    <row r="171" spans="2:2">
      <c r="B171" s="17">
        <f t="shared" si="2"/>
        <v>46846</v>
      </c>
    </row>
    <row r="172" spans="2:2">
      <c r="B172" s="17">
        <f t="shared" si="2"/>
        <v>46853</v>
      </c>
    </row>
    <row r="173" spans="2:2">
      <c r="B173" s="17">
        <f t="shared" si="2"/>
        <v>46860</v>
      </c>
    </row>
    <row r="174" spans="2:2">
      <c r="B174" s="17">
        <f t="shared" si="2"/>
        <v>46867</v>
      </c>
    </row>
    <row r="175" spans="2:2">
      <c r="B175" s="17">
        <f t="shared" si="2"/>
        <v>46874</v>
      </c>
    </row>
    <row r="176" spans="2:2">
      <c r="B176" s="17">
        <f t="shared" si="2"/>
        <v>46881</v>
      </c>
    </row>
    <row r="177" spans="2:2">
      <c r="B177" s="17">
        <f t="shared" si="2"/>
        <v>46888</v>
      </c>
    </row>
    <row r="178" spans="2:2">
      <c r="B178" s="17">
        <f t="shared" si="2"/>
        <v>46895</v>
      </c>
    </row>
    <row r="179" spans="2:2">
      <c r="B179" s="17">
        <f t="shared" si="2"/>
        <v>46902</v>
      </c>
    </row>
    <row r="180" spans="2:2">
      <c r="B180" s="17">
        <f t="shared" si="2"/>
        <v>46909</v>
      </c>
    </row>
    <row r="181" spans="2:2">
      <c r="B181" s="17">
        <f t="shared" si="2"/>
        <v>46916</v>
      </c>
    </row>
    <row r="182" spans="2:2">
      <c r="B182" s="17">
        <f t="shared" si="2"/>
        <v>46923</v>
      </c>
    </row>
    <row r="183" spans="2:2">
      <c r="B183" s="17">
        <f t="shared" si="2"/>
        <v>46930</v>
      </c>
    </row>
    <row r="184" spans="2:2">
      <c r="B184" s="17">
        <f t="shared" si="2"/>
        <v>46937</v>
      </c>
    </row>
    <row r="185" spans="2:2">
      <c r="B185" s="17">
        <f t="shared" si="2"/>
        <v>46944</v>
      </c>
    </row>
    <row r="186" spans="2:2">
      <c r="B186" s="17">
        <f t="shared" si="2"/>
        <v>46951</v>
      </c>
    </row>
    <row r="187" spans="2:2">
      <c r="B187" s="17">
        <f t="shared" si="2"/>
        <v>46958</v>
      </c>
    </row>
    <row r="188" spans="2:2">
      <c r="B188" s="17">
        <f t="shared" si="2"/>
        <v>46965</v>
      </c>
    </row>
    <row r="189" spans="2:2">
      <c r="B189" s="17">
        <f t="shared" si="2"/>
        <v>46972</v>
      </c>
    </row>
    <row r="190" spans="2:2">
      <c r="B190" s="17">
        <f t="shared" si="2"/>
        <v>46979</v>
      </c>
    </row>
    <row r="191" spans="2:2">
      <c r="B191" s="17">
        <f t="shared" si="2"/>
        <v>46986</v>
      </c>
    </row>
    <row r="192" spans="2:2">
      <c r="B192" s="17">
        <f t="shared" si="2"/>
        <v>46993</v>
      </c>
    </row>
    <row r="193" spans="2:2">
      <c r="B193" s="17">
        <f t="shared" si="2"/>
        <v>47000</v>
      </c>
    </row>
    <row r="194" spans="2:2">
      <c r="B194" s="17">
        <f t="shared" si="2"/>
        <v>47007</v>
      </c>
    </row>
    <row r="195" spans="2:2">
      <c r="B195" s="17">
        <f t="shared" si="2"/>
        <v>47014</v>
      </c>
    </row>
    <row r="196" spans="2:2">
      <c r="B196" s="17">
        <f t="shared" ref="B196:B259" si="3">B195+7-WEEKDAY(B195,2)+1</f>
        <v>47021</v>
      </c>
    </row>
    <row r="197" spans="2:2">
      <c r="B197" s="17">
        <f t="shared" si="3"/>
        <v>47028</v>
      </c>
    </row>
    <row r="198" spans="2:2">
      <c r="B198" s="17">
        <f t="shared" si="3"/>
        <v>47035</v>
      </c>
    </row>
    <row r="199" spans="2:2">
      <c r="B199" s="17">
        <f t="shared" si="3"/>
        <v>47042</v>
      </c>
    </row>
    <row r="200" spans="2:2">
      <c r="B200" s="17">
        <f t="shared" si="3"/>
        <v>47049</v>
      </c>
    </row>
    <row r="201" spans="2:2">
      <c r="B201" s="17">
        <f t="shared" si="3"/>
        <v>47056</v>
      </c>
    </row>
    <row r="202" spans="2:2">
      <c r="B202" s="17">
        <f t="shared" si="3"/>
        <v>47063</v>
      </c>
    </row>
    <row r="203" spans="2:2">
      <c r="B203" s="17">
        <f t="shared" si="3"/>
        <v>47070</v>
      </c>
    </row>
    <row r="204" spans="2:2">
      <c r="B204" s="17">
        <f t="shared" si="3"/>
        <v>47077</v>
      </c>
    </row>
    <row r="205" spans="2:2">
      <c r="B205" s="17">
        <f t="shared" si="3"/>
        <v>47084</v>
      </c>
    </row>
    <row r="206" spans="2:2">
      <c r="B206" s="17">
        <f t="shared" si="3"/>
        <v>47091</v>
      </c>
    </row>
    <row r="207" spans="2:2">
      <c r="B207" s="17">
        <f t="shared" si="3"/>
        <v>47098</v>
      </c>
    </row>
    <row r="208" spans="2:2">
      <c r="B208" s="17">
        <f t="shared" si="3"/>
        <v>47105</v>
      </c>
    </row>
    <row r="209" spans="2:2">
      <c r="B209" s="17">
        <f t="shared" si="3"/>
        <v>47112</v>
      </c>
    </row>
    <row r="210" spans="2:2">
      <c r="B210" s="17">
        <f t="shared" si="3"/>
        <v>47119</v>
      </c>
    </row>
    <row r="211" spans="2:2">
      <c r="B211" s="17">
        <f t="shared" si="3"/>
        <v>47126</v>
      </c>
    </row>
    <row r="212" spans="2:2">
      <c r="B212" s="17">
        <f t="shared" si="3"/>
        <v>47133</v>
      </c>
    </row>
    <row r="213" spans="2:2">
      <c r="B213" s="17">
        <f t="shared" si="3"/>
        <v>47140</v>
      </c>
    </row>
    <row r="214" spans="2:2">
      <c r="B214" s="17">
        <f t="shared" si="3"/>
        <v>47147</v>
      </c>
    </row>
    <row r="215" spans="2:2">
      <c r="B215" s="17">
        <f t="shared" si="3"/>
        <v>47154</v>
      </c>
    </row>
    <row r="216" spans="2:2">
      <c r="B216" s="17">
        <f t="shared" si="3"/>
        <v>47161</v>
      </c>
    </row>
    <row r="217" spans="2:2">
      <c r="B217" s="17">
        <f t="shared" si="3"/>
        <v>47168</v>
      </c>
    </row>
    <row r="218" spans="2:2">
      <c r="B218" s="17">
        <f t="shared" si="3"/>
        <v>47175</v>
      </c>
    </row>
    <row r="219" spans="2:2">
      <c r="B219" s="17">
        <f t="shared" si="3"/>
        <v>47182</v>
      </c>
    </row>
    <row r="220" spans="2:2">
      <c r="B220" s="17">
        <f t="shared" si="3"/>
        <v>47189</v>
      </c>
    </row>
    <row r="221" spans="2:2">
      <c r="B221" s="17">
        <f t="shared" si="3"/>
        <v>47196</v>
      </c>
    </row>
    <row r="222" spans="2:2">
      <c r="B222" s="17">
        <f t="shared" si="3"/>
        <v>47203</v>
      </c>
    </row>
    <row r="223" spans="2:2">
      <c r="B223" s="17">
        <f t="shared" si="3"/>
        <v>47210</v>
      </c>
    </row>
    <row r="224" spans="2:2">
      <c r="B224" s="17">
        <f t="shared" si="3"/>
        <v>47217</v>
      </c>
    </row>
    <row r="225" spans="2:2">
      <c r="B225" s="17">
        <f t="shared" si="3"/>
        <v>47224</v>
      </c>
    </row>
    <row r="226" spans="2:2">
      <c r="B226" s="17">
        <f t="shared" si="3"/>
        <v>47231</v>
      </c>
    </row>
    <row r="227" spans="2:2">
      <c r="B227" s="17">
        <f t="shared" si="3"/>
        <v>47238</v>
      </c>
    </row>
    <row r="228" spans="2:2">
      <c r="B228" s="17">
        <f t="shared" si="3"/>
        <v>47245</v>
      </c>
    </row>
    <row r="229" spans="2:2">
      <c r="B229" s="17">
        <f t="shared" si="3"/>
        <v>47252</v>
      </c>
    </row>
    <row r="230" spans="2:2">
      <c r="B230" s="17">
        <f t="shared" si="3"/>
        <v>47259</v>
      </c>
    </row>
    <row r="231" spans="2:2">
      <c r="B231" s="17">
        <f t="shared" si="3"/>
        <v>47266</v>
      </c>
    </row>
    <row r="232" spans="2:2">
      <c r="B232" s="17">
        <f t="shared" si="3"/>
        <v>47273</v>
      </c>
    </row>
    <row r="233" spans="2:2">
      <c r="B233" s="17">
        <f t="shared" si="3"/>
        <v>47280</v>
      </c>
    </row>
    <row r="234" spans="2:2">
      <c r="B234" s="17">
        <f t="shared" si="3"/>
        <v>47287</v>
      </c>
    </row>
    <row r="235" spans="2:2">
      <c r="B235" s="17">
        <f t="shared" si="3"/>
        <v>47294</v>
      </c>
    </row>
    <row r="236" spans="2:2">
      <c r="B236" s="17">
        <f t="shared" si="3"/>
        <v>47301</v>
      </c>
    </row>
    <row r="237" spans="2:2">
      <c r="B237" s="17">
        <f t="shared" si="3"/>
        <v>47308</v>
      </c>
    </row>
    <row r="238" spans="2:2">
      <c r="B238" s="17">
        <f t="shared" si="3"/>
        <v>47315</v>
      </c>
    </row>
    <row r="239" spans="2:2">
      <c r="B239" s="17">
        <f t="shared" si="3"/>
        <v>47322</v>
      </c>
    </row>
    <row r="240" spans="2:2">
      <c r="B240" s="17">
        <f t="shared" si="3"/>
        <v>47329</v>
      </c>
    </row>
    <row r="241" spans="2:2">
      <c r="B241" s="17">
        <f t="shared" si="3"/>
        <v>47336</v>
      </c>
    </row>
    <row r="242" spans="2:2">
      <c r="B242" s="17">
        <f t="shared" si="3"/>
        <v>47343</v>
      </c>
    </row>
    <row r="243" spans="2:2">
      <c r="B243" s="17">
        <f t="shared" si="3"/>
        <v>47350</v>
      </c>
    </row>
    <row r="244" spans="2:2">
      <c r="B244" s="17">
        <f t="shared" si="3"/>
        <v>47357</v>
      </c>
    </row>
    <row r="245" spans="2:2">
      <c r="B245" s="17">
        <f t="shared" si="3"/>
        <v>47364</v>
      </c>
    </row>
    <row r="246" spans="2:2">
      <c r="B246" s="17">
        <f t="shared" si="3"/>
        <v>47371</v>
      </c>
    </row>
    <row r="247" spans="2:2">
      <c r="B247" s="17">
        <f t="shared" si="3"/>
        <v>47378</v>
      </c>
    </row>
    <row r="248" spans="2:2">
      <c r="B248" s="17">
        <f t="shared" si="3"/>
        <v>47385</v>
      </c>
    </row>
    <row r="249" spans="2:2">
      <c r="B249" s="17">
        <f t="shared" si="3"/>
        <v>47392</v>
      </c>
    </row>
    <row r="250" spans="2:2">
      <c r="B250" s="17">
        <f t="shared" si="3"/>
        <v>47399</v>
      </c>
    </row>
    <row r="251" spans="2:2">
      <c r="B251" s="17">
        <f t="shared" si="3"/>
        <v>47406</v>
      </c>
    </row>
    <row r="252" spans="2:2">
      <c r="B252" s="17">
        <f t="shared" si="3"/>
        <v>47413</v>
      </c>
    </row>
    <row r="253" spans="2:2">
      <c r="B253" s="17">
        <f t="shared" si="3"/>
        <v>47420</v>
      </c>
    </row>
    <row r="254" spans="2:2">
      <c r="B254" s="17">
        <f t="shared" si="3"/>
        <v>47427</v>
      </c>
    </row>
    <row r="255" spans="2:2">
      <c r="B255" s="17">
        <f t="shared" si="3"/>
        <v>47434</v>
      </c>
    </row>
    <row r="256" spans="2:2">
      <c r="B256" s="17">
        <f t="shared" si="3"/>
        <v>47441</v>
      </c>
    </row>
    <row r="257" spans="2:2">
      <c r="B257" s="17">
        <f t="shared" si="3"/>
        <v>47448</v>
      </c>
    </row>
    <row r="258" spans="2:2">
      <c r="B258" s="17">
        <f t="shared" si="3"/>
        <v>47455</v>
      </c>
    </row>
    <row r="259" spans="2:2">
      <c r="B259" s="17">
        <f t="shared" si="3"/>
        <v>47462</v>
      </c>
    </row>
    <row r="260" spans="2:2">
      <c r="B260" s="17">
        <f t="shared" ref="B260:B323" si="4">B259+7-WEEKDAY(B259,2)+1</f>
        <v>47469</v>
      </c>
    </row>
    <row r="261" spans="2:2">
      <c r="B261" s="17">
        <f t="shared" si="4"/>
        <v>47476</v>
      </c>
    </row>
    <row r="262" spans="2:2">
      <c r="B262" s="17">
        <f t="shared" si="4"/>
        <v>47483</v>
      </c>
    </row>
    <row r="263" spans="2:2">
      <c r="B263" s="17">
        <f t="shared" si="4"/>
        <v>47490</v>
      </c>
    </row>
    <row r="264" spans="2:2">
      <c r="B264" s="17">
        <f t="shared" si="4"/>
        <v>47497</v>
      </c>
    </row>
    <row r="265" spans="2:2">
      <c r="B265" s="17">
        <f t="shared" si="4"/>
        <v>47504</v>
      </c>
    </row>
    <row r="266" spans="2:2">
      <c r="B266" s="17">
        <f t="shared" si="4"/>
        <v>47511</v>
      </c>
    </row>
    <row r="267" spans="2:2">
      <c r="B267" s="17">
        <f t="shared" si="4"/>
        <v>47518</v>
      </c>
    </row>
    <row r="268" spans="2:2">
      <c r="B268" s="17">
        <f t="shared" si="4"/>
        <v>47525</v>
      </c>
    </row>
    <row r="269" spans="2:2">
      <c r="B269" s="17">
        <f t="shared" si="4"/>
        <v>47532</v>
      </c>
    </row>
    <row r="270" spans="2:2">
      <c r="B270" s="17">
        <f t="shared" si="4"/>
        <v>47539</v>
      </c>
    </row>
    <row r="271" spans="2:2">
      <c r="B271" s="17">
        <f t="shared" si="4"/>
        <v>47546</v>
      </c>
    </row>
    <row r="272" spans="2:2">
      <c r="B272" s="17">
        <f t="shared" si="4"/>
        <v>47553</v>
      </c>
    </row>
    <row r="273" spans="2:2">
      <c r="B273" s="17">
        <f t="shared" si="4"/>
        <v>47560</v>
      </c>
    </row>
    <row r="274" spans="2:2">
      <c r="B274" s="17">
        <f t="shared" si="4"/>
        <v>47567</v>
      </c>
    </row>
    <row r="275" spans="2:2">
      <c r="B275" s="17">
        <f t="shared" si="4"/>
        <v>47574</v>
      </c>
    </row>
    <row r="276" spans="2:2">
      <c r="B276" s="17">
        <f t="shared" si="4"/>
        <v>47581</v>
      </c>
    </row>
    <row r="277" spans="2:2">
      <c r="B277" s="17">
        <f t="shared" si="4"/>
        <v>47588</v>
      </c>
    </row>
    <row r="278" spans="2:2">
      <c r="B278" s="17">
        <f t="shared" si="4"/>
        <v>47595</v>
      </c>
    </row>
    <row r="279" spans="2:2">
      <c r="B279" s="17">
        <f t="shared" si="4"/>
        <v>47602</v>
      </c>
    </row>
    <row r="280" spans="2:2">
      <c r="B280" s="17">
        <f t="shared" si="4"/>
        <v>47609</v>
      </c>
    </row>
    <row r="281" spans="2:2">
      <c r="B281" s="17">
        <f t="shared" si="4"/>
        <v>47616</v>
      </c>
    </row>
    <row r="282" spans="2:2">
      <c r="B282" s="17">
        <f t="shared" si="4"/>
        <v>47623</v>
      </c>
    </row>
    <row r="283" spans="2:2">
      <c r="B283" s="17">
        <f t="shared" si="4"/>
        <v>47630</v>
      </c>
    </row>
    <row r="284" spans="2:2">
      <c r="B284" s="17">
        <f t="shared" si="4"/>
        <v>47637</v>
      </c>
    </row>
    <row r="285" spans="2:2">
      <c r="B285" s="17">
        <f t="shared" si="4"/>
        <v>47644</v>
      </c>
    </row>
    <row r="286" spans="2:2">
      <c r="B286" s="17">
        <f t="shared" si="4"/>
        <v>47651</v>
      </c>
    </row>
    <row r="287" spans="2:2">
      <c r="B287" s="17">
        <f t="shared" si="4"/>
        <v>47658</v>
      </c>
    </row>
    <row r="288" spans="2:2">
      <c r="B288" s="17">
        <f t="shared" si="4"/>
        <v>47665</v>
      </c>
    </row>
    <row r="289" spans="2:2">
      <c r="B289" s="17">
        <f t="shared" si="4"/>
        <v>47672</v>
      </c>
    </row>
    <row r="290" spans="2:2">
      <c r="B290" s="17">
        <f t="shared" si="4"/>
        <v>47679</v>
      </c>
    </row>
    <row r="291" spans="2:2">
      <c r="B291" s="17">
        <f t="shared" si="4"/>
        <v>47686</v>
      </c>
    </row>
    <row r="292" spans="2:2">
      <c r="B292" s="17">
        <f t="shared" si="4"/>
        <v>47693</v>
      </c>
    </row>
    <row r="293" spans="2:2">
      <c r="B293" s="17">
        <f t="shared" si="4"/>
        <v>47700</v>
      </c>
    </row>
    <row r="294" spans="2:2">
      <c r="B294" s="17">
        <f t="shared" si="4"/>
        <v>47707</v>
      </c>
    </row>
    <row r="295" spans="2:2">
      <c r="B295" s="17">
        <f t="shared" si="4"/>
        <v>47714</v>
      </c>
    </row>
    <row r="296" spans="2:2">
      <c r="B296" s="17">
        <f t="shared" si="4"/>
        <v>47721</v>
      </c>
    </row>
    <row r="297" spans="2:2">
      <c r="B297" s="17">
        <f t="shared" si="4"/>
        <v>47728</v>
      </c>
    </row>
    <row r="298" spans="2:2">
      <c r="B298" s="17">
        <f t="shared" si="4"/>
        <v>47735</v>
      </c>
    </row>
    <row r="299" spans="2:2">
      <c r="B299" s="17">
        <f t="shared" si="4"/>
        <v>47742</v>
      </c>
    </row>
    <row r="300" spans="2:2">
      <c r="B300" s="17">
        <f t="shared" si="4"/>
        <v>47749</v>
      </c>
    </row>
    <row r="301" spans="2:2">
      <c r="B301" s="17">
        <f t="shared" si="4"/>
        <v>47756</v>
      </c>
    </row>
    <row r="302" spans="2:2">
      <c r="B302" s="17">
        <f t="shared" si="4"/>
        <v>47763</v>
      </c>
    </row>
    <row r="303" spans="2:2">
      <c r="B303" s="17">
        <f t="shared" si="4"/>
        <v>47770</v>
      </c>
    </row>
    <row r="304" spans="2:2">
      <c r="B304" s="17">
        <f t="shared" si="4"/>
        <v>47777</v>
      </c>
    </row>
    <row r="305" spans="2:2">
      <c r="B305" s="17">
        <f t="shared" si="4"/>
        <v>47784</v>
      </c>
    </row>
    <row r="306" spans="2:2">
      <c r="B306" s="17">
        <f t="shared" si="4"/>
        <v>47791</v>
      </c>
    </row>
    <row r="307" spans="2:2">
      <c r="B307" s="17">
        <f t="shared" si="4"/>
        <v>47798</v>
      </c>
    </row>
    <row r="308" spans="2:2">
      <c r="B308" s="17">
        <f t="shared" si="4"/>
        <v>47805</v>
      </c>
    </row>
    <row r="309" spans="2:2">
      <c r="B309" s="17">
        <f t="shared" si="4"/>
        <v>47812</v>
      </c>
    </row>
    <row r="310" spans="2:2">
      <c r="B310" s="17">
        <f t="shared" si="4"/>
        <v>47819</v>
      </c>
    </row>
    <row r="311" spans="2:2">
      <c r="B311" s="17">
        <f t="shared" si="4"/>
        <v>47826</v>
      </c>
    </row>
    <row r="312" spans="2:2">
      <c r="B312" s="17">
        <f t="shared" si="4"/>
        <v>47833</v>
      </c>
    </row>
    <row r="313" spans="2:2">
      <c r="B313" s="17">
        <f t="shared" si="4"/>
        <v>47840</v>
      </c>
    </row>
    <row r="314" spans="2:2">
      <c r="B314" s="17">
        <f t="shared" si="4"/>
        <v>47847</v>
      </c>
    </row>
    <row r="315" spans="2:2">
      <c r="B315" s="17">
        <f t="shared" si="4"/>
        <v>47854</v>
      </c>
    </row>
    <row r="316" spans="2:2">
      <c r="B316" s="17">
        <f t="shared" si="4"/>
        <v>47861</v>
      </c>
    </row>
    <row r="317" spans="2:2">
      <c r="B317" s="17">
        <f t="shared" si="4"/>
        <v>47868</v>
      </c>
    </row>
    <row r="318" spans="2:2">
      <c r="B318" s="17">
        <f t="shared" si="4"/>
        <v>47875</v>
      </c>
    </row>
    <row r="319" spans="2:2">
      <c r="B319" s="17">
        <f t="shared" si="4"/>
        <v>47882</v>
      </c>
    </row>
    <row r="320" spans="2:2">
      <c r="B320" s="17">
        <f t="shared" si="4"/>
        <v>47889</v>
      </c>
    </row>
    <row r="321" spans="2:2">
      <c r="B321" s="17">
        <f t="shared" si="4"/>
        <v>47896</v>
      </c>
    </row>
    <row r="322" spans="2:2">
      <c r="B322" s="17">
        <f t="shared" si="4"/>
        <v>47903</v>
      </c>
    </row>
    <row r="323" spans="2:2">
      <c r="B323" s="17">
        <f t="shared" si="4"/>
        <v>47910</v>
      </c>
    </row>
    <row r="324" spans="2:2">
      <c r="B324" s="17">
        <f t="shared" ref="B324:B387" si="5">B323+7-WEEKDAY(B323,2)+1</f>
        <v>47917</v>
      </c>
    </row>
    <row r="325" spans="2:2">
      <c r="B325" s="17">
        <f t="shared" si="5"/>
        <v>47924</v>
      </c>
    </row>
    <row r="326" spans="2:2">
      <c r="B326" s="17">
        <f t="shared" si="5"/>
        <v>47931</v>
      </c>
    </row>
    <row r="327" spans="2:2">
      <c r="B327" s="17">
        <f t="shared" si="5"/>
        <v>47938</v>
      </c>
    </row>
    <row r="328" spans="2:2">
      <c r="B328" s="17">
        <f t="shared" si="5"/>
        <v>47945</v>
      </c>
    </row>
    <row r="329" spans="2:2">
      <c r="B329" s="17">
        <f t="shared" si="5"/>
        <v>47952</v>
      </c>
    </row>
    <row r="330" spans="2:2">
      <c r="B330" s="17">
        <f t="shared" si="5"/>
        <v>47959</v>
      </c>
    </row>
    <row r="331" spans="2:2">
      <c r="B331" s="17">
        <f t="shared" si="5"/>
        <v>47966</v>
      </c>
    </row>
    <row r="332" spans="2:2">
      <c r="B332" s="17">
        <f t="shared" si="5"/>
        <v>47973</v>
      </c>
    </row>
    <row r="333" spans="2:2">
      <c r="B333" s="17">
        <f t="shared" si="5"/>
        <v>47980</v>
      </c>
    </row>
    <row r="334" spans="2:2">
      <c r="B334" s="17">
        <f t="shared" si="5"/>
        <v>47987</v>
      </c>
    </row>
    <row r="335" spans="2:2">
      <c r="B335" s="17">
        <f t="shared" si="5"/>
        <v>47994</v>
      </c>
    </row>
    <row r="336" spans="2:2">
      <c r="B336" s="17">
        <f t="shared" si="5"/>
        <v>48001</v>
      </c>
    </row>
    <row r="337" spans="2:2">
      <c r="B337" s="17">
        <f t="shared" si="5"/>
        <v>48008</v>
      </c>
    </row>
    <row r="338" spans="2:2">
      <c r="B338" s="17">
        <f t="shared" si="5"/>
        <v>48015</v>
      </c>
    </row>
    <row r="339" spans="2:2">
      <c r="B339" s="17">
        <f t="shared" si="5"/>
        <v>48022</v>
      </c>
    </row>
    <row r="340" spans="2:2">
      <c r="B340" s="17">
        <f t="shared" si="5"/>
        <v>48029</v>
      </c>
    </row>
    <row r="341" spans="2:2">
      <c r="B341" s="17">
        <f t="shared" si="5"/>
        <v>48036</v>
      </c>
    </row>
    <row r="342" spans="2:2">
      <c r="B342" s="17">
        <f t="shared" si="5"/>
        <v>48043</v>
      </c>
    </row>
    <row r="343" spans="2:2">
      <c r="B343" s="17">
        <f t="shared" si="5"/>
        <v>48050</v>
      </c>
    </row>
    <row r="344" spans="2:2">
      <c r="B344" s="17">
        <f t="shared" si="5"/>
        <v>48057</v>
      </c>
    </row>
    <row r="345" spans="2:2">
      <c r="B345" s="17">
        <f t="shared" si="5"/>
        <v>48064</v>
      </c>
    </row>
    <row r="346" spans="2:2">
      <c r="B346" s="17">
        <f t="shared" si="5"/>
        <v>48071</v>
      </c>
    </row>
    <row r="347" spans="2:2">
      <c r="B347" s="17">
        <f t="shared" si="5"/>
        <v>48078</v>
      </c>
    </row>
    <row r="348" spans="2:2">
      <c r="B348" s="17">
        <f t="shared" si="5"/>
        <v>48085</v>
      </c>
    </row>
    <row r="349" spans="2:2">
      <c r="B349" s="17">
        <f t="shared" si="5"/>
        <v>48092</v>
      </c>
    </row>
    <row r="350" spans="2:2">
      <c r="B350" s="17">
        <f t="shared" si="5"/>
        <v>48099</v>
      </c>
    </row>
    <row r="351" spans="2:2">
      <c r="B351" s="17">
        <f t="shared" si="5"/>
        <v>48106</v>
      </c>
    </row>
    <row r="352" spans="2:2">
      <c r="B352" s="17">
        <f t="shared" si="5"/>
        <v>48113</v>
      </c>
    </row>
    <row r="353" spans="2:2">
      <c r="B353" s="17">
        <f t="shared" si="5"/>
        <v>48120</v>
      </c>
    </row>
    <row r="354" spans="2:2">
      <c r="B354" s="17">
        <f t="shared" si="5"/>
        <v>48127</v>
      </c>
    </row>
    <row r="355" spans="2:2">
      <c r="B355" s="17">
        <f t="shared" si="5"/>
        <v>48134</v>
      </c>
    </row>
    <row r="356" spans="2:2">
      <c r="B356" s="17">
        <f t="shared" si="5"/>
        <v>48141</v>
      </c>
    </row>
    <row r="357" spans="2:2">
      <c r="B357" s="17">
        <f t="shared" si="5"/>
        <v>48148</v>
      </c>
    </row>
    <row r="358" spans="2:2">
      <c r="B358" s="17">
        <f t="shared" si="5"/>
        <v>48155</v>
      </c>
    </row>
    <row r="359" spans="2:2">
      <c r="B359" s="17">
        <f t="shared" si="5"/>
        <v>48162</v>
      </c>
    </row>
    <row r="360" spans="2:2">
      <c r="B360" s="17">
        <f t="shared" si="5"/>
        <v>48169</v>
      </c>
    </row>
    <row r="361" spans="2:2">
      <c r="B361" s="17">
        <f t="shared" si="5"/>
        <v>48176</v>
      </c>
    </row>
    <row r="362" spans="2:2">
      <c r="B362" s="17">
        <f t="shared" si="5"/>
        <v>48183</v>
      </c>
    </row>
    <row r="363" spans="2:2">
      <c r="B363" s="17">
        <f t="shared" si="5"/>
        <v>48190</v>
      </c>
    </row>
    <row r="364" spans="2:2">
      <c r="B364" s="17">
        <f t="shared" si="5"/>
        <v>48197</v>
      </c>
    </row>
    <row r="365" spans="2:2">
      <c r="B365" s="17">
        <f t="shared" si="5"/>
        <v>48204</v>
      </c>
    </row>
    <row r="366" spans="2:2">
      <c r="B366" s="17">
        <f t="shared" si="5"/>
        <v>48211</v>
      </c>
    </row>
    <row r="367" spans="2:2">
      <c r="B367" s="17">
        <f t="shared" si="5"/>
        <v>48218</v>
      </c>
    </row>
    <row r="368" spans="2:2">
      <c r="B368" s="17">
        <f t="shared" si="5"/>
        <v>48225</v>
      </c>
    </row>
    <row r="369" spans="2:2">
      <c r="B369" s="17">
        <f t="shared" si="5"/>
        <v>48232</v>
      </c>
    </row>
    <row r="370" spans="2:2">
      <c r="B370" s="17">
        <f t="shared" si="5"/>
        <v>48239</v>
      </c>
    </row>
    <row r="371" spans="2:2">
      <c r="B371" s="17">
        <f t="shared" si="5"/>
        <v>48246</v>
      </c>
    </row>
    <row r="372" spans="2:2">
      <c r="B372" s="17">
        <f t="shared" si="5"/>
        <v>48253</v>
      </c>
    </row>
    <row r="373" spans="2:2">
      <c r="B373" s="17">
        <f t="shared" si="5"/>
        <v>48260</v>
      </c>
    </row>
    <row r="374" spans="2:2">
      <c r="B374" s="17">
        <f t="shared" si="5"/>
        <v>48267</v>
      </c>
    </row>
    <row r="375" spans="2:2">
      <c r="B375" s="17">
        <f t="shared" si="5"/>
        <v>48274</v>
      </c>
    </row>
    <row r="376" spans="2:2">
      <c r="B376" s="17">
        <f t="shared" si="5"/>
        <v>48281</v>
      </c>
    </row>
    <row r="377" spans="2:2">
      <c r="B377" s="17">
        <f t="shared" si="5"/>
        <v>48288</v>
      </c>
    </row>
    <row r="378" spans="2:2">
      <c r="B378" s="17">
        <f t="shared" si="5"/>
        <v>48295</v>
      </c>
    </row>
    <row r="379" spans="2:2">
      <c r="B379" s="17">
        <f t="shared" si="5"/>
        <v>48302</v>
      </c>
    </row>
    <row r="380" spans="2:2">
      <c r="B380" s="17">
        <f t="shared" si="5"/>
        <v>48309</v>
      </c>
    </row>
    <row r="381" spans="2:2">
      <c r="B381" s="17">
        <f t="shared" si="5"/>
        <v>48316</v>
      </c>
    </row>
    <row r="382" spans="2:2">
      <c r="B382" s="17">
        <f t="shared" si="5"/>
        <v>48323</v>
      </c>
    </row>
    <row r="383" spans="2:2">
      <c r="B383" s="17">
        <f t="shared" si="5"/>
        <v>48330</v>
      </c>
    </row>
    <row r="384" spans="2:2">
      <c r="B384" s="17">
        <f t="shared" si="5"/>
        <v>48337</v>
      </c>
    </row>
    <row r="385" spans="2:2">
      <c r="B385" s="17">
        <f t="shared" si="5"/>
        <v>48344</v>
      </c>
    </row>
    <row r="386" spans="2:2">
      <c r="B386" s="17">
        <f t="shared" si="5"/>
        <v>48351</v>
      </c>
    </row>
    <row r="387" spans="2:2">
      <c r="B387" s="17">
        <f t="shared" si="5"/>
        <v>48358</v>
      </c>
    </row>
    <row r="388" spans="2:2">
      <c r="B388" s="17">
        <f t="shared" ref="B388:B451" si="6">B387+7-WEEKDAY(B387,2)+1</f>
        <v>48365</v>
      </c>
    </row>
    <row r="389" spans="2:2">
      <c r="B389" s="17">
        <f t="shared" si="6"/>
        <v>48372</v>
      </c>
    </row>
    <row r="390" spans="2:2">
      <c r="B390" s="17">
        <f t="shared" si="6"/>
        <v>48379</v>
      </c>
    </row>
    <row r="391" spans="2:2">
      <c r="B391" s="17">
        <f t="shared" si="6"/>
        <v>48386</v>
      </c>
    </row>
    <row r="392" spans="2:2">
      <c r="B392" s="17">
        <f t="shared" si="6"/>
        <v>48393</v>
      </c>
    </row>
    <row r="393" spans="2:2">
      <c r="B393" s="17">
        <f t="shared" si="6"/>
        <v>48400</v>
      </c>
    </row>
    <row r="394" spans="2:2">
      <c r="B394" s="17">
        <f t="shared" si="6"/>
        <v>48407</v>
      </c>
    </row>
    <row r="395" spans="2:2">
      <c r="B395" s="17">
        <f t="shared" si="6"/>
        <v>48414</v>
      </c>
    </row>
    <row r="396" spans="2:2">
      <c r="B396" s="17">
        <f t="shared" si="6"/>
        <v>48421</v>
      </c>
    </row>
    <row r="397" spans="2:2">
      <c r="B397" s="17">
        <f t="shared" si="6"/>
        <v>48428</v>
      </c>
    </row>
    <row r="398" spans="2:2">
      <c r="B398" s="17">
        <f t="shared" si="6"/>
        <v>48435</v>
      </c>
    </row>
    <row r="399" spans="2:2">
      <c r="B399" s="17">
        <f t="shared" si="6"/>
        <v>48442</v>
      </c>
    </row>
    <row r="400" spans="2:2">
      <c r="B400" s="17">
        <f t="shared" si="6"/>
        <v>48449</v>
      </c>
    </row>
    <row r="401" spans="2:2">
      <c r="B401" s="17">
        <f t="shared" si="6"/>
        <v>48456</v>
      </c>
    </row>
    <row r="402" spans="2:2">
      <c r="B402" s="17">
        <f t="shared" si="6"/>
        <v>48463</v>
      </c>
    </row>
    <row r="403" spans="2:2">
      <c r="B403" s="17">
        <f t="shared" si="6"/>
        <v>48470</v>
      </c>
    </row>
    <row r="404" spans="2:2">
      <c r="B404" s="17">
        <f t="shared" si="6"/>
        <v>48477</v>
      </c>
    </row>
    <row r="405" spans="2:2">
      <c r="B405" s="17">
        <f t="shared" si="6"/>
        <v>48484</v>
      </c>
    </row>
    <row r="406" spans="2:2">
      <c r="B406" s="17">
        <f t="shared" si="6"/>
        <v>48491</v>
      </c>
    </row>
    <row r="407" spans="2:2">
      <c r="B407" s="17">
        <f t="shared" si="6"/>
        <v>48498</v>
      </c>
    </row>
    <row r="408" spans="2:2">
      <c r="B408" s="17">
        <f t="shared" si="6"/>
        <v>48505</v>
      </c>
    </row>
    <row r="409" spans="2:2">
      <c r="B409" s="17">
        <f t="shared" si="6"/>
        <v>48512</v>
      </c>
    </row>
    <row r="410" spans="2:2">
      <c r="B410" s="17">
        <f t="shared" si="6"/>
        <v>48519</v>
      </c>
    </row>
    <row r="411" spans="2:2">
      <c r="B411" s="17">
        <f t="shared" si="6"/>
        <v>48526</v>
      </c>
    </row>
    <row r="412" spans="2:2">
      <c r="B412" s="17">
        <f t="shared" si="6"/>
        <v>48533</v>
      </c>
    </row>
    <row r="413" spans="2:2">
      <c r="B413" s="17">
        <f t="shared" si="6"/>
        <v>48540</v>
      </c>
    </row>
    <row r="414" spans="2:2">
      <c r="B414" s="17">
        <f t="shared" si="6"/>
        <v>48547</v>
      </c>
    </row>
    <row r="415" spans="2:2">
      <c r="B415" s="17">
        <f t="shared" si="6"/>
        <v>48554</v>
      </c>
    </row>
    <row r="416" spans="2:2">
      <c r="B416" s="17">
        <f t="shared" si="6"/>
        <v>48561</v>
      </c>
    </row>
    <row r="417" spans="2:2">
      <c r="B417" s="17">
        <f t="shared" si="6"/>
        <v>48568</v>
      </c>
    </row>
    <row r="418" spans="2:2">
      <c r="B418" s="17">
        <f t="shared" si="6"/>
        <v>48575</v>
      </c>
    </row>
    <row r="419" spans="2:2">
      <c r="B419" s="17">
        <f t="shared" si="6"/>
        <v>48582</v>
      </c>
    </row>
    <row r="420" spans="2:2">
      <c r="B420" s="17">
        <f t="shared" si="6"/>
        <v>48589</v>
      </c>
    </row>
    <row r="421" spans="2:2">
      <c r="B421" s="17">
        <f t="shared" si="6"/>
        <v>48596</v>
      </c>
    </row>
    <row r="422" spans="2:2">
      <c r="B422" s="17">
        <f t="shared" si="6"/>
        <v>48603</v>
      </c>
    </row>
    <row r="423" spans="2:2">
      <c r="B423" s="17">
        <f t="shared" si="6"/>
        <v>48610</v>
      </c>
    </row>
    <row r="424" spans="2:2">
      <c r="B424" s="17">
        <f t="shared" si="6"/>
        <v>48617</v>
      </c>
    </row>
    <row r="425" spans="2:2">
      <c r="B425" s="17">
        <f t="shared" si="6"/>
        <v>48624</v>
      </c>
    </row>
    <row r="426" spans="2:2">
      <c r="B426" s="17">
        <f t="shared" si="6"/>
        <v>48631</v>
      </c>
    </row>
    <row r="427" spans="2:2">
      <c r="B427" s="17">
        <f t="shared" si="6"/>
        <v>48638</v>
      </c>
    </row>
    <row r="428" spans="2:2">
      <c r="B428" s="17">
        <f t="shared" si="6"/>
        <v>48645</v>
      </c>
    </row>
    <row r="429" spans="2:2">
      <c r="B429" s="17">
        <f t="shared" si="6"/>
        <v>48652</v>
      </c>
    </row>
    <row r="430" spans="2:2">
      <c r="B430" s="17">
        <f t="shared" si="6"/>
        <v>48659</v>
      </c>
    </row>
    <row r="431" spans="2:2">
      <c r="B431" s="17">
        <f t="shared" si="6"/>
        <v>48666</v>
      </c>
    </row>
    <row r="432" spans="2:2">
      <c r="B432" s="17">
        <f t="shared" si="6"/>
        <v>48673</v>
      </c>
    </row>
    <row r="433" spans="2:2">
      <c r="B433" s="17">
        <f t="shared" si="6"/>
        <v>48680</v>
      </c>
    </row>
    <row r="434" spans="2:2">
      <c r="B434" s="17">
        <f t="shared" si="6"/>
        <v>48687</v>
      </c>
    </row>
    <row r="435" spans="2:2">
      <c r="B435" s="17">
        <f t="shared" si="6"/>
        <v>48694</v>
      </c>
    </row>
    <row r="436" spans="2:2">
      <c r="B436" s="17">
        <f t="shared" si="6"/>
        <v>48701</v>
      </c>
    </row>
    <row r="437" spans="2:2">
      <c r="B437" s="17">
        <f t="shared" si="6"/>
        <v>48708</v>
      </c>
    </row>
    <row r="438" spans="2:2">
      <c r="B438" s="17">
        <f t="shared" si="6"/>
        <v>48715</v>
      </c>
    </row>
    <row r="439" spans="2:2">
      <c r="B439" s="17">
        <f t="shared" si="6"/>
        <v>48722</v>
      </c>
    </row>
    <row r="440" spans="2:2">
      <c r="B440" s="17">
        <f t="shared" si="6"/>
        <v>48729</v>
      </c>
    </row>
    <row r="441" spans="2:2">
      <c r="B441" s="17">
        <f t="shared" si="6"/>
        <v>48736</v>
      </c>
    </row>
    <row r="442" spans="2:2">
      <c r="B442" s="17">
        <f t="shared" si="6"/>
        <v>48743</v>
      </c>
    </row>
    <row r="443" spans="2:2">
      <c r="B443" s="17">
        <f t="shared" si="6"/>
        <v>48750</v>
      </c>
    </row>
    <row r="444" spans="2:2">
      <c r="B444" s="17">
        <f t="shared" si="6"/>
        <v>48757</v>
      </c>
    </row>
    <row r="445" spans="2:2">
      <c r="B445" s="17">
        <f t="shared" si="6"/>
        <v>48764</v>
      </c>
    </row>
    <row r="446" spans="2:2">
      <c r="B446" s="17">
        <f t="shared" si="6"/>
        <v>48771</v>
      </c>
    </row>
    <row r="447" spans="2:2">
      <c r="B447" s="17">
        <f t="shared" si="6"/>
        <v>48778</v>
      </c>
    </row>
    <row r="448" spans="2:2">
      <c r="B448" s="17">
        <f t="shared" si="6"/>
        <v>48785</v>
      </c>
    </row>
    <row r="449" spans="2:2">
      <c r="B449" s="17">
        <f t="shared" si="6"/>
        <v>48792</v>
      </c>
    </row>
    <row r="450" spans="2:2">
      <c r="B450" s="17">
        <f t="shared" si="6"/>
        <v>48799</v>
      </c>
    </row>
    <row r="451" spans="2:2">
      <c r="B451" s="17">
        <f t="shared" si="6"/>
        <v>48806</v>
      </c>
    </row>
    <row r="452" spans="2:2">
      <c r="B452" s="17">
        <f t="shared" ref="B452:B515" si="7">B451+7-WEEKDAY(B451,2)+1</f>
        <v>48813</v>
      </c>
    </row>
    <row r="453" spans="2:2">
      <c r="B453" s="17">
        <f t="shared" si="7"/>
        <v>48820</v>
      </c>
    </row>
    <row r="454" spans="2:2">
      <c r="B454" s="17">
        <f t="shared" si="7"/>
        <v>48827</v>
      </c>
    </row>
    <row r="455" spans="2:2">
      <c r="B455" s="17">
        <f t="shared" si="7"/>
        <v>48834</v>
      </c>
    </row>
    <row r="456" spans="2:2">
      <c r="B456" s="17">
        <f t="shared" si="7"/>
        <v>48841</v>
      </c>
    </row>
    <row r="457" spans="2:2">
      <c r="B457" s="17">
        <f t="shared" si="7"/>
        <v>48848</v>
      </c>
    </row>
    <row r="458" spans="2:2">
      <c r="B458" s="17">
        <f t="shared" si="7"/>
        <v>48855</v>
      </c>
    </row>
    <row r="459" spans="2:2">
      <c r="B459" s="17">
        <f t="shared" si="7"/>
        <v>48862</v>
      </c>
    </row>
    <row r="460" spans="2:2">
      <c r="B460" s="17">
        <f t="shared" si="7"/>
        <v>48869</v>
      </c>
    </row>
    <row r="461" spans="2:2">
      <c r="B461" s="17">
        <f t="shared" si="7"/>
        <v>48876</v>
      </c>
    </row>
    <row r="462" spans="2:2">
      <c r="B462" s="17">
        <f t="shared" si="7"/>
        <v>48883</v>
      </c>
    </row>
    <row r="463" spans="2:2">
      <c r="B463" s="17">
        <f t="shared" si="7"/>
        <v>48890</v>
      </c>
    </row>
    <row r="464" spans="2:2">
      <c r="B464" s="17">
        <f t="shared" si="7"/>
        <v>48897</v>
      </c>
    </row>
    <row r="465" spans="2:2">
      <c r="B465" s="17">
        <f t="shared" si="7"/>
        <v>48904</v>
      </c>
    </row>
    <row r="466" spans="2:2">
      <c r="B466" s="17">
        <f t="shared" si="7"/>
        <v>48911</v>
      </c>
    </row>
    <row r="467" spans="2:2">
      <c r="B467" s="17">
        <f t="shared" si="7"/>
        <v>48918</v>
      </c>
    </row>
    <row r="468" spans="2:2">
      <c r="B468" s="17">
        <f t="shared" si="7"/>
        <v>48925</v>
      </c>
    </row>
    <row r="469" spans="2:2">
      <c r="B469" s="17">
        <f t="shared" si="7"/>
        <v>48932</v>
      </c>
    </row>
    <row r="470" spans="2:2">
      <c r="B470" s="17">
        <f t="shared" si="7"/>
        <v>48939</v>
      </c>
    </row>
    <row r="471" spans="2:2">
      <c r="B471" s="17">
        <f t="shared" si="7"/>
        <v>48946</v>
      </c>
    </row>
    <row r="472" spans="2:2">
      <c r="B472" s="17">
        <f t="shared" si="7"/>
        <v>48953</v>
      </c>
    </row>
    <row r="473" spans="2:2">
      <c r="B473" s="17">
        <f t="shared" si="7"/>
        <v>48960</v>
      </c>
    </row>
    <row r="474" spans="2:2">
      <c r="B474" s="17">
        <f t="shared" si="7"/>
        <v>48967</v>
      </c>
    </row>
    <row r="475" spans="2:2">
      <c r="B475" s="17">
        <f t="shared" si="7"/>
        <v>48974</v>
      </c>
    </row>
    <row r="476" spans="2:2">
      <c r="B476" s="17">
        <f t="shared" si="7"/>
        <v>48981</v>
      </c>
    </row>
    <row r="477" spans="2:2">
      <c r="B477" s="17">
        <f t="shared" si="7"/>
        <v>48988</v>
      </c>
    </row>
    <row r="478" spans="2:2">
      <c r="B478" s="17">
        <f t="shared" si="7"/>
        <v>48995</v>
      </c>
    </row>
    <row r="479" spans="2:2">
      <c r="B479" s="17">
        <f t="shared" si="7"/>
        <v>49002</v>
      </c>
    </row>
    <row r="480" spans="2:2">
      <c r="B480" s="17">
        <f t="shared" si="7"/>
        <v>49009</v>
      </c>
    </row>
    <row r="481" spans="2:2">
      <c r="B481" s="17">
        <f t="shared" si="7"/>
        <v>49016</v>
      </c>
    </row>
    <row r="482" spans="2:2">
      <c r="B482" s="17">
        <f t="shared" si="7"/>
        <v>49023</v>
      </c>
    </row>
    <row r="483" spans="2:2">
      <c r="B483" s="17">
        <f t="shared" si="7"/>
        <v>49030</v>
      </c>
    </row>
    <row r="484" spans="2:2">
      <c r="B484" s="17">
        <f t="shared" si="7"/>
        <v>49037</v>
      </c>
    </row>
    <row r="485" spans="2:2">
      <c r="B485" s="17">
        <f t="shared" si="7"/>
        <v>49044</v>
      </c>
    </row>
    <row r="486" spans="2:2">
      <c r="B486" s="17">
        <f t="shared" si="7"/>
        <v>49051</v>
      </c>
    </row>
    <row r="487" spans="2:2">
      <c r="B487" s="17">
        <f t="shared" si="7"/>
        <v>49058</v>
      </c>
    </row>
    <row r="488" spans="2:2">
      <c r="B488" s="17">
        <f t="shared" si="7"/>
        <v>49065</v>
      </c>
    </row>
    <row r="489" spans="2:2">
      <c r="B489" s="17">
        <f t="shared" si="7"/>
        <v>49072</v>
      </c>
    </row>
    <row r="490" spans="2:2">
      <c r="B490" s="17">
        <f t="shared" si="7"/>
        <v>49079</v>
      </c>
    </row>
    <row r="491" spans="2:2">
      <c r="B491" s="17">
        <f t="shared" si="7"/>
        <v>49086</v>
      </c>
    </row>
    <row r="492" spans="2:2">
      <c r="B492" s="17">
        <f t="shared" si="7"/>
        <v>49093</v>
      </c>
    </row>
    <row r="493" spans="2:2">
      <c r="B493" s="17">
        <f t="shared" si="7"/>
        <v>49100</v>
      </c>
    </row>
    <row r="494" spans="2:2">
      <c r="B494" s="17">
        <f t="shared" si="7"/>
        <v>49107</v>
      </c>
    </row>
    <row r="495" spans="2:2">
      <c r="B495" s="17">
        <f t="shared" si="7"/>
        <v>49114</v>
      </c>
    </row>
    <row r="496" spans="2:2">
      <c r="B496" s="17">
        <f t="shared" si="7"/>
        <v>49121</v>
      </c>
    </row>
    <row r="497" spans="2:2">
      <c r="B497" s="17">
        <f t="shared" si="7"/>
        <v>49128</v>
      </c>
    </row>
    <row r="498" spans="2:2">
      <c r="B498" s="17">
        <f t="shared" si="7"/>
        <v>49135</v>
      </c>
    </row>
    <row r="499" spans="2:2">
      <c r="B499" s="17">
        <f t="shared" si="7"/>
        <v>49142</v>
      </c>
    </row>
    <row r="500" spans="2:2">
      <c r="B500" s="17">
        <f t="shared" si="7"/>
        <v>49149</v>
      </c>
    </row>
    <row r="501" spans="2:2">
      <c r="B501" s="17">
        <f t="shared" si="7"/>
        <v>49156</v>
      </c>
    </row>
    <row r="502" spans="2:2">
      <c r="B502" s="17">
        <f t="shared" si="7"/>
        <v>49163</v>
      </c>
    </row>
    <row r="503" spans="2:2">
      <c r="B503" s="17">
        <f t="shared" si="7"/>
        <v>49170</v>
      </c>
    </row>
    <row r="504" spans="2:2">
      <c r="B504" s="17">
        <f t="shared" si="7"/>
        <v>49177</v>
      </c>
    </row>
    <row r="505" spans="2:2">
      <c r="B505" s="17">
        <f t="shared" si="7"/>
        <v>49184</v>
      </c>
    </row>
    <row r="506" spans="2:2">
      <c r="B506" s="17">
        <f t="shared" si="7"/>
        <v>49191</v>
      </c>
    </row>
    <row r="507" spans="2:2">
      <c r="B507" s="17">
        <f t="shared" si="7"/>
        <v>49198</v>
      </c>
    </row>
    <row r="508" spans="2:2">
      <c r="B508" s="17">
        <f t="shared" si="7"/>
        <v>49205</v>
      </c>
    </row>
    <row r="509" spans="2:2">
      <c r="B509" s="17">
        <f t="shared" si="7"/>
        <v>49212</v>
      </c>
    </row>
    <row r="510" spans="2:2">
      <c r="B510" s="17">
        <f t="shared" si="7"/>
        <v>49219</v>
      </c>
    </row>
    <row r="511" spans="2:2">
      <c r="B511" s="17">
        <f t="shared" si="7"/>
        <v>49226</v>
      </c>
    </row>
    <row r="512" spans="2:2">
      <c r="B512" s="17">
        <f t="shared" si="7"/>
        <v>49233</v>
      </c>
    </row>
    <row r="513" spans="2:2">
      <c r="B513" s="17">
        <f t="shared" si="7"/>
        <v>49240</v>
      </c>
    </row>
    <row r="514" spans="2:2">
      <c r="B514" s="17">
        <f t="shared" si="7"/>
        <v>49247</v>
      </c>
    </row>
    <row r="515" spans="2:2">
      <c r="B515" s="17">
        <f t="shared" si="7"/>
        <v>49254</v>
      </c>
    </row>
    <row r="516" spans="2:2">
      <c r="B516" s="17">
        <f t="shared" ref="B516:B579" si="8">B515+7-WEEKDAY(B515,2)+1</f>
        <v>49261</v>
      </c>
    </row>
    <row r="517" spans="2:2">
      <c r="B517" s="17">
        <f t="shared" si="8"/>
        <v>49268</v>
      </c>
    </row>
    <row r="518" spans="2:2">
      <c r="B518" s="17">
        <f t="shared" si="8"/>
        <v>49275</v>
      </c>
    </row>
    <row r="519" spans="2:2">
      <c r="B519" s="17">
        <f t="shared" si="8"/>
        <v>49282</v>
      </c>
    </row>
    <row r="520" spans="2:2">
      <c r="B520" s="17">
        <f t="shared" si="8"/>
        <v>49289</v>
      </c>
    </row>
    <row r="521" spans="2:2">
      <c r="B521" s="17">
        <f t="shared" si="8"/>
        <v>49296</v>
      </c>
    </row>
    <row r="522" spans="2:2">
      <c r="B522" s="17">
        <f t="shared" si="8"/>
        <v>49303</v>
      </c>
    </row>
    <row r="523" spans="2:2">
      <c r="B523" s="17">
        <f t="shared" si="8"/>
        <v>49310</v>
      </c>
    </row>
    <row r="524" spans="2:2">
      <c r="B524" s="17">
        <f t="shared" si="8"/>
        <v>49317</v>
      </c>
    </row>
    <row r="525" spans="2:2">
      <c r="B525" s="17">
        <f t="shared" si="8"/>
        <v>49324</v>
      </c>
    </row>
    <row r="526" spans="2:2">
      <c r="B526" s="17">
        <f t="shared" si="8"/>
        <v>49331</v>
      </c>
    </row>
    <row r="527" spans="2:2">
      <c r="B527" s="17">
        <f t="shared" si="8"/>
        <v>49338</v>
      </c>
    </row>
    <row r="528" spans="2:2">
      <c r="B528" s="17">
        <f t="shared" si="8"/>
        <v>49345</v>
      </c>
    </row>
    <row r="529" spans="2:2">
      <c r="B529" s="17">
        <f t="shared" si="8"/>
        <v>49352</v>
      </c>
    </row>
    <row r="530" spans="2:2">
      <c r="B530" s="17">
        <f t="shared" si="8"/>
        <v>49359</v>
      </c>
    </row>
    <row r="531" spans="2:2">
      <c r="B531" s="17">
        <f t="shared" si="8"/>
        <v>49366</v>
      </c>
    </row>
    <row r="532" spans="2:2">
      <c r="B532" s="17">
        <f t="shared" si="8"/>
        <v>49373</v>
      </c>
    </row>
    <row r="533" spans="2:2">
      <c r="B533" s="17">
        <f t="shared" si="8"/>
        <v>49380</v>
      </c>
    </row>
    <row r="534" spans="2:2">
      <c r="B534" s="17">
        <f t="shared" si="8"/>
        <v>49387</v>
      </c>
    </row>
    <row r="535" spans="2:2">
      <c r="B535" s="17">
        <f t="shared" si="8"/>
        <v>49394</v>
      </c>
    </row>
    <row r="536" spans="2:2">
      <c r="B536" s="17">
        <f t="shared" si="8"/>
        <v>49401</v>
      </c>
    </row>
    <row r="537" spans="2:2">
      <c r="B537" s="17">
        <f t="shared" si="8"/>
        <v>49408</v>
      </c>
    </row>
    <row r="538" spans="2:2">
      <c r="B538" s="17">
        <f t="shared" si="8"/>
        <v>49415</v>
      </c>
    </row>
    <row r="539" spans="2:2">
      <c r="B539" s="17">
        <f t="shared" si="8"/>
        <v>49422</v>
      </c>
    </row>
    <row r="540" spans="2:2">
      <c r="B540" s="17">
        <f t="shared" si="8"/>
        <v>49429</v>
      </c>
    </row>
    <row r="541" spans="2:2">
      <c r="B541" s="17">
        <f t="shared" si="8"/>
        <v>49436</v>
      </c>
    </row>
    <row r="542" spans="2:2">
      <c r="B542" s="17">
        <f t="shared" si="8"/>
        <v>49443</v>
      </c>
    </row>
    <row r="543" spans="2:2">
      <c r="B543" s="17">
        <f t="shared" si="8"/>
        <v>49450</v>
      </c>
    </row>
    <row r="544" spans="2:2">
      <c r="B544" s="17">
        <f t="shared" si="8"/>
        <v>49457</v>
      </c>
    </row>
    <row r="545" spans="2:2">
      <c r="B545" s="17">
        <f t="shared" si="8"/>
        <v>49464</v>
      </c>
    </row>
    <row r="546" spans="2:2">
      <c r="B546" s="17">
        <f t="shared" si="8"/>
        <v>49471</v>
      </c>
    </row>
    <row r="547" spans="2:2">
      <c r="B547" s="17">
        <f t="shared" si="8"/>
        <v>49478</v>
      </c>
    </row>
    <row r="548" spans="2:2">
      <c r="B548" s="17">
        <f t="shared" si="8"/>
        <v>49485</v>
      </c>
    </row>
    <row r="549" spans="2:2">
      <c r="B549" s="17">
        <f t="shared" si="8"/>
        <v>49492</v>
      </c>
    </row>
    <row r="550" spans="2:2">
      <c r="B550" s="17">
        <f t="shared" si="8"/>
        <v>49499</v>
      </c>
    </row>
    <row r="551" spans="2:2">
      <c r="B551" s="17">
        <f t="shared" si="8"/>
        <v>49506</v>
      </c>
    </row>
    <row r="552" spans="2:2">
      <c r="B552" s="17">
        <f t="shared" si="8"/>
        <v>49513</v>
      </c>
    </row>
    <row r="553" spans="2:2">
      <c r="B553" s="17">
        <f t="shared" si="8"/>
        <v>49520</v>
      </c>
    </row>
    <row r="554" spans="2:2">
      <c r="B554" s="17">
        <f t="shared" si="8"/>
        <v>49527</v>
      </c>
    </row>
    <row r="555" spans="2:2">
      <c r="B555" s="17">
        <f t="shared" si="8"/>
        <v>49534</v>
      </c>
    </row>
    <row r="556" spans="2:2">
      <c r="B556" s="17">
        <f t="shared" si="8"/>
        <v>49541</v>
      </c>
    </row>
    <row r="557" spans="2:2">
      <c r="B557" s="17">
        <f t="shared" si="8"/>
        <v>49548</v>
      </c>
    </row>
    <row r="558" spans="2:2">
      <c r="B558" s="17">
        <f t="shared" si="8"/>
        <v>49555</v>
      </c>
    </row>
    <row r="559" spans="2:2">
      <c r="B559" s="17">
        <f t="shared" si="8"/>
        <v>49562</v>
      </c>
    </row>
    <row r="560" spans="2:2">
      <c r="B560" s="17">
        <f t="shared" si="8"/>
        <v>49569</v>
      </c>
    </row>
    <row r="561" spans="2:2">
      <c r="B561" s="17">
        <f t="shared" si="8"/>
        <v>49576</v>
      </c>
    </row>
    <row r="562" spans="2:2">
      <c r="B562" s="17">
        <f t="shared" si="8"/>
        <v>49583</v>
      </c>
    </row>
    <row r="563" spans="2:2">
      <c r="B563" s="17">
        <f t="shared" si="8"/>
        <v>49590</v>
      </c>
    </row>
    <row r="564" spans="2:2">
      <c r="B564" s="17">
        <f t="shared" si="8"/>
        <v>49597</v>
      </c>
    </row>
    <row r="565" spans="2:2">
      <c r="B565" s="17">
        <f t="shared" si="8"/>
        <v>49604</v>
      </c>
    </row>
    <row r="566" spans="2:2">
      <c r="B566" s="17">
        <f t="shared" si="8"/>
        <v>49611</v>
      </c>
    </row>
    <row r="567" spans="2:2">
      <c r="B567" s="17">
        <f t="shared" si="8"/>
        <v>49618</v>
      </c>
    </row>
    <row r="568" spans="2:2">
      <c r="B568" s="17">
        <f t="shared" si="8"/>
        <v>49625</v>
      </c>
    </row>
    <row r="569" spans="2:2">
      <c r="B569" s="17">
        <f t="shared" si="8"/>
        <v>49632</v>
      </c>
    </row>
    <row r="570" spans="2:2">
      <c r="B570" s="17">
        <f t="shared" si="8"/>
        <v>49639</v>
      </c>
    </row>
    <row r="571" spans="2:2">
      <c r="B571" s="17">
        <f t="shared" si="8"/>
        <v>49646</v>
      </c>
    </row>
    <row r="572" spans="2:2">
      <c r="B572" s="17">
        <f t="shared" si="8"/>
        <v>49653</v>
      </c>
    </row>
    <row r="573" spans="2:2">
      <c r="B573" s="17">
        <f t="shared" si="8"/>
        <v>49660</v>
      </c>
    </row>
    <row r="574" spans="2:2">
      <c r="B574" s="17">
        <f t="shared" si="8"/>
        <v>49667</v>
      </c>
    </row>
    <row r="575" spans="2:2">
      <c r="B575" s="17">
        <f t="shared" si="8"/>
        <v>49674</v>
      </c>
    </row>
    <row r="576" spans="2:2">
      <c r="B576" s="17">
        <f t="shared" si="8"/>
        <v>49681</v>
      </c>
    </row>
    <row r="577" spans="2:2">
      <c r="B577" s="17">
        <f t="shared" si="8"/>
        <v>49688</v>
      </c>
    </row>
    <row r="578" spans="2:2">
      <c r="B578" s="17">
        <f t="shared" si="8"/>
        <v>49695</v>
      </c>
    </row>
    <row r="579" spans="2:2">
      <c r="B579" s="17">
        <f t="shared" si="8"/>
        <v>49702</v>
      </c>
    </row>
    <row r="580" spans="2:2">
      <c r="B580" s="17">
        <f t="shared" ref="B580:B643" si="9">B579+7-WEEKDAY(B579,2)+1</f>
        <v>49709</v>
      </c>
    </row>
    <row r="581" spans="2:2">
      <c r="B581" s="17">
        <f t="shared" si="9"/>
        <v>49716</v>
      </c>
    </row>
    <row r="582" spans="2:2">
      <c r="B582" s="17">
        <f t="shared" si="9"/>
        <v>49723</v>
      </c>
    </row>
    <row r="583" spans="2:2">
      <c r="B583" s="17">
        <f t="shared" si="9"/>
        <v>49730</v>
      </c>
    </row>
    <row r="584" spans="2:2">
      <c r="B584" s="17">
        <f t="shared" si="9"/>
        <v>49737</v>
      </c>
    </row>
    <row r="585" spans="2:2">
      <c r="B585" s="17">
        <f t="shared" si="9"/>
        <v>49744</v>
      </c>
    </row>
    <row r="586" spans="2:2">
      <c r="B586" s="17">
        <f t="shared" si="9"/>
        <v>49751</v>
      </c>
    </row>
    <row r="587" spans="2:2">
      <c r="B587" s="17">
        <f t="shared" si="9"/>
        <v>49758</v>
      </c>
    </row>
    <row r="588" spans="2:2">
      <c r="B588" s="17">
        <f t="shared" si="9"/>
        <v>49765</v>
      </c>
    </row>
    <row r="589" spans="2:2">
      <c r="B589" s="17">
        <f t="shared" si="9"/>
        <v>49772</v>
      </c>
    </row>
    <row r="590" spans="2:2">
      <c r="B590" s="17">
        <f t="shared" si="9"/>
        <v>49779</v>
      </c>
    </row>
    <row r="591" spans="2:2">
      <c r="B591" s="17">
        <f t="shared" si="9"/>
        <v>49786</v>
      </c>
    </row>
    <row r="592" spans="2:2">
      <c r="B592" s="17">
        <f t="shared" si="9"/>
        <v>49793</v>
      </c>
    </row>
    <row r="593" spans="2:2">
      <c r="B593" s="17">
        <f t="shared" si="9"/>
        <v>49800</v>
      </c>
    </row>
    <row r="594" spans="2:2">
      <c r="B594" s="17">
        <f t="shared" si="9"/>
        <v>49807</v>
      </c>
    </row>
    <row r="595" spans="2:2">
      <c r="B595" s="17">
        <f t="shared" si="9"/>
        <v>49814</v>
      </c>
    </row>
    <row r="596" spans="2:2">
      <c r="B596" s="17">
        <f t="shared" si="9"/>
        <v>49821</v>
      </c>
    </row>
    <row r="597" spans="2:2">
      <c r="B597" s="17">
        <f t="shared" si="9"/>
        <v>49828</v>
      </c>
    </row>
    <row r="598" spans="2:2">
      <c r="B598" s="17">
        <f t="shared" si="9"/>
        <v>49835</v>
      </c>
    </row>
    <row r="599" spans="2:2">
      <c r="B599" s="17">
        <f t="shared" si="9"/>
        <v>49842</v>
      </c>
    </row>
    <row r="600" spans="2:2">
      <c r="B600" s="17">
        <f t="shared" si="9"/>
        <v>49849</v>
      </c>
    </row>
    <row r="601" spans="2:2">
      <c r="B601" s="17">
        <f t="shared" si="9"/>
        <v>49856</v>
      </c>
    </row>
    <row r="602" spans="2:2">
      <c r="B602" s="17">
        <f t="shared" si="9"/>
        <v>49863</v>
      </c>
    </row>
    <row r="603" spans="2:2">
      <c r="B603" s="17">
        <f t="shared" si="9"/>
        <v>49870</v>
      </c>
    </row>
    <row r="604" spans="2:2">
      <c r="B604" s="17">
        <f t="shared" si="9"/>
        <v>49877</v>
      </c>
    </row>
    <row r="605" spans="2:2">
      <c r="B605" s="17">
        <f t="shared" si="9"/>
        <v>49884</v>
      </c>
    </row>
    <row r="606" spans="2:2">
      <c r="B606" s="17">
        <f t="shared" si="9"/>
        <v>49891</v>
      </c>
    </row>
    <row r="607" spans="2:2">
      <c r="B607" s="17">
        <f t="shared" si="9"/>
        <v>49898</v>
      </c>
    </row>
    <row r="608" spans="2:2">
      <c r="B608" s="17">
        <f t="shared" si="9"/>
        <v>49905</v>
      </c>
    </row>
    <row r="609" spans="2:2">
      <c r="B609" s="17">
        <f t="shared" si="9"/>
        <v>49912</v>
      </c>
    </row>
    <row r="610" spans="2:2">
      <c r="B610" s="17">
        <f t="shared" si="9"/>
        <v>49919</v>
      </c>
    </row>
    <row r="611" spans="2:2">
      <c r="B611" s="17">
        <f t="shared" si="9"/>
        <v>49926</v>
      </c>
    </row>
    <row r="612" spans="2:2">
      <c r="B612" s="17">
        <f t="shared" si="9"/>
        <v>49933</v>
      </c>
    </row>
    <row r="613" spans="2:2">
      <c r="B613" s="17">
        <f t="shared" si="9"/>
        <v>49940</v>
      </c>
    </row>
    <row r="614" spans="2:2">
      <c r="B614" s="17">
        <f t="shared" si="9"/>
        <v>49947</v>
      </c>
    </row>
    <row r="615" spans="2:2">
      <c r="B615" s="17">
        <f t="shared" si="9"/>
        <v>49954</v>
      </c>
    </row>
    <row r="616" spans="2:2">
      <c r="B616" s="17">
        <f t="shared" si="9"/>
        <v>49961</v>
      </c>
    </row>
    <row r="617" spans="2:2">
      <c r="B617" s="17">
        <f t="shared" si="9"/>
        <v>49968</v>
      </c>
    </row>
    <row r="618" spans="2:2">
      <c r="B618" s="17">
        <f t="shared" si="9"/>
        <v>49975</v>
      </c>
    </row>
    <row r="619" spans="2:2">
      <c r="B619" s="17">
        <f t="shared" si="9"/>
        <v>49982</v>
      </c>
    </row>
    <row r="620" spans="2:2">
      <c r="B620" s="17">
        <f t="shared" si="9"/>
        <v>49989</v>
      </c>
    </row>
    <row r="621" spans="2:2">
      <c r="B621" s="17">
        <f t="shared" si="9"/>
        <v>49996</v>
      </c>
    </row>
    <row r="622" spans="2:2">
      <c r="B622" s="17">
        <f t="shared" si="9"/>
        <v>50003</v>
      </c>
    </row>
    <row r="623" spans="2:2">
      <c r="B623" s="17">
        <f t="shared" si="9"/>
        <v>50010</v>
      </c>
    </row>
    <row r="624" spans="2:2">
      <c r="B624" s="17">
        <f t="shared" si="9"/>
        <v>50017</v>
      </c>
    </row>
    <row r="625" spans="2:2">
      <c r="B625" s="17">
        <f t="shared" si="9"/>
        <v>50024</v>
      </c>
    </row>
    <row r="626" spans="2:2">
      <c r="B626" s="17">
        <f t="shared" si="9"/>
        <v>50031</v>
      </c>
    </row>
    <row r="627" spans="2:2">
      <c r="B627" s="17">
        <f t="shared" si="9"/>
        <v>50038</v>
      </c>
    </row>
    <row r="628" spans="2:2">
      <c r="B628" s="17">
        <f t="shared" si="9"/>
        <v>50045</v>
      </c>
    </row>
    <row r="629" spans="2:2">
      <c r="B629" s="17">
        <f t="shared" si="9"/>
        <v>50052</v>
      </c>
    </row>
    <row r="630" spans="2:2">
      <c r="B630" s="17">
        <f t="shared" si="9"/>
        <v>50059</v>
      </c>
    </row>
    <row r="631" spans="2:2">
      <c r="B631" s="17">
        <f t="shared" si="9"/>
        <v>50066</v>
      </c>
    </row>
    <row r="632" spans="2:2">
      <c r="B632" s="17">
        <f t="shared" si="9"/>
        <v>50073</v>
      </c>
    </row>
    <row r="633" spans="2:2">
      <c r="B633" s="17">
        <f t="shared" si="9"/>
        <v>50080</v>
      </c>
    </row>
    <row r="634" spans="2:2">
      <c r="B634" s="17">
        <f t="shared" si="9"/>
        <v>50087</v>
      </c>
    </row>
    <row r="635" spans="2:2">
      <c r="B635" s="17">
        <f t="shared" si="9"/>
        <v>50094</v>
      </c>
    </row>
    <row r="636" spans="2:2">
      <c r="B636" s="17">
        <f t="shared" si="9"/>
        <v>50101</v>
      </c>
    </row>
    <row r="637" spans="2:2">
      <c r="B637" s="17">
        <f t="shared" si="9"/>
        <v>50108</v>
      </c>
    </row>
    <row r="638" spans="2:2">
      <c r="B638" s="17">
        <f t="shared" si="9"/>
        <v>50115</v>
      </c>
    </row>
    <row r="639" spans="2:2">
      <c r="B639" s="17">
        <f t="shared" si="9"/>
        <v>50122</v>
      </c>
    </row>
    <row r="640" spans="2:2">
      <c r="B640" s="17">
        <f t="shared" si="9"/>
        <v>50129</v>
      </c>
    </row>
    <row r="641" spans="2:2">
      <c r="B641" s="17">
        <f t="shared" si="9"/>
        <v>50136</v>
      </c>
    </row>
    <row r="642" spans="2:2">
      <c r="B642" s="17">
        <f t="shared" si="9"/>
        <v>50143</v>
      </c>
    </row>
    <row r="643" spans="2:2">
      <c r="B643" s="17">
        <f t="shared" si="9"/>
        <v>50150</v>
      </c>
    </row>
    <row r="644" spans="2:2">
      <c r="B644" s="17">
        <f t="shared" ref="B644:B707" si="10">B643+7-WEEKDAY(B643,2)+1</f>
        <v>50157</v>
      </c>
    </row>
    <row r="645" spans="2:2">
      <c r="B645" s="17">
        <f t="shared" si="10"/>
        <v>50164</v>
      </c>
    </row>
    <row r="646" spans="2:2">
      <c r="B646" s="17">
        <f t="shared" si="10"/>
        <v>50171</v>
      </c>
    </row>
    <row r="647" spans="2:2">
      <c r="B647" s="17">
        <f t="shared" si="10"/>
        <v>50178</v>
      </c>
    </row>
    <row r="648" spans="2:2">
      <c r="B648" s="17">
        <f t="shared" si="10"/>
        <v>50185</v>
      </c>
    </row>
    <row r="649" spans="2:2">
      <c r="B649" s="17">
        <f t="shared" si="10"/>
        <v>50192</v>
      </c>
    </row>
    <row r="650" spans="2:2">
      <c r="B650" s="17">
        <f t="shared" si="10"/>
        <v>50199</v>
      </c>
    </row>
    <row r="651" spans="2:2">
      <c r="B651" s="17">
        <f t="shared" si="10"/>
        <v>50206</v>
      </c>
    </row>
    <row r="652" spans="2:2">
      <c r="B652" s="17">
        <f t="shared" si="10"/>
        <v>50213</v>
      </c>
    </row>
    <row r="653" spans="2:2">
      <c r="B653" s="17">
        <f t="shared" si="10"/>
        <v>50220</v>
      </c>
    </row>
    <row r="654" spans="2:2">
      <c r="B654" s="17">
        <f t="shared" si="10"/>
        <v>50227</v>
      </c>
    </row>
    <row r="655" spans="2:2">
      <c r="B655" s="17">
        <f t="shared" si="10"/>
        <v>50234</v>
      </c>
    </row>
    <row r="656" spans="2:2">
      <c r="B656" s="17">
        <f t="shared" si="10"/>
        <v>50241</v>
      </c>
    </row>
    <row r="657" spans="2:2">
      <c r="B657" s="17">
        <f t="shared" si="10"/>
        <v>50248</v>
      </c>
    </row>
    <row r="658" spans="2:2">
      <c r="B658" s="17">
        <f t="shared" si="10"/>
        <v>50255</v>
      </c>
    </row>
    <row r="659" spans="2:2">
      <c r="B659" s="17">
        <f t="shared" si="10"/>
        <v>50262</v>
      </c>
    </row>
    <row r="660" spans="2:2">
      <c r="B660" s="17">
        <f t="shared" si="10"/>
        <v>50269</v>
      </c>
    </row>
    <row r="661" spans="2:2">
      <c r="B661" s="17">
        <f t="shared" si="10"/>
        <v>50276</v>
      </c>
    </row>
    <row r="662" spans="2:2">
      <c r="B662" s="17">
        <f t="shared" si="10"/>
        <v>50283</v>
      </c>
    </row>
    <row r="663" spans="2:2">
      <c r="B663" s="17">
        <f t="shared" si="10"/>
        <v>50290</v>
      </c>
    </row>
    <row r="664" spans="2:2">
      <c r="B664" s="17">
        <f t="shared" si="10"/>
        <v>50297</v>
      </c>
    </row>
    <row r="665" spans="2:2">
      <c r="B665" s="17">
        <f t="shared" si="10"/>
        <v>50304</v>
      </c>
    </row>
    <row r="666" spans="2:2">
      <c r="B666" s="17">
        <f t="shared" si="10"/>
        <v>50311</v>
      </c>
    </row>
    <row r="667" spans="2:2">
      <c r="B667" s="17">
        <f t="shared" si="10"/>
        <v>50318</v>
      </c>
    </row>
    <row r="668" spans="2:2">
      <c r="B668" s="17">
        <f t="shared" si="10"/>
        <v>50325</v>
      </c>
    </row>
    <row r="669" spans="2:2">
      <c r="B669" s="17">
        <f t="shared" si="10"/>
        <v>50332</v>
      </c>
    </row>
    <row r="670" spans="2:2">
      <c r="B670" s="17">
        <f t="shared" si="10"/>
        <v>50339</v>
      </c>
    </row>
    <row r="671" spans="2:2">
      <c r="B671" s="17">
        <f t="shared" si="10"/>
        <v>50346</v>
      </c>
    </row>
    <row r="672" spans="2:2">
      <c r="B672" s="17">
        <f t="shared" si="10"/>
        <v>50353</v>
      </c>
    </row>
    <row r="673" spans="2:2">
      <c r="B673" s="17">
        <f t="shared" si="10"/>
        <v>50360</v>
      </c>
    </row>
    <row r="674" spans="2:2">
      <c r="B674" s="17">
        <f t="shared" si="10"/>
        <v>50367</v>
      </c>
    </row>
    <row r="675" spans="2:2">
      <c r="B675" s="17">
        <f t="shared" si="10"/>
        <v>50374</v>
      </c>
    </row>
    <row r="676" spans="2:2">
      <c r="B676" s="17">
        <f t="shared" si="10"/>
        <v>50381</v>
      </c>
    </row>
    <row r="677" spans="2:2">
      <c r="B677" s="17">
        <f t="shared" si="10"/>
        <v>50388</v>
      </c>
    </row>
    <row r="678" spans="2:2">
      <c r="B678" s="17">
        <f t="shared" si="10"/>
        <v>50395</v>
      </c>
    </row>
    <row r="679" spans="2:2">
      <c r="B679" s="17">
        <f t="shared" si="10"/>
        <v>50402</v>
      </c>
    </row>
    <row r="680" spans="2:2">
      <c r="B680" s="17">
        <f t="shared" si="10"/>
        <v>50409</v>
      </c>
    </row>
    <row r="681" spans="2:2">
      <c r="B681" s="17">
        <f t="shared" si="10"/>
        <v>50416</v>
      </c>
    </row>
    <row r="682" spans="2:2">
      <c r="B682" s="17">
        <f t="shared" si="10"/>
        <v>50423</v>
      </c>
    </row>
    <row r="683" spans="2:2">
      <c r="B683" s="17">
        <f t="shared" si="10"/>
        <v>50430</v>
      </c>
    </row>
    <row r="684" spans="2:2">
      <c r="B684" s="17">
        <f t="shared" si="10"/>
        <v>50437</v>
      </c>
    </row>
    <row r="685" spans="2:2">
      <c r="B685" s="17">
        <f t="shared" si="10"/>
        <v>50444</v>
      </c>
    </row>
    <row r="686" spans="2:2">
      <c r="B686" s="17">
        <f t="shared" si="10"/>
        <v>50451</v>
      </c>
    </row>
    <row r="687" spans="2:2">
      <c r="B687" s="17">
        <f t="shared" si="10"/>
        <v>50458</v>
      </c>
    </row>
    <row r="688" spans="2:2">
      <c r="B688" s="17">
        <f t="shared" si="10"/>
        <v>50465</v>
      </c>
    </row>
    <row r="689" spans="2:2">
      <c r="B689" s="17">
        <f t="shared" si="10"/>
        <v>50472</v>
      </c>
    </row>
    <row r="690" spans="2:2">
      <c r="B690" s="17">
        <f t="shared" si="10"/>
        <v>50479</v>
      </c>
    </row>
    <row r="691" spans="2:2">
      <c r="B691" s="17">
        <f t="shared" si="10"/>
        <v>50486</v>
      </c>
    </row>
    <row r="692" spans="2:2">
      <c r="B692" s="17">
        <f t="shared" si="10"/>
        <v>50493</v>
      </c>
    </row>
    <row r="693" spans="2:2">
      <c r="B693" s="17">
        <f t="shared" si="10"/>
        <v>50500</v>
      </c>
    </row>
    <row r="694" spans="2:2">
      <c r="B694" s="17">
        <f t="shared" si="10"/>
        <v>50507</v>
      </c>
    </row>
    <row r="695" spans="2:2">
      <c r="B695" s="17">
        <f t="shared" si="10"/>
        <v>50514</v>
      </c>
    </row>
    <row r="696" spans="2:2">
      <c r="B696" s="17">
        <f t="shared" si="10"/>
        <v>50521</v>
      </c>
    </row>
    <row r="697" spans="2:2">
      <c r="B697" s="17">
        <f t="shared" si="10"/>
        <v>50528</v>
      </c>
    </row>
    <row r="698" spans="2:2">
      <c r="B698" s="17">
        <f t="shared" si="10"/>
        <v>50535</v>
      </c>
    </row>
    <row r="699" spans="2:2">
      <c r="B699" s="17">
        <f t="shared" si="10"/>
        <v>50542</v>
      </c>
    </row>
    <row r="700" spans="2:2">
      <c r="B700" s="17">
        <f t="shared" si="10"/>
        <v>50549</v>
      </c>
    </row>
    <row r="701" spans="2:2">
      <c r="B701" s="17">
        <f t="shared" si="10"/>
        <v>50556</v>
      </c>
    </row>
    <row r="702" spans="2:2">
      <c r="B702" s="17">
        <f t="shared" si="10"/>
        <v>50563</v>
      </c>
    </row>
    <row r="703" spans="2:2">
      <c r="B703" s="17">
        <f t="shared" si="10"/>
        <v>50570</v>
      </c>
    </row>
    <row r="704" spans="2:2">
      <c r="B704" s="17">
        <f t="shared" si="10"/>
        <v>50577</v>
      </c>
    </row>
    <row r="705" spans="2:2">
      <c r="B705" s="17">
        <f t="shared" si="10"/>
        <v>50584</v>
      </c>
    </row>
    <row r="706" spans="2:2">
      <c r="B706" s="17">
        <f t="shared" si="10"/>
        <v>50591</v>
      </c>
    </row>
    <row r="707" spans="2:2">
      <c r="B707" s="17">
        <f t="shared" si="10"/>
        <v>50598</v>
      </c>
    </row>
    <row r="708" spans="2:2">
      <c r="B708" s="17">
        <f t="shared" ref="B708:B771" si="11">B707+7-WEEKDAY(B707,2)+1</f>
        <v>50605</v>
      </c>
    </row>
    <row r="709" spans="2:2">
      <c r="B709" s="17">
        <f t="shared" si="11"/>
        <v>50612</v>
      </c>
    </row>
    <row r="710" spans="2:2">
      <c r="B710" s="17">
        <f t="shared" si="11"/>
        <v>50619</v>
      </c>
    </row>
    <row r="711" spans="2:2">
      <c r="B711" s="17">
        <f t="shared" si="11"/>
        <v>50626</v>
      </c>
    </row>
    <row r="712" spans="2:2">
      <c r="B712" s="17">
        <f t="shared" si="11"/>
        <v>50633</v>
      </c>
    </row>
    <row r="713" spans="2:2">
      <c r="B713" s="17">
        <f t="shared" si="11"/>
        <v>50640</v>
      </c>
    </row>
    <row r="714" spans="2:2">
      <c r="B714" s="17">
        <f t="shared" si="11"/>
        <v>50647</v>
      </c>
    </row>
    <row r="715" spans="2:2">
      <c r="B715" s="17">
        <f t="shared" si="11"/>
        <v>50654</v>
      </c>
    </row>
    <row r="716" spans="2:2">
      <c r="B716" s="17">
        <f t="shared" si="11"/>
        <v>50661</v>
      </c>
    </row>
    <row r="717" spans="2:2">
      <c r="B717" s="17">
        <f t="shared" si="11"/>
        <v>50668</v>
      </c>
    </row>
    <row r="718" spans="2:2">
      <c r="B718" s="17">
        <f t="shared" si="11"/>
        <v>50675</v>
      </c>
    </row>
    <row r="719" spans="2:2">
      <c r="B719" s="17">
        <f t="shared" si="11"/>
        <v>50682</v>
      </c>
    </row>
    <row r="720" spans="2:2">
      <c r="B720" s="17">
        <f t="shared" si="11"/>
        <v>50689</v>
      </c>
    </row>
    <row r="721" spans="2:2">
      <c r="B721" s="17">
        <f t="shared" si="11"/>
        <v>50696</v>
      </c>
    </row>
    <row r="722" spans="2:2">
      <c r="B722" s="17">
        <f t="shared" si="11"/>
        <v>50703</v>
      </c>
    </row>
    <row r="723" spans="2:2">
      <c r="B723" s="17">
        <f t="shared" si="11"/>
        <v>50710</v>
      </c>
    </row>
    <row r="724" spans="2:2">
      <c r="B724" s="17">
        <f t="shared" si="11"/>
        <v>50717</v>
      </c>
    </row>
    <row r="725" spans="2:2">
      <c r="B725" s="17">
        <f t="shared" si="11"/>
        <v>50724</v>
      </c>
    </row>
    <row r="726" spans="2:2">
      <c r="B726" s="17">
        <f t="shared" si="11"/>
        <v>50731</v>
      </c>
    </row>
    <row r="727" spans="2:2">
      <c r="B727" s="17">
        <f t="shared" si="11"/>
        <v>50738</v>
      </c>
    </row>
    <row r="728" spans="2:2">
      <c r="B728" s="17">
        <f t="shared" si="11"/>
        <v>50745</v>
      </c>
    </row>
    <row r="729" spans="2:2">
      <c r="B729" s="17">
        <f t="shared" si="11"/>
        <v>50752</v>
      </c>
    </row>
    <row r="730" spans="2:2">
      <c r="B730" s="17">
        <f t="shared" si="11"/>
        <v>50759</v>
      </c>
    </row>
    <row r="731" spans="2:2">
      <c r="B731" s="17">
        <f t="shared" si="11"/>
        <v>50766</v>
      </c>
    </row>
    <row r="732" spans="2:2">
      <c r="B732" s="17">
        <f t="shared" si="11"/>
        <v>50773</v>
      </c>
    </row>
    <row r="733" spans="2:2">
      <c r="B733" s="17">
        <f t="shared" si="11"/>
        <v>50780</v>
      </c>
    </row>
    <row r="734" spans="2:2">
      <c r="B734" s="17">
        <f t="shared" si="11"/>
        <v>50787</v>
      </c>
    </row>
    <row r="735" spans="2:2">
      <c r="B735" s="17">
        <f t="shared" si="11"/>
        <v>50794</v>
      </c>
    </row>
    <row r="736" spans="2:2">
      <c r="B736" s="17">
        <f t="shared" si="11"/>
        <v>50801</v>
      </c>
    </row>
    <row r="737" spans="2:2">
      <c r="B737" s="17">
        <f t="shared" si="11"/>
        <v>50808</v>
      </c>
    </row>
    <row r="738" spans="2:2">
      <c r="B738" s="17">
        <f t="shared" si="11"/>
        <v>50815</v>
      </c>
    </row>
    <row r="739" spans="2:2">
      <c r="B739" s="17">
        <f t="shared" si="11"/>
        <v>50822</v>
      </c>
    </row>
    <row r="740" spans="2:2">
      <c r="B740" s="17">
        <f t="shared" si="11"/>
        <v>50829</v>
      </c>
    </row>
    <row r="741" spans="2:2">
      <c r="B741" s="17">
        <f t="shared" si="11"/>
        <v>50836</v>
      </c>
    </row>
    <row r="742" spans="2:2">
      <c r="B742" s="17">
        <f t="shared" si="11"/>
        <v>50843</v>
      </c>
    </row>
    <row r="743" spans="2:2">
      <c r="B743" s="17">
        <f t="shared" si="11"/>
        <v>50850</v>
      </c>
    </row>
    <row r="744" spans="2:2">
      <c r="B744" s="17">
        <f t="shared" si="11"/>
        <v>50857</v>
      </c>
    </row>
    <row r="745" spans="2:2">
      <c r="B745" s="17">
        <f t="shared" si="11"/>
        <v>50864</v>
      </c>
    </row>
    <row r="746" spans="2:2">
      <c r="B746" s="17">
        <f t="shared" si="11"/>
        <v>50871</v>
      </c>
    </row>
    <row r="747" spans="2:2">
      <c r="B747" s="17">
        <f t="shared" si="11"/>
        <v>50878</v>
      </c>
    </row>
    <row r="748" spans="2:2">
      <c r="B748" s="17">
        <f t="shared" si="11"/>
        <v>50885</v>
      </c>
    </row>
    <row r="749" spans="2:2">
      <c r="B749" s="17">
        <f t="shared" si="11"/>
        <v>50892</v>
      </c>
    </row>
    <row r="750" spans="2:2">
      <c r="B750" s="17">
        <f t="shared" si="11"/>
        <v>50899</v>
      </c>
    </row>
    <row r="751" spans="2:2">
      <c r="B751" s="17">
        <f t="shared" si="11"/>
        <v>50906</v>
      </c>
    </row>
    <row r="752" spans="2:2">
      <c r="B752" s="17">
        <f t="shared" si="11"/>
        <v>50913</v>
      </c>
    </row>
    <row r="753" spans="2:2">
      <c r="B753" s="17">
        <f t="shared" si="11"/>
        <v>50920</v>
      </c>
    </row>
    <row r="754" spans="2:2">
      <c r="B754" s="17">
        <f t="shared" si="11"/>
        <v>50927</v>
      </c>
    </row>
    <row r="755" spans="2:2">
      <c r="B755" s="17">
        <f t="shared" si="11"/>
        <v>50934</v>
      </c>
    </row>
    <row r="756" spans="2:2">
      <c r="B756" s="17">
        <f t="shared" si="11"/>
        <v>50941</v>
      </c>
    </row>
    <row r="757" spans="2:2">
      <c r="B757" s="17">
        <f t="shared" si="11"/>
        <v>50948</v>
      </c>
    </row>
    <row r="758" spans="2:2">
      <c r="B758" s="17">
        <f t="shared" si="11"/>
        <v>50955</v>
      </c>
    </row>
    <row r="759" spans="2:2">
      <c r="B759" s="17">
        <f t="shared" si="11"/>
        <v>50962</v>
      </c>
    </row>
    <row r="760" spans="2:2">
      <c r="B760" s="17">
        <f t="shared" si="11"/>
        <v>50969</v>
      </c>
    </row>
    <row r="761" spans="2:2">
      <c r="B761" s="17">
        <f t="shared" si="11"/>
        <v>50976</v>
      </c>
    </row>
    <row r="762" spans="2:2">
      <c r="B762" s="17">
        <f t="shared" si="11"/>
        <v>50983</v>
      </c>
    </row>
    <row r="763" spans="2:2">
      <c r="B763" s="17">
        <f t="shared" si="11"/>
        <v>50990</v>
      </c>
    </row>
    <row r="764" spans="2:2">
      <c r="B764" s="17">
        <f t="shared" si="11"/>
        <v>50997</v>
      </c>
    </row>
    <row r="765" spans="2:2">
      <c r="B765" s="17">
        <f t="shared" si="11"/>
        <v>51004</v>
      </c>
    </row>
    <row r="766" spans="2:2">
      <c r="B766" s="17">
        <f t="shared" si="11"/>
        <v>51011</v>
      </c>
    </row>
    <row r="767" spans="2:2">
      <c r="B767" s="17">
        <f t="shared" si="11"/>
        <v>51018</v>
      </c>
    </row>
    <row r="768" spans="2:2">
      <c r="B768" s="17">
        <f t="shared" si="11"/>
        <v>51025</v>
      </c>
    </row>
    <row r="769" spans="2:2">
      <c r="B769" s="17">
        <f t="shared" si="11"/>
        <v>51032</v>
      </c>
    </row>
    <row r="770" spans="2:2">
      <c r="B770" s="17">
        <f t="shared" si="11"/>
        <v>51039</v>
      </c>
    </row>
    <row r="771" spans="2:2">
      <c r="B771" s="17">
        <f t="shared" si="11"/>
        <v>51046</v>
      </c>
    </row>
    <row r="772" spans="2:2">
      <c r="B772" s="17">
        <f t="shared" ref="B772:B835" si="12">B771+7-WEEKDAY(B771,2)+1</f>
        <v>51053</v>
      </c>
    </row>
    <row r="773" spans="2:2">
      <c r="B773" s="17">
        <f t="shared" si="12"/>
        <v>51060</v>
      </c>
    </row>
    <row r="774" spans="2:2">
      <c r="B774" s="17">
        <f t="shared" si="12"/>
        <v>51067</v>
      </c>
    </row>
    <row r="775" spans="2:2">
      <c r="B775" s="17">
        <f t="shared" si="12"/>
        <v>51074</v>
      </c>
    </row>
    <row r="776" spans="2:2">
      <c r="B776" s="17">
        <f t="shared" si="12"/>
        <v>51081</v>
      </c>
    </row>
    <row r="777" spans="2:2">
      <c r="B777" s="17">
        <f t="shared" si="12"/>
        <v>51088</v>
      </c>
    </row>
    <row r="778" spans="2:2">
      <c r="B778" s="17">
        <f t="shared" si="12"/>
        <v>51095</v>
      </c>
    </row>
    <row r="779" spans="2:2">
      <c r="B779" s="17">
        <f t="shared" si="12"/>
        <v>51102</v>
      </c>
    </row>
    <row r="780" spans="2:2">
      <c r="B780" s="17">
        <f t="shared" si="12"/>
        <v>51109</v>
      </c>
    </row>
    <row r="781" spans="2:2">
      <c r="B781" s="17">
        <f t="shared" si="12"/>
        <v>51116</v>
      </c>
    </row>
    <row r="782" spans="2:2">
      <c r="B782" s="17">
        <f t="shared" si="12"/>
        <v>51123</v>
      </c>
    </row>
    <row r="783" spans="2:2">
      <c r="B783" s="17">
        <f t="shared" si="12"/>
        <v>51130</v>
      </c>
    </row>
    <row r="784" spans="2:2">
      <c r="B784" s="17">
        <f t="shared" si="12"/>
        <v>51137</v>
      </c>
    </row>
    <row r="785" spans="2:2">
      <c r="B785" s="17">
        <f t="shared" si="12"/>
        <v>51144</v>
      </c>
    </row>
    <row r="786" spans="2:2">
      <c r="B786" s="17">
        <f t="shared" si="12"/>
        <v>51151</v>
      </c>
    </row>
    <row r="787" spans="2:2">
      <c r="B787" s="17">
        <f t="shared" si="12"/>
        <v>51158</v>
      </c>
    </row>
    <row r="788" spans="2:2">
      <c r="B788" s="17">
        <f t="shared" si="12"/>
        <v>51165</v>
      </c>
    </row>
    <row r="789" spans="2:2">
      <c r="B789" s="17">
        <f t="shared" si="12"/>
        <v>51172</v>
      </c>
    </row>
    <row r="790" spans="2:2">
      <c r="B790" s="17">
        <f t="shared" si="12"/>
        <v>51179</v>
      </c>
    </row>
    <row r="791" spans="2:2">
      <c r="B791" s="17">
        <f t="shared" si="12"/>
        <v>51186</v>
      </c>
    </row>
    <row r="792" spans="2:2">
      <c r="B792" s="17">
        <f t="shared" si="12"/>
        <v>51193</v>
      </c>
    </row>
    <row r="793" spans="2:2">
      <c r="B793" s="17">
        <f t="shared" si="12"/>
        <v>51200</v>
      </c>
    </row>
    <row r="794" spans="2:2">
      <c r="B794" s="17">
        <f t="shared" si="12"/>
        <v>51207</v>
      </c>
    </row>
    <row r="795" spans="2:2">
      <c r="B795" s="17">
        <f t="shared" si="12"/>
        <v>51214</v>
      </c>
    </row>
    <row r="796" spans="2:2">
      <c r="B796" s="17">
        <f t="shared" si="12"/>
        <v>51221</v>
      </c>
    </row>
    <row r="797" spans="2:2">
      <c r="B797" s="17">
        <f t="shared" si="12"/>
        <v>51228</v>
      </c>
    </row>
    <row r="798" spans="2:2">
      <c r="B798" s="17">
        <f t="shared" si="12"/>
        <v>51235</v>
      </c>
    </row>
    <row r="799" spans="2:2">
      <c r="B799" s="17">
        <f t="shared" si="12"/>
        <v>51242</v>
      </c>
    </row>
    <row r="800" spans="2:2">
      <c r="B800" s="17">
        <f t="shared" si="12"/>
        <v>51249</v>
      </c>
    </row>
    <row r="801" spans="2:2">
      <c r="B801" s="17">
        <f t="shared" si="12"/>
        <v>51256</v>
      </c>
    </row>
    <row r="802" spans="2:2">
      <c r="B802" s="17">
        <f t="shared" si="12"/>
        <v>51263</v>
      </c>
    </row>
    <row r="803" spans="2:2">
      <c r="B803" s="17">
        <f t="shared" si="12"/>
        <v>51270</v>
      </c>
    </row>
    <row r="804" spans="2:2">
      <c r="B804" s="17">
        <f t="shared" si="12"/>
        <v>51277</v>
      </c>
    </row>
    <row r="805" spans="2:2">
      <c r="B805" s="17">
        <f t="shared" si="12"/>
        <v>51284</v>
      </c>
    </row>
    <row r="806" spans="2:2">
      <c r="B806" s="17">
        <f t="shared" si="12"/>
        <v>51291</v>
      </c>
    </row>
    <row r="807" spans="2:2">
      <c r="B807" s="17">
        <f t="shared" si="12"/>
        <v>51298</v>
      </c>
    </row>
    <row r="808" spans="2:2">
      <c r="B808" s="17">
        <f t="shared" si="12"/>
        <v>51305</v>
      </c>
    </row>
    <row r="809" spans="2:2">
      <c r="B809" s="17">
        <f t="shared" si="12"/>
        <v>51312</v>
      </c>
    </row>
    <row r="810" spans="2:2">
      <c r="B810" s="17">
        <f t="shared" si="12"/>
        <v>51319</v>
      </c>
    </row>
    <row r="811" spans="2:2">
      <c r="B811" s="17">
        <f t="shared" si="12"/>
        <v>51326</v>
      </c>
    </row>
    <row r="812" spans="2:2">
      <c r="B812" s="17">
        <f t="shared" si="12"/>
        <v>51333</v>
      </c>
    </row>
    <row r="813" spans="2:2">
      <c r="B813" s="17">
        <f t="shared" si="12"/>
        <v>51340</v>
      </c>
    </row>
    <row r="814" spans="2:2">
      <c r="B814" s="17">
        <f t="shared" si="12"/>
        <v>51347</v>
      </c>
    </row>
    <row r="815" spans="2:2">
      <c r="B815" s="17">
        <f t="shared" si="12"/>
        <v>51354</v>
      </c>
    </row>
    <row r="816" spans="2:2">
      <c r="B816" s="17">
        <f t="shared" si="12"/>
        <v>51361</v>
      </c>
    </row>
    <row r="817" spans="2:2">
      <c r="B817" s="17">
        <f t="shared" si="12"/>
        <v>51368</v>
      </c>
    </row>
    <row r="818" spans="2:2">
      <c r="B818" s="17">
        <f t="shared" si="12"/>
        <v>51375</v>
      </c>
    </row>
    <row r="819" spans="2:2">
      <c r="B819" s="17">
        <f t="shared" si="12"/>
        <v>51382</v>
      </c>
    </row>
    <row r="820" spans="2:2">
      <c r="B820" s="17">
        <f t="shared" si="12"/>
        <v>51389</v>
      </c>
    </row>
    <row r="821" spans="2:2">
      <c r="B821" s="17">
        <f t="shared" si="12"/>
        <v>51396</v>
      </c>
    </row>
    <row r="822" spans="2:2">
      <c r="B822" s="17">
        <f t="shared" si="12"/>
        <v>51403</v>
      </c>
    </row>
    <row r="823" spans="2:2">
      <c r="B823" s="17">
        <f t="shared" si="12"/>
        <v>51410</v>
      </c>
    </row>
    <row r="824" spans="2:2">
      <c r="B824" s="17">
        <f t="shared" si="12"/>
        <v>51417</v>
      </c>
    </row>
    <row r="825" spans="2:2">
      <c r="B825" s="17">
        <f t="shared" si="12"/>
        <v>51424</v>
      </c>
    </row>
    <row r="826" spans="2:2">
      <c r="B826" s="17">
        <f t="shared" si="12"/>
        <v>51431</v>
      </c>
    </row>
    <row r="827" spans="2:2">
      <c r="B827" s="17">
        <f t="shared" si="12"/>
        <v>51438</v>
      </c>
    </row>
    <row r="828" spans="2:2">
      <c r="B828" s="17">
        <f t="shared" si="12"/>
        <v>51445</v>
      </c>
    </row>
    <row r="829" spans="2:2">
      <c r="B829" s="17">
        <f t="shared" si="12"/>
        <v>51452</v>
      </c>
    </row>
    <row r="830" spans="2:2">
      <c r="B830" s="17">
        <f t="shared" si="12"/>
        <v>51459</v>
      </c>
    </row>
    <row r="831" spans="2:2">
      <c r="B831" s="17">
        <f t="shared" si="12"/>
        <v>51466</v>
      </c>
    </row>
    <row r="832" spans="2:2">
      <c r="B832" s="17">
        <f t="shared" si="12"/>
        <v>51473</v>
      </c>
    </row>
    <row r="833" spans="2:2">
      <c r="B833" s="17">
        <f t="shared" si="12"/>
        <v>51480</v>
      </c>
    </row>
    <row r="834" spans="2:2">
      <c r="B834" s="17">
        <f t="shared" si="12"/>
        <v>51487</v>
      </c>
    </row>
    <row r="835" spans="2:2">
      <c r="B835" s="17">
        <f t="shared" si="12"/>
        <v>51494</v>
      </c>
    </row>
    <row r="836" spans="2:2">
      <c r="B836" s="17">
        <f t="shared" ref="B836:B899" si="13">B835+7-WEEKDAY(B835,2)+1</f>
        <v>51501</v>
      </c>
    </row>
    <row r="837" spans="2:2">
      <c r="B837" s="17">
        <f t="shared" si="13"/>
        <v>51508</v>
      </c>
    </row>
    <row r="838" spans="2:2">
      <c r="B838" s="17">
        <f t="shared" si="13"/>
        <v>51515</v>
      </c>
    </row>
    <row r="839" spans="2:2">
      <c r="B839" s="17">
        <f t="shared" si="13"/>
        <v>51522</v>
      </c>
    </row>
    <row r="840" spans="2:2">
      <c r="B840" s="17">
        <f t="shared" si="13"/>
        <v>51529</v>
      </c>
    </row>
    <row r="841" spans="2:2">
      <c r="B841" s="17">
        <f t="shared" si="13"/>
        <v>51536</v>
      </c>
    </row>
    <row r="842" spans="2:2">
      <c r="B842" s="17">
        <f t="shared" si="13"/>
        <v>51543</v>
      </c>
    </row>
    <row r="843" spans="2:2">
      <c r="B843" s="17">
        <f t="shared" si="13"/>
        <v>51550</v>
      </c>
    </row>
    <row r="844" spans="2:2">
      <c r="B844" s="17">
        <f t="shared" si="13"/>
        <v>51557</v>
      </c>
    </row>
    <row r="845" spans="2:2">
      <c r="B845" s="17">
        <f t="shared" si="13"/>
        <v>51564</v>
      </c>
    </row>
    <row r="846" spans="2:2">
      <c r="B846" s="17">
        <f t="shared" si="13"/>
        <v>51571</v>
      </c>
    </row>
    <row r="847" spans="2:2">
      <c r="B847" s="17">
        <f t="shared" si="13"/>
        <v>51578</v>
      </c>
    </row>
    <row r="848" spans="2:2">
      <c r="B848" s="17">
        <f t="shared" si="13"/>
        <v>51585</v>
      </c>
    </row>
    <row r="849" spans="2:2">
      <c r="B849" s="17">
        <f t="shared" si="13"/>
        <v>51592</v>
      </c>
    </row>
    <row r="850" spans="2:2">
      <c r="B850" s="17">
        <f t="shared" si="13"/>
        <v>51599</v>
      </c>
    </row>
    <row r="851" spans="2:2">
      <c r="B851" s="17">
        <f t="shared" si="13"/>
        <v>51606</v>
      </c>
    </row>
    <row r="852" spans="2:2">
      <c r="B852" s="17">
        <f t="shared" si="13"/>
        <v>51613</v>
      </c>
    </row>
    <row r="853" spans="2:2">
      <c r="B853" s="17">
        <f t="shared" si="13"/>
        <v>51620</v>
      </c>
    </row>
    <row r="854" spans="2:2">
      <c r="B854" s="17">
        <f t="shared" si="13"/>
        <v>51627</v>
      </c>
    </row>
    <row r="855" spans="2:2">
      <c r="B855" s="17">
        <f t="shared" si="13"/>
        <v>51634</v>
      </c>
    </row>
    <row r="856" spans="2:2">
      <c r="B856" s="17">
        <f t="shared" si="13"/>
        <v>51641</v>
      </c>
    </row>
    <row r="857" spans="2:2">
      <c r="B857" s="17">
        <f t="shared" si="13"/>
        <v>51648</v>
      </c>
    </row>
    <row r="858" spans="2:2">
      <c r="B858" s="17">
        <f t="shared" si="13"/>
        <v>51655</v>
      </c>
    </row>
    <row r="859" spans="2:2">
      <c r="B859" s="17">
        <f t="shared" si="13"/>
        <v>51662</v>
      </c>
    </row>
    <row r="860" spans="2:2">
      <c r="B860" s="17">
        <f t="shared" si="13"/>
        <v>51669</v>
      </c>
    </row>
    <row r="861" spans="2:2">
      <c r="B861" s="17">
        <f t="shared" si="13"/>
        <v>51676</v>
      </c>
    </row>
    <row r="862" spans="2:2">
      <c r="B862" s="17">
        <f t="shared" si="13"/>
        <v>51683</v>
      </c>
    </row>
    <row r="863" spans="2:2">
      <c r="B863" s="17">
        <f t="shared" si="13"/>
        <v>51690</v>
      </c>
    </row>
    <row r="864" spans="2:2">
      <c r="B864" s="17">
        <f t="shared" si="13"/>
        <v>51697</v>
      </c>
    </row>
    <row r="865" spans="2:2">
      <c r="B865" s="17">
        <f t="shared" si="13"/>
        <v>51704</v>
      </c>
    </row>
    <row r="866" spans="2:2">
      <c r="B866" s="17">
        <f t="shared" si="13"/>
        <v>51711</v>
      </c>
    </row>
    <row r="867" spans="2:2">
      <c r="B867" s="17">
        <f t="shared" si="13"/>
        <v>51718</v>
      </c>
    </row>
    <row r="868" spans="2:2">
      <c r="B868" s="17">
        <f t="shared" si="13"/>
        <v>51725</v>
      </c>
    </row>
    <row r="869" spans="2:2">
      <c r="B869" s="17">
        <f t="shared" si="13"/>
        <v>51732</v>
      </c>
    </row>
    <row r="870" spans="2:2">
      <c r="B870" s="17">
        <f t="shared" si="13"/>
        <v>51739</v>
      </c>
    </row>
    <row r="871" spans="2:2">
      <c r="B871" s="17">
        <f t="shared" si="13"/>
        <v>51746</v>
      </c>
    </row>
    <row r="872" spans="2:2">
      <c r="B872" s="17">
        <f t="shared" si="13"/>
        <v>51753</v>
      </c>
    </row>
    <row r="873" spans="2:2">
      <c r="B873" s="17">
        <f t="shared" si="13"/>
        <v>51760</v>
      </c>
    </row>
    <row r="874" spans="2:2">
      <c r="B874" s="17">
        <f t="shared" si="13"/>
        <v>51767</v>
      </c>
    </row>
    <row r="875" spans="2:2">
      <c r="B875" s="17">
        <f t="shared" si="13"/>
        <v>51774</v>
      </c>
    </row>
    <row r="876" spans="2:2">
      <c r="B876" s="17">
        <f t="shared" si="13"/>
        <v>51781</v>
      </c>
    </row>
    <row r="877" spans="2:2">
      <c r="B877" s="17">
        <f t="shared" si="13"/>
        <v>51788</v>
      </c>
    </row>
    <row r="878" spans="2:2">
      <c r="B878" s="17">
        <f t="shared" si="13"/>
        <v>51795</v>
      </c>
    </row>
    <row r="879" spans="2:2">
      <c r="B879" s="17">
        <f t="shared" si="13"/>
        <v>51802</v>
      </c>
    </row>
    <row r="880" spans="2:2">
      <c r="B880" s="17">
        <f t="shared" si="13"/>
        <v>51809</v>
      </c>
    </row>
    <row r="881" spans="2:2">
      <c r="B881" s="17">
        <f t="shared" si="13"/>
        <v>51816</v>
      </c>
    </row>
    <row r="882" spans="2:2">
      <c r="B882" s="17">
        <f t="shared" si="13"/>
        <v>51823</v>
      </c>
    </row>
    <row r="883" spans="2:2">
      <c r="B883" s="17">
        <f t="shared" si="13"/>
        <v>51830</v>
      </c>
    </row>
    <row r="884" spans="2:2">
      <c r="B884" s="17">
        <f t="shared" si="13"/>
        <v>51837</v>
      </c>
    </row>
    <row r="885" spans="2:2">
      <c r="B885" s="17">
        <f t="shared" si="13"/>
        <v>51844</v>
      </c>
    </row>
    <row r="886" spans="2:2">
      <c r="B886" s="17">
        <f t="shared" si="13"/>
        <v>51851</v>
      </c>
    </row>
    <row r="887" spans="2:2">
      <c r="B887" s="17">
        <f t="shared" si="13"/>
        <v>51858</v>
      </c>
    </row>
    <row r="888" spans="2:2">
      <c r="B888" s="17">
        <f t="shared" si="13"/>
        <v>51865</v>
      </c>
    </row>
    <row r="889" spans="2:2">
      <c r="B889" s="17">
        <f t="shared" si="13"/>
        <v>51872</v>
      </c>
    </row>
    <row r="890" spans="2:2">
      <c r="B890" s="17">
        <f t="shared" si="13"/>
        <v>51879</v>
      </c>
    </row>
    <row r="891" spans="2:2">
      <c r="B891" s="17">
        <f t="shared" si="13"/>
        <v>51886</v>
      </c>
    </row>
    <row r="892" spans="2:2">
      <c r="B892" s="17">
        <f t="shared" si="13"/>
        <v>51893</v>
      </c>
    </row>
    <row r="893" spans="2:2">
      <c r="B893" s="17">
        <f t="shared" si="13"/>
        <v>51900</v>
      </c>
    </row>
    <row r="894" spans="2:2">
      <c r="B894" s="17">
        <f t="shared" si="13"/>
        <v>51907</v>
      </c>
    </row>
    <row r="895" spans="2:2">
      <c r="B895" s="17">
        <f t="shared" si="13"/>
        <v>51914</v>
      </c>
    </row>
    <row r="896" spans="2:2">
      <c r="B896" s="17">
        <f t="shared" si="13"/>
        <v>51921</v>
      </c>
    </row>
    <row r="897" spans="2:2">
      <c r="B897" s="17">
        <f t="shared" si="13"/>
        <v>51928</v>
      </c>
    </row>
    <row r="898" spans="2:2">
      <c r="B898" s="17">
        <f t="shared" si="13"/>
        <v>51935</v>
      </c>
    </row>
    <row r="899" spans="2:2">
      <c r="B899" s="17">
        <f t="shared" si="13"/>
        <v>51942</v>
      </c>
    </row>
    <row r="900" spans="2:2">
      <c r="B900" s="17">
        <f t="shared" ref="B900:B963" si="14">B899+7-WEEKDAY(B899,2)+1</f>
        <v>51949</v>
      </c>
    </row>
    <row r="901" spans="2:2">
      <c r="B901" s="17">
        <f t="shared" si="14"/>
        <v>51956</v>
      </c>
    </row>
    <row r="902" spans="2:2">
      <c r="B902" s="17">
        <f t="shared" si="14"/>
        <v>51963</v>
      </c>
    </row>
    <row r="903" spans="2:2">
      <c r="B903" s="17">
        <f t="shared" si="14"/>
        <v>51970</v>
      </c>
    </row>
    <row r="904" spans="2:2">
      <c r="B904" s="17">
        <f t="shared" si="14"/>
        <v>51977</v>
      </c>
    </row>
    <row r="905" spans="2:2">
      <c r="B905" s="17">
        <f t="shared" si="14"/>
        <v>51984</v>
      </c>
    </row>
    <row r="906" spans="2:2">
      <c r="B906" s="17">
        <f t="shared" si="14"/>
        <v>51991</v>
      </c>
    </row>
    <row r="907" spans="2:2">
      <c r="B907" s="17">
        <f t="shared" si="14"/>
        <v>51998</v>
      </c>
    </row>
    <row r="908" spans="2:2">
      <c r="B908" s="17">
        <f t="shared" si="14"/>
        <v>52005</v>
      </c>
    </row>
    <row r="909" spans="2:2">
      <c r="B909" s="17">
        <f t="shared" si="14"/>
        <v>52012</v>
      </c>
    </row>
    <row r="910" spans="2:2">
      <c r="B910" s="17">
        <f t="shared" si="14"/>
        <v>52019</v>
      </c>
    </row>
    <row r="911" spans="2:2">
      <c r="B911" s="17">
        <f t="shared" si="14"/>
        <v>52026</v>
      </c>
    </row>
    <row r="912" spans="2:2">
      <c r="B912" s="17">
        <f t="shared" si="14"/>
        <v>52033</v>
      </c>
    </row>
    <row r="913" spans="2:2">
      <c r="B913" s="17">
        <f t="shared" si="14"/>
        <v>52040</v>
      </c>
    </row>
    <row r="914" spans="2:2">
      <c r="B914" s="17">
        <f t="shared" si="14"/>
        <v>52047</v>
      </c>
    </row>
    <row r="915" spans="2:2">
      <c r="B915" s="17">
        <f t="shared" si="14"/>
        <v>52054</v>
      </c>
    </row>
    <row r="916" spans="2:2">
      <c r="B916" s="17">
        <f t="shared" si="14"/>
        <v>52061</v>
      </c>
    </row>
    <row r="917" spans="2:2">
      <c r="B917" s="17">
        <f t="shared" si="14"/>
        <v>52068</v>
      </c>
    </row>
    <row r="918" spans="2:2">
      <c r="B918" s="17">
        <f t="shared" si="14"/>
        <v>52075</v>
      </c>
    </row>
    <row r="919" spans="2:2">
      <c r="B919" s="17">
        <f t="shared" si="14"/>
        <v>52082</v>
      </c>
    </row>
    <row r="920" spans="2:2">
      <c r="B920" s="17">
        <f t="shared" si="14"/>
        <v>52089</v>
      </c>
    </row>
    <row r="921" spans="2:2">
      <c r="B921" s="17">
        <f t="shared" si="14"/>
        <v>52096</v>
      </c>
    </row>
    <row r="922" spans="2:2">
      <c r="B922" s="17">
        <f t="shared" si="14"/>
        <v>52103</v>
      </c>
    </row>
    <row r="923" spans="2:2">
      <c r="B923" s="17">
        <f t="shared" si="14"/>
        <v>52110</v>
      </c>
    </row>
    <row r="924" spans="2:2">
      <c r="B924" s="17">
        <f t="shared" si="14"/>
        <v>52117</v>
      </c>
    </row>
    <row r="925" spans="2:2">
      <c r="B925" s="17">
        <f t="shared" si="14"/>
        <v>52124</v>
      </c>
    </row>
    <row r="926" spans="2:2">
      <c r="B926" s="17">
        <f t="shared" si="14"/>
        <v>52131</v>
      </c>
    </row>
    <row r="927" spans="2:2">
      <c r="B927" s="17">
        <f t="shared" si="14"/>
        <v>52138</v>
      </c>
    </row>
    <row r="928" spans="2:2">
      <c r="B928" s="17">
        <f t="shared" si="14"/>
        <v>52145</v>
      </c>
    </row>
    <row r="929" spans="2:2">
      <c r="B929" s="17">
        <f t="shared" si="14"/>
        <v>52152</v>
      </c>
    </row>
    <row r="930" spans="2:2">
      <c r="B930" s="17">
        <f t="shared" si="14"/>
        <v>52159</v>
      </c>
    </row>
    <row r="931" spans="2:2">
      <c r="B931" s="17">
        <f t="shared" si="14"/>
        <v>52166</v>
      </c>
    </row>
    <row r="932" spans="2:2">
      <c r="B932" s="17">
        <f t="shared" si="14"/>
        <v>52173</v>
      </c>
    </row>
    <row r="933" spans="2:2">
      <c r="B933" s="17">
        <f t="shared" si="14"/>
        <v>52180</v>
      </c>
    </row>
    <row r="934" spans="2:2">
      <c r="B934" s="17">
        <f t="shared" si="14"/>
        <v>52187</v>
      </c>
    </row>
    <row r="935" spans="2:2">
      <c r="B935" s="17">
        <f t="shared" si="14"/>
        <v>52194</v>
      </c>
    </row>
    <row r="936" spans="2:2">
      <c r="B936" s="17">
        <f t="shared" si="14"/>
        <v>52201</v>
      </c>
    </row>
    <row r="937" spans="2:2">
      <c r="B937" s="17">
        <f t="shared" si="14"/>
        <v>52208</v>
      </c>
    </row>
    <row r="938" spans="2:2">
      <c r="B938" s="17">
        <f t="shared" si="14"/>
        <v>52215</v>
      </c>
    </row>
    <row r="939" spans="2:2">
      <c r="B939" s="17">
        <f t="shared" si="14"/>
        <v>52222</v>
      </c>
    </row>
    <row r="940" spans="2:2">
      <c r="B940" s="17">
        <f t="shared" si="14"/>
        <v>52229</v>
      </c>
    </row>
    <row r="941" spans="2:2">
      <c r="B941" s="17">
        <f t="shared" si="14"/>
        <v>52236</v>
      </c>
    </row>
    <row r="942" spans="2:2">
      <c r="B942" s="17">
        <f t="shared" si="14"/>
        <v>52243</v>
      </c>
    </row>
    <row r="943" spans="2:2">
      <c r="B943" s="17">
        <f t="shared" si="14"/>
        <v>52250</v>
      </c>
    </row>
    <row r="944" spans="2:2">
      <c r="B944" s="17">
        <f t="shared" si="14"/>
        <v>52257</v>
      </c>
    </row>
    <row r="945" spans="2:2">
      <c r="B945" s="17">
        <f t="shared" si="14"/>
        <v>52264</v>
      </c>
    </row>
    <row r="946" spans="2:2">
      <c r="B946" s="17">
        <f t="shared" si="14"/>
        <v>52271</v>
      </c>
    </row>
    <row r="947" spans="2:2">
      <c r="B947" s="17">
        <f t="shared" si="14"/>
        <v>52278</v>
      </c>
    </row>
    <row r="948" spans="2:2">
      <c r="B948" s="17">
        <f t="shared" si="14"/>
        <v>52285</v>
      </c>
    </row>
    <row r="949" spans="2:2">
      <c r="B949" s="17">
        <f t="shared" si="14"/>
        <v>52292</v>
      </c>
    </row>
    <row r="950" spans="2:2">
      <c r="B950" s="17">
        <f t="shared" si="14"/>
        <v>52299</v>
      </c>
    </row>
    <row r="951" spans="2:2">
      <c r="B951" s="17">
        <f t="shared" si="14"/>
        <v>52306</v>
      </c>
    </row>
    <row r="952" spans="2:2">
      <c r="B952" s="17">
        <f t="shared" si="14"/>
        <v>52313</v>
      </c>
    </row>
    <row r="953" spans="2:2">
      <c r="B953" s="17">
        <f t="shared" si="14"/>
        <v>52320</v>
      </c>
    </row>
    <row r="954" spans="2:2">
      <c r="B954" s="17">
        <f t="shared" si="14"/>
        <v>52327</v>
      </c>
    </row>
    <row r="955" spans="2:2">
      <c r="B955" s="17">
        <f t="shared" si="14"/>
        <v>52334</v>
      </c>
    </row>
    <row r="956" spans="2:2">
      <c r="B956" s="17">
        <f t="shared" si="14"/>
        <v>52341</v>
      </c>
    </row>
    <row r="957" spans="2:2">
      <c r="B957" s="17">
        <f t="shared" si="14"/>
        <v>52348</v>
      </c>
    </row>
    <row r="958" spans="2:2">
      <c r="B958" s="17">
        <f t="shared" si="14"/>
        <v>52355</v>
      </c>
    </row>
    <row r="959" spans="2:2">
      <c r="B959" s="17">
        <f t="shared" si="14"/>
        <v>52362</v>
      </c>
    </row>
    <row r="960" spans="2:2">
      <c r="B960" s="17">
        <f t="shared" si="14"/>
        <v>52369</v>
      </c>
    </row>
    <row r="961" spans="2:2">
      <c r="B961" s="17">
        <f t="shared" si="14"/>
        <v>52376</v>
      </c>
    </row>
    <row r="962" spans="2:2">
      <c r="B962" s="17">
        <f t="shared" si="14"/>
        <v>52383</v>
      </c>
    </row>
    <row r="963" spans="2:2">
      <c r="B963" s="17">
        <f t="shared" si="14"/>
        <v>52390</v>
      </c>
    </row>
    <row r="964" spans="2:2">
      <c r="B964" s="17">
        <f t="shared" ref="B964:B1024" si="15">B963+7-WEEKDAY(B963,2)+1</f>
        <v>52397</v>
      </c>
    </row>
    <row r="965" spans="2:2">
      <c r="B965" s="17">
        <f t="shared" si="15"/>
        <v>52404</v>
      </c>
    </row>
    <row r="966" spans="2:2">
      <c r="B966" s="17">
        <f t="shared" si="15"/>
        <v>52411</v>
      </c>
    </row>
    <row r="967" spans="2:2">
      <c r="B967" s="17">
        <f t="shared" si="15"/>
        <v>52418</v>
      </c>
    </row>
    <row r="968" spans="2:2">
      <c r="B968" s="17">
        <f t="shared" si="15"/>
        <v>52425</v>
      </c>
    </row>
    <row r="969" spans="2:2">
      <c r="B969" s="17">
        <f t="shared" si="15"/>
        <v>52432</v>
      </c>
    </row>
    <row r="970" spans="2:2">
      <c r="B970" s="17">
        <f t="shared" si="15"/>
        <v>52439</v>
      </c>
    </row>
    <row r="971" spans="2:2">
      <c r="B971" s="17">
        <f t="shared" si="15"/>
        <v>52446</v>
      </c>
    </row>
    <row r="972" spans="2:2">
      <c r="B972" s="17">
        <f t="shared" si="15"/>
        <v>52453</v>
      </c>
    </row>
    <row r="973" spans="2:2">
      <c r="B973" s="17">
        <f t="shared" si="15"/>
        <v>52460</v>
      </c>
    </row>
    <row r="974" spans="2:2">
      <c r="B974" s="17">
        <f t="shared" si="15"/>
        <v>52467</v>
      </c>
    </row>
    <row r="975" spans="2:2">
      <c r="B975" s="17">
        <f t="shared" si="15"/>
        <v>52474</v>
      </c>
    </row>
    <row r="976" spans="2:2">
      <c r="B976" s="17">
        <f t="shared" si="15"/>
        <v>52481</v>
      </c>
    </row>
    <row r="977" spans="2:2">
      <c r="B977" s="17">
        <f t="shared" si="15"/>
        <v>52488</v>
      </c>
    </row>
    <row r="978" spans="2:2">
      <c r="B978" s="17">
        <f t="shared" si="15"/>
        <v>52495</v>
      </c>
    </row>
    <row r="979" spans="2:2">
      <c r="B979" s="17">
        <f t="shared" si="15"/>
        <v>52502</v>
      </c>
    </row>
    <row r="980" spans="2:2">
      <c r="B980" s="17">
        <f t="shared" si="15"/>
        <v>52509</v>
      </c>
    </row>
    <row r="981" spans="2:2">
      <c r="B981" s="17">
        <f t="shared" si="15"/>
        <v>52516</v>
      </c>
    </row>
    <row r="982" spans="2:2">
      <c r="B982" s="17">
        <f t="shared" si="15"/>
        <v>52523</v>
      </c>
    </row>
    <row r="983" spans="2:2">
      <c r="B983" s="17">
        <f t="shared" si="15"/>
        <v>52530</v>
      </c>
    </row>
    <row r="984" spans="2:2">
      <c r="B984" s="17">
        <f t="shared" si="15"/>
        <v>52537</v>
      </c>
    </row>
    <row r="985" spans="2:2">
      <c r="B985" s="17">
        <f t="shared" si="15"/>
        <v>52544</v>
      </c>
    </row>
    <row r="986" spans="2:2">
      <c r="B986" s="17">
        <f t="shared" si="15"/>
        <v>52551</v>
      </c>
    </row>
    <row r="987" spans="2:2">
      <c r="B987" s="17">
        <f t="shared" si="15"/>
        <v>52558</v>
      </c>
    </row>
    <row r="988" spans="2:2">
      <c r="B988" s="17">
        <f t="shared" si="15"/>
        <v>52565</v>
      </c>
    </row>
    <row r="989" spans="2:2">
      <c r="B989" s="17">
        <f t="shared" si="15"/>
        <v>52572</v>
      </c>
    </row>
    <row r="990" spans="2:2">
      <c r="B990" s="17">
        <f t="shared" si="15"/>
        <v>52579</v>
      </c>
    </row>
    <row r="991" spans="2:2">
      <c r="B991" s="17">
        <f t="shared" si="15"/>
        <v>52586</v>
      </c>
    </row>
    <row r="992" spans="2:2">
      <c r="B992" s="17">
        <f t="shared" si="15"/>
        <v>52593</v>
      </c>
    </row>
    <row r="993" spans="2:2">
      <c r="B993" s="17">
        <f t="shared" si="15"/>
        <v>52600</v>
      </c>
    </row>
    <row r="994" spans="2:2">
      <c r="B994" s="17">
        <f t="shared" si="15"/>
        <v>52607</v>
      </c>
    </row>
    <row r="995" spans="2:2">
      <c r="B995" s="17">
        <f t="shared" si="15"/>
        <v>52614</v>
      </c>
    </row>
    <row r="996" spans="2:2">
      <c r="B996" s="17">
        <f t="shared" si="15"/>
        <v>52621</v>
      </c>
    </row>
    <row r="997" spans="2:2">
      <c r="B997" s="17">
        <f t="shared" si="15"/>
        <v>52628</v>
      </c>
    </row>
    <row r="998" spans="2:2">
      <c r="B998" s="17">
        <f t="shared" si="15"/>
        <v>52635</v>
      </c>
    </row>
    <row r="999" spans="2:2">
      <c r="B999" s="17">
        <f t="shared" si="15"/>
        <v>52642</v>
      </c>
    </row>
    <row r="1000" spans="2:2">
      <c r="B1000" s="17">
        <f t="shared" si="15"/>
        <v>52649</v>
      </c>
    </row>
    <row r="1001" spans="2:2">
      <c r="B1001" s="17">
        <f t="shared" si="15"/>
        <v>52656</v>
      </c>
    </row>
    <row r="1002" spans="2:2">
      <c r="B1002" s="17">
        <f t="shared" si="15"/>
        <v>52663</v>
      </c>
    </row>
    <row r="1003" spans="2:2">
      <c r="B1003" s="17">
        <f t="shared" si="15"/>
        <v>52670</v>
      </c>
    </row>
    <row r="1004" spans="2:2">
      <c r="B1004" s="17">
        <f t="shared" si="15"/>
        <v>52677</v>
      </c>
    </row>
    <row r="1005" spans="2:2">
      <c r="B1005" s="17">
        <f t="shared" si="15"/>
        <v>52684</v>
      </c>
    </row>
    <row r="1006" spans="2:2">
      <c r="B1006" s="17">
        <f t="shared" si="15"/>
        <v>52691</v>
      </c>
    </row>
    <row r="1007" spans="2:2">
      <c r="B1007" s="17">
        <f t="shared" si="15"/>
        <v>52698</v>
      </c>
    </row>
    <row r="1008" spans="2:2">
      <c r="B1008" s="17">
        <f t="shared" si="15"/>
        <v>52705</v>
      </c>
    </row>
    <row r="1009" spans="2:2">
      <c r="B1009" s="17">
        <f t="shared" si="15"/>
        <v>52712</v>
      </c>
    </row>
    <row r="1010" spans="2:2">
      <c r="B1010" s="17">
        <f t="shared" si="15"/>
        <v>52719</v>
      </c>
    </row>
    <row r="1011" spans="2:2">
      <c r="B1011" s="17">
        <f t="shared" si="15"/>
        <v>52726</v>
      </c>
    </row>
    <row r="1012" spans="2:2">
      <c r="B1012" s="17">
        <f t="shared" si="15"/>
        <v>52733</v>
      </c>
    </row>
    <row r="1013" spans="2:2">
      <c r="B1013" s="17">
        <f t="shared" si="15"/>
        <v>52740</v>
      </c>
    </row>
    <row r="1014" spans="2:2">
      <c r="B1014" s="17">
        <f t="shared" si="15"/>
        <v>52747</v>
      </c>
    </row>
    <row r="1015" spans="2:2">
      <c r="B1015" s="17">
        <f t="shared" si="15"/>
        <v>52754</v>
      </c>
    </row>
    <row r="1016" spans="2:2">
      <c r="B1016" s="17">
        <f t="shared" si="15"/>
        <v>52761</v>
      </c>
    </row>
    <row r="1017" spans="2:2">
      <c r="B1017" s="17">
        <f t="shared" si="15"/>
        <v>52768</v>
      </c>
    </row>
    <row r="1018" spans="2:2">
      <c r="B1018" s="17">
        <f t="shared" si="15"/>
        <v>52775</v>
      </c>
    </row>
    <row r="1019" spans="2:2">
      <c r="B1019" s="17">
        <f t="shared" si="15"/>
        <v>52782</v>
      </c>
    </row>
    <row r="1020" spans="2:2">
      <c r="B1020" s="17">
        <f t="shared" si="15"/>
        <v>52789</v>
      </c>
    </row>
    <row r="1021" spans="2:2">
      <c r="B1021" s="17">
        <f t="shared" si="15"/>
        <v>52796</v>
      </c>
    </row>
    <row r="1022" spans="2:2">
      <c r="B1022" s="17">
        <f t="shared" si="15"/>
        <v>52803</v>
      </c>
    </row>
    <row r="1023" spans="2:2">
      <c r="B1023" s="17">
        <f t="shared" si="15"/>
        <v>52810</v>
      </c>
    </row>
    <row r="1024" spans="2:2">
      <c r="B1024" s="17">
        <f t="shared" si="15"/>
        <v>52817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Floor-wise</vt:lpstr>
      <vt:lpstr>S-Curve Wkly</vt:lpstr>
      <vt:lpstr>S-Curve Monthly</vt:lpstr>
      <vt:lpstr>DB</vt:lpstr>
      <vt:lpstr>Master_Data</vt:lpstr>
      <vt:lpstr>DRG_Status</vt:lpstr>
      <vt:lpstr>S_Curve_Data</vt:lpstr>
      <vt:lpstr>Mappings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Santosh</dc:creator>
  <cp:lastModifiedBy>Santosh Jadhav</cp:lastModifiedBy>
  <dcterms:created xsi:type="dcterms:W3CDTF">2015-06-05T18:17:20Z</dcterms:created>
  <dcterms:modified xsi:type="dcterms:W3CDTF">2026-08-16T14:37:02Z</dcterms:modified>
</cp:coreProperties>
</file>